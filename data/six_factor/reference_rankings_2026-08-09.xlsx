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2c628f4bb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6ac99dad6cb42e0"/>
    <x:sheet xmlns:r="http://schemas.openxmlformats.org/officeDocument/2006/relationships" name="Rankings" sheetId="2" r:id="Rf3a4fcdd1d3944ee"/>
    <x:sheet xmlns:r="http://schemas.openxmlformats.org/officeDocument/2006/relationships" name="Quality" sheetId="3" r:id="R5b861c11e3c646ec"/>
    <x:sheet xmlns:r="http://schemas.openxmlformats.org/officeDocument/2006/relationships" name="Fundamental Momentum" sheetId="4" r:id="R21f472b4170b4087"/>
    <x:sheet xmlns:r="http://schemas.openxmlformats.org/officeDocument/2006/relationships" name="Valuation" sheetId="5" r:id="R4ec845ea7df84ecc"/>
    <x:sheet xmlns:r="http://schemas.openxmlformats.org/officeDocument/2006/relationships" name="Conservative Investment" sheetId="6" r:id="Rfd2eb04bb8e1421e"/>
    <x:sheet xmlns:r="http://schemas.openxmlformats.org/officeDocument/2006/relationships" name="Shareholder Yield" sheetId="7" r:id="R027d433d07d14186"/>
    <x:sheet xmlns:r="http://schemas.openxmlformats.org/officeDocument/2006/relationships" name="Methodology" sheetId="8" r:id="R73c56579cc1a4e8e"/>
    <x:sheet xmlns:r="http://schemas.openxmlformats.org/officeDocument/2006/relationships" name="Sources &amp; Checks" sheetId="9" r:id="Rf97f682768fc4cf5"/>
    <x:sheet xmlns:r="http://schemas.openxmlformats.org/officeDocument/2006/relationships" name="Raw Inputs" sheetId="10" r:id="R8e1e2c45e7184698"/>
    <x:sheet xmlns:r="http://schemas.openxmlformats.org/officeDocument/2006/relationships" name="Analyst Revisions" sheetId="11" r:id="R54b1d49343c140da"/>
    <x:sheet xmlns:r="http://schemas.openxmlformats.org/officeDocument/2006/relationships" name="Six-Factor Calc" sheetId="12" r:id="R3e682a6e68a54fd8"/>
  </x:sheets>
</x:workbook>
</file>

<file path=xl/comments1.xml><?xml version="1.0" encoding="utf-8"?>
<x:comments xmlns:x="http://schemas.openxmlformats.org/spreadsheetml/2006/main">
  <x:authors>
    <x:author>tc={0EFB7136-2CC0-6C1A-345E-D875537906ED}</x:author>
  </x:authors>
  <x:commentList>
    <x:comment ref="H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Overall score weights Quality and Fundamental Momentum at 30% each, with Valuation, Conservative Investment and Shareholder Yield at 13.33% each. It is a research-priority screen, not a portfolio weight.</x:t>
        </x:r>
      </x:text>
    </x:comment>
  </x:commentList>
</x:comments>
</file>

<file path=xl/comments2.xml><?xml version="1.0" encoding="utf-8"?>
<x:comments xmlns:x="http://schemas.openxmlformats.org/spreadsheetml/2006/main">
  <x:authors>
    <x:author>tc={F634F5F2-C2D9-4960-4187-9693AB198A08}</x:author>
  </x:authors>
  <x:commentList>
    <x:comment ref="D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paper defines SUE and CAR3 separately. Equal weighting is an explicit operational extension for this screen.</x:t>
        </x:r>
      </x:text>
    </x:comment>
  </x:commentList>
</x:comments>
</file>

<file path=xl/comments3.xml><?xml version="1.0" encoding="utf-8"?>
<x:comments xmlns:x="http://schemas.openxmlformats.org/spreadsheetml/2006/main">
  <x:authors>
    <x:author>tc={339006BD-7227-EF72-311C-D06B1F5A09CB}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Net debt paydown is excluded for financial and real-estate names because debt is operating funding in those sectors.</x:t>
        </x:r>
      </x:text>
    </x:comment>
  </x:commentList>
</x:comments>
</file>

<file path=xl/comments4.xml><?xml version="1.0" encoding="utf-8"?>
<x:comments xmlns:x="http://schemas.openxmlformats.org/spreadsheetml/2006/main">
  <x:authors>
    <x:author>tc={BBEACE36-8FEE-A880-2AE0-50CF7BCF40E8}</x:author>
    <x:author>tc={78FF8744-37B0-2850-DE8A-1F87C77A0C77}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factor weights. The five inputs must sum to 100%; the Sources &amp; Checks tab audits the total.</x:t>
        </x:r>
      </x:text>
    </x:comment>
    <x:comment ref="C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Revisions receives 16.67%. The other five weights are the previous weights multiplied by 5/6, preserving their relative proportions.</x:t>
        </x:r>
      </x:text>
    </x:comment>
  </x:commentList>
</x:comments>
</file>

<file path=xl/comments5.xml><?xml version="1.0" encoding="utf-8"?>
<x:comments xmlns:x="http://schemas.openxmlformats.org/spreadsheetml/2006/main">
  <x:authors>
    <x:author>tc={492EB895-4598-A01E-3258-B96E3D749A40}</x:author>
  </x:authors>
  <x:commentList>
    <x:comment ref="I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Revision uses (current Yahoo 0q EPS estimate - the same estimate 30 days ago) divided by the absolute prior estimate so improvement from a negative base remains positive.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00%"/>
    <x:numFmt numFmtId="201" formatCode="0.000"/>
    <x:numFmt numFmtId="202" formatCode="0.0%"/>
    <x:numFmt numFmtId="203" formatCode="0.00%"/>
    <x:numFmt numFmtId="204" formatCode="yyyy-mm-dd"/>
    <x:numFmt numFmtId="205" formatCode="$#,##0;[Red]($#,##0);-"/>
    <x:numFmt numFmtId="206" formatCode="0"/>
    <x:numFmt numFmtId="207" formatCode="0.00"/>
    <x:numFmt numFmtId="208" formatCode="0.0"/>
    <x:numFmt numFmtId="209" formatCode="$0.00"/>
    <x:numFmt numFmtId="210" formatCode="0.0000"/>
    <x:numFmt numFmtId="211" formatCode="yyyy-mm-dd hh:mm"/>
  </x:numFmts>
  <x:fonts count="1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8"/>
      <x:color rgb="FFFF0000"/>
      <x:name val="Carlito"/>
    </x:font>
    <x:font>
      <x:b/>
      <x:sz val="20"/>
      <x:color rgb="FFFFFFFF"/>
      <x:name val="Carlito"/>
    </x:font>
    <x:font>
      <x:b/>
      <x:sz val="9"/>
      <x:color rgb="FF15253D"/>
      <x:name val="Carlito"/>
    </x:font>
    <x:font>
      <x:sz val="9"/>
      <x:color rgb="FF008000"/>
      <x:name val="Carlito"/>
    </x:font>
    <x:font>
      <x:b/>
      <x:sz val="10"/>
      <x:color rgb="FF15253D"/>
      <x:name val="Carlito"/>
    </x:font>
    <x:font>
      <x:b/>
      <x:sz val="14"/>
      <x:color rgb="FF15253D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9"/>
      <x:color rgb="FF0000FF"/>
      <x:name val="Carlito"/>
    </x:font>
    <x:font>
      <x:b/>
      <x:sz val="9"/>
      <x:color rgb="FF2F855A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03A5F"/>
      </x:patternFill>
    </x:fill>
    <x:fill>
      <x:patternFill patternType="solid">
        <x:fgColor rgb="FF15253D"/>
      </x:patternFill>
    </x:fill>
    <x:fill>
      <x:patternFill patternType="solid">
        <x:fgColor rgb="FFF3F6F8"/>
      </x:patternFill>
    </x:fill>
    <x:fill>
      <x:patternFill patternType="solid">
        <x:fgColor rgb="FFD9EE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F855A"/>
      </x:patternFill>
    </x:fill>
    <x:fill>
      <x:patternFill patternType="solid">
        <x:fgColor rgb="FFC53030"/>
      </x:patternFill>
    </x:fill>
    <x:fill>
      <x:patternFill patternType="solid">
        <x:fgColor rgb="FF15253D"/>
      </x:patternFill>
    </x:fill>
    <x:fill>
      <x:patternFill patternType="solid">
        <x:fgColor rgb="FFF3F6F8"/>
      </x:patternFill>
    </x:fill>
    <x:fill>
      <x:patternFill patternType="solid">
        <x:fgColor rgb="FFE2F0D9"/>
      </x:patternFill>
    </x:fill>
    <x:fill>
      <x:patternFill patternType="solid">
        <x:fgColor rgb="FF203A5F"/>
      </x:patternFill>
    </x:fill>
    <x:fill>
      <x:patternFill patternType="solid">
        <x:fgColor rgb="FFD9EE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855A"/>
      </x:patternFill>
    </x:fill>
    <x:fill>
      <x:patternFill patternType="solid">
        <x:fgColor rgb="FFC53030"/>
      </x:patternFill>
    </x:fill>
  </x:fills>
  <x:borders count="1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CBD5E1"/>
      </x:left>
      <x:top style="medium">
        <x:color rgb="FFCBD5E1"/>
      </x:top>
    </x:border>
    <x:border>
      <x:top style="medium">
        <x:color rgb="FFCBD5E1"/>
      </x:top>
    </x:border>
    <x:border>
      <x:right style="medium">
        <x:color rgb="FFCBD5E1"/>
      </x:right>
      <x:top style="medium">
        <x:color rgb="FFCBD5E1"/>
      </x:top>
    </x:border>
    <x:border>
      <x:left style="medium">
        <x:color rgb="FFCBD5E1"/>
      </x:left>
    </x:border>
    <x:border>
      <x:right style="medium">
        <x:color rgb="FFCBD5E1"/>
      </x:right>
    </x:border>
    <x:border>
      <x:left style="medium">
        <x:color rgb="FFCBD5E1"/>
      </x:left>
      <x:bottom style="medium">
        <x:color rgb="FFCBD5E1"/>
      </x:bottom>
    </x:border>
    <x:border>
      <x:bottom style="medium">
        <x:color rgb="FFCBD5E1"/>
      </x:bottom>
    </x:border>
    <x:border>
      <x:right style="medium">
        <x:color rgb="FFCBD5E1"/>
      </x:right>
      <x:bottom style="medium">
        <x:color rgb="FFCBD5E1"/>
      </x:bottom>
    </x:border>
    <x:border>
      <x:left style="thin">
        <x:color rgb="FF203A5F"/>
      </x:left>
      <x:top style="thin">
        <x:color rgb="FF203A5F"/>
      </x:top>
      <x:bottom style="thin">
        <x:color rgb="FF203A5F"/>
      </x:bottom>
    </x:border>
    <x:border>
      <x:top style="thin">
        <x:color rgb="FF203A5F"/>
      </x:top>
      <x:bottom style="thin">
        <x:color rgb="FF203A5F"/>
      </x:bottom>
    </x:border>
    <x:border>
      <x:right style="thin">
        <x:color rgb="FF203A5F"/>
      </x:right>
      <x:top style="thin">
        <x:color rgb="FF203A5F"/>
      </x:top>
      <x:bottom style="thin">
        <x:color rgb="FF203A5F"/>
      </x:bottom>
    </x:border>
  </x:borders>
  <x:cellStyleXfs count="1">
    <x:xf numFmtId="0" fontId="0" fillId="0" borderId="0"/>
  </x:cellStyleXfs>
  <x:cellXfs count="5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5" fontId="2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center"/>
    </x:xf>
    <x:xf numFmtId="206" fontId="2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7" fontId="2" fillId="0" borderId="2" xfId="0" applyNumberFormat="1" applyFont="1" applyFill="1" applyBorder="1" applyAlignment="1">
      <x:alignment vertical="center"/>
    </x:xf>
    <x:xf numFmtId="208" fontId="6" fillId="0" borderId="2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10" xfId="0" applyNumberFormat="1" applyFont="1" applyFill="1" applyBorder="1" applyAlignment="1">
      <x:alignment horizontal="center" wrapText="1"/>
    </x:xf>
    <x:xf numFmtId="0" fontId="8" fillId="6" borderId="11" xfId="0" applyNumberFormat="1" applyFont="1" applyFill="1" applyBorder="1" applyAlignment="1">
      <x:alignment horizontal="center" wrapText="1"/>
    </x:xf>
    <x:xf numFmtId="0" fontId="8" fillId="6" borderId="12" xfId="0" applyNumberFormat="1" applyFont="1" applyFill="1" applyBorder="1" applyAlignment="1">
      <x:alignment horizontal="center" wrapText="1"/>
    </x:xf>
    <x:xf numFmtId="0" fontId="8" fillId="6" borderId="13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8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wrapText="1"/>
    </x:xf>
    <x:xf numFmtId="0" fontId="8" fillId="7" borderId="8" xfId="0" applyNumberFormat="1" applyFont="1" applyFill="1" applyBorder="1" applyAlignment="1">
      <x:alignment horizontal="center" wrapText="1"/>
    </x:xf>
    <x:xf numFmtId="0" fontId="8" fillId="7" borderId="9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10" xfId="0" applyNumberFormat="1" applyFont="1" applyFill="1" applyBorder="1" applyAlignment="1">
      <x:alignment horizontal="center" wrapText="1"/>
    </x:xf>
    <x:xf numFmtId="0" fontId="8" fillId="7" borderId="11" xfId="0" applyNumberFormat="1" applyFont="1" applyFill="1" applyBorder="1" applyAlignment="1">
      <x:alignment horizontal="center" wrapText="1"/>
    </x:xf>
    <x:xf numFmtId="0" fontId="8" fillId="7" borderId="12" xfId="0" applyNumberFormat="1" applyFont="1" applyFill="1" applyBorder="1" applyAlignment="1">
      <x:alignment horizontal="center" wrapText="1"/>
    </x:xf>
    <x:xf numFmtId="0" fontId="8" fillId="7" borderId="13" xfId="0" applyNumberFormat="1" applyFont="1" applyFill="1" applyBorder="1" applyAlignment="1">
      <x:alignment horizont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8" fillId="7" borderId="11" xfId="0" applyNumberFormat="1" applyFont="1" applyFill="1" applyBorder="1" applyAlignment="1">
      <x:alignment horizontal="center" vertical="center" wrapText="1"/>
    </x:xf>
    <x:xf numFmtId="0" fontId="8" fillId="7" borderId="12" xfId="0" applyNumberFormat="1" applyFont="1" applyFill="1" applyBorder="1" applyAlignment="1">
      <x:alignment horizontal="center" vertical="center" wrapText="1"/>
    </x:xf>
    <x:xf numFmtId="0" fontId="8" fillId="7" borderId="1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horizontal="center" wrapText="1"/>
    </x:xf>
    <x:xf numFmtId="0" fontId="8" fillId="8" borderId="7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13" xfId="0" applyNumberFormat="1" applyFont="1" applyFill="1" applyBorder="1"/>
    <x:xf numFmtId="0" fontId="8" fillId="4" borderId="6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13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8" xfId="0" applyNumberFormat="1" applyFont="1" applyFill="1" applyBorder="1" applyAlignment="1">
      <x:alignment horizontal="center" wrapText="1"/>
    </x:xf>
    <x:xf numFmtId="0" fontId="8" fillId="4" borderId="9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10" xfId="0" applyNumberFormat="1" applyFont="1" applyFill="1" applyBorder="1" applyAlignment="1">
      <x:alignment horizontal="center" wrapText="1"/>
    </x:xf>
    <x:xf numFmtId="0" fontId="8" fillId="4" borderId="11" xfId="0" applyNumberFormat="1" applyFont="1" applyFill="1" applyBorder="1" applyAlignment="1">
      <x:alignment horizontal="center" wrapText="1"/>
    </x:xf>
    <x:xf numFmtId="0" fontId="8" fillId="4" borderId="12" xfId="0" applyNumberFormat="1" applyFont="1" applyFill="1" applyBorder="1" applyAlignment="1">
      <x:alignment horizontal="center" wrapText="1"/>
    </x:xf>
    <x:xf numFmtId="0" fontId="8" fillId="4" borderId="13" xfId="0" applyNumberFormat="1" applyFont="1" applyFill="1" applyBorder="1" applyAlignment="1">
      <x:alignment horizont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8" fillId="4" borderId="12" xfId="0" applyNumberFormat="1" applyFont="1" applyFill="1" applyBorder="1" applyAlignment="1">
      <x:alignment horizontal="center" vertical="center" wrapText="1"/>
    </x:xf>
    <x:xf numFmtId="0" fontId="8" fillId="4" borderId="1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4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4" xfId="0" applyNumberFormat="1" applyFont="1" applyFill="1" applyBorder="1" applyAlignment="1">
      <x:alignment horizontal="left"/>
    </x:xf>
    <x:xf numFmtId="0" fontId="9" fillId="9" borderId="15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 applyAlignment="1">
      <x:alignment horizontal="left"/>
    </x:xf>
    <x:xf numFmtId="0" fontId="9" fillId="9" borderId="14" xfId="0" applyNumberFormat="1" applyFont="1" applyFill="1" applyBorder="1" applyAlignment="1">
      <x:alignment horizontal="left" vertical="center"/>
    </x:xf>
    <x:xf numFmtId="0" fontId="9" fillId="9" borderId="15" xfId="0" applyNumberFormat="1" applyFont="1" applyFill="1" applyBorder="1" applyAlignment="1">
      <x:alignment horizontal="left" vertical="center"/>
    </x:xf>
    <x:xf numFmtId="0" fontId="9" fillId="9" borderId="16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4" xfId="0" applyNumberFormat="1" applyFont="1" applyFill="1" applyBorder="1"/>
    <x:xf numFmtId="0" fontId="9" fillId="10" borderId="15" xfId="0" applyNumberFormat="1" applyFont="1" applyFill="1" applyBorder="1"/>
    <x:xf numFmtId="0" fontId="9" fillId="10" borderId="16" xfId="0" applyNumberFormat="1" applyFont="1" applyFill="1" applyBorder="1"/>
    <x:xf numFmtId="0" fontId="9" fillId="10" borderId="14" xfId="0" applyNumberFormat="1" applyFont="1" applyFill="1" applyBorder="1" applyAlignment="1">
      <x:alignment horizontal="left"/>
    </x:xf>
    <x:xf numFmtId="0" fontId="9" fillId="10" borderId="15" xfId="0" applyNumberFormat="1" applyFont="1" applyFill="1" applyBorder="1" applyAlignment="1">
      <x:alignment horizontal="left"/>
    </x:xf>
    <x:xf numFmtId="0" fontId="9" fillId="10" borderId="16" xfId="0" applyNumberFormat="1" applyFont="1" applyFill="1" applyBorder="1" applyAlignment="1">
      <x:alignment horizontal="left"/>
    </x:xf>
    <x:xf numFmtId="0" fontId="9" fillId="10" borderId="14" xfId="0" applyNumberFormat="1" applyFont="1" applyFill="1" applyBorder="1" applyAlignment="1">
      <x:alignment horizontal="left" vertical="center"/>
    </x:xf>
    <x:xf numFmtId="0" fontId="9" fillId="10" borderId="15" xfId="0" applyNumberFormat="1" applyFont="1" applyFill="1" applyBorder="1" applyAlignment="1">
      <x:alignment horizontal="left" vertical="center"/>
    </x:xf>
    <x:xf numFmtId="0" fontId="9" fillId="10" borderId="16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2" xfId="0" applyNumberFormat="1" applyFont="1" applyFill="1" applyBorder="1" applyAlignment="1">
      <x:alignment vertical="center"/>
    </x:xf>
    <x:xf numFmtId="206" fontId="10" fillId="0" borderId="2" xfId="0" applyNumberFormat="1" applyFont="1" applyFill="1" applyBorder="1" applyAlignment="1">
      <x:alignment vertical="center"/>
    </x:xf>
    <x:xf numFmtId="208" fontId="10" fillId="0" borderId="2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14" xfId="0" applyNumberFormat="1" applyFont="1" applyFill="1" applyBorder="1"/>
    <x:xf numFmtId="0" fontId="9" fillId="2" borderId="15" xfId="0" applyNumberFormat="1" applyFont="1" applyFill="1" applyBorder="1"/>
    <x:xf numFmtId="0" fontId="9" fillId="2" borderId="16" xfId="0" applyNumberFormat="1" applyFont="1" applyFill="1" applyBorder="1"/>
    <x:xf numFmtId="0" fontId="9" fillId="2" borderId="14" xfId="0" applyNumberFormat="1" applyFont="1" applyFill="1" applyBorder="1" applyAlignment="1">
      <x:alignment horizontal="left"/>
    </x:xf>
    <x:xf numFmtId="0" fontId="9" fillId="2" borderId="15" xfId="0" applyNumberFormat="1" applyFont="1" applyFill="1" applyBorder="1" applyAlignment="1">
      <x:alignment horizontal="left"/>
    </x:xf>
    <x:xf numFmtId="0" fontId="9" fillId="2" borderId="16" xfId="0" applyNumberFormat="1" applyFont="1" applyFill="1" applyBorder="1" applyAlignment="1">
      <x:alignment horizontal="left"/>
    </x:xf>
    <x:xf numFmtId="0" fontId="9" fillId="2" borderId="14" xfId="0" applyNumberFormat="1" applyFont="1" applyFill="1" applyBorder="1" applyAlignment="1">
      <x:alignment horizontal="left" vertical="center"/>
    </x:xf>
    <x:xf numFmtId="0" fontId="9" fillId="2" borderId="15" xfId="0" applyNumberFormat="1" applyFont="1" applyFill="1" applyBorder="1" applyAlignment="1">
      <x:alignment horizontal="left" vertical="center"/>
    </x:xf>
    <x:xf numFmtId="0" fontId="9" fillId="2" borderId="16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5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201" fontId="10" fillId="0" borderId="2" xfId="0" applyNumberFormat="1" applyFont="1" applyFill="1" applyBorder="1" applyAlignment="1">
      <x:alignment vertical="center"/>
    </x:xf>
    <x:xf numFmtId="202" fontId="10" fillId="0" borderId="2" xfId="0" applyNumberFormat="1" applyFont="1" applyFill="1" applyBorder="1" applyAlignment="1">
      <x:alignment vertical="center"/>
    </x:xf>
    <x:xf numFmtId="203" fontId="10" fillId="0" borderId="2" xfId="0" applyNumberFormat="1" applyFont="1" applyFill="1" applyBorder="1" applyAlignment="1">
      <x:alignment vertical="center"/>
    </x:xf>
    <x:xf numFmtId="204" fontId="10" fillId="0" borderId="2" xfId="0" applyNumberFormat="1" applyFont="1" applyFill="1" applyBorder="1" applyAlignment="1">
      <x:alignment vertical="center"/>
    </x:xf>
    <x:xf numFmtId="209" fontId="10" fillId="0" borderId="2" xfId="0" applyNumberFormat="1" applyFont="1" applyFill="1" applyBorder="1" applyAlignment="1">
      <x:alignment vertical="center"/>
    </x:xf>
    <x:xf numFmtId="205" fontId="10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203" fontId="11" fillId="0" borderId="2" xfId="0" applyNumberFormat="1" applyFont="1" applyFill="1" applyBorder="1" applyAlignment="1">
      <x:alignment vertical="top" wrapText="1"/>
    </x:xf>
    <x:xf numFmtId="203" fontId="11" fillId="0" borderId="2" xfId="0" applyNumberFormat="1" applyFont="1" applyFill="1" applyBorder="1" applyAlignment="1">
      <x:alignment horizontal="right" vertical="top" wrapText="1"/>
    </x:xf>
    <x:xf numFmtId="203" fontId="11" fillId="0" borderId="2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210" fontId="2" fillId="0" borderId="2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left"/>
    </x:xf>
    <x:xf numFmtId="0" fontId="4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5" xfId="0" applyNumberFormat="1" applyFont="1" applyFill="1" applyBorder="1"/>
    <x:xf numFmtId="0" fontId="2" fillId="12" borderId="3" xfId="0" applyNumberFormat="1" applyFont="1" applyFill="1" applyBorder="1" applyAlignment="1">
      <x:alignment wrapText="1"/>
    </x:xf>
    <x:xf numFmtId="0" fontId="2" fillId="12" borderId="4" xfId="0" applyNumberFormat="1" applyFont="1" applyFill="1" applyBorder="1" applyAlignment="1">
      <x:alignment wrapText="1"/>
    </x:xf>
    <x:xf numFmtId="0" fontId="2" fillId="12" borderId="5" xfId="0" applyNumberFormat="1" applyFont="1" applyFill="1" applyBorder="1" applyAlignment="1">
      <x:alignment wrapText="1"/>
    </x:xf>
    <x:xf numFmtId="0" fontId="2" fillId="12" borderId="3" xfId="0" applyNumberFormat="1" applyFont="1" applyFill="1" applyBorder="1" applyAlignment="1">
      <x:alignment vertical="top" wrapText="1"/>
    </x:xf>
    <x:xf numFmtId="0" fontId="2" fillId="12" borderId="4" xfId="0" applyNumberFormat="1" applyFont="1" applyFill="1" applyBorder="1" applyAlignment="1">
      <x:alignment vertical="top" wrapText="1"/>
    </x:xf>
    <x:xf numFmtId="0" fontId="2" fillId="12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3" xfId="0" applyNumberFormat="1" applyFont="1" applyFill="1" applyBorder="1"/>
    <x:xf numFmtId="0" fontId="12" fillId="13" borderId="4" xfId="0" applyNumberFormat="1" applyFont="1" applyFill="1" applyBorder="1"/>
    <x:xf numFmtId="0" fontId="12" fillId="13" borderId="5" xfId="0" applyNumberFormat="1" applyFont="1" applyFill="1" applyBorder="1"/>
    <x:xf numFmtId="0" fontId="12" fillId="13" borderId="3" xfId="0" applyNumberFormat="1" applyFont="1" applyFill="1" applyBorder="1" applyAlignment="1">
      <x:alignment wrapText="1"/>
    </x:xf>
    <x:xf numFmtId="0" fontId="12" fillId="13" borderId="4" xfId="0" applyNumberFormat="1" applyFont="1" applyFill="1" applyBorder="1" applyAlignment="1">
      <x:alignment wrapText="1"/>
    </x:xf>
    <x:xf numFmtId="0" fontId="12" fillId="13" borderId="5" xfId="0" applyNumberFormat="1" applyFont="1" applyFill="1" applyBorder="1" applyAlignment="1">
      <x:alignment wrapText="1"/>
    </x:xf>
    <x:xf numFmtId="0" fontId="12" fillId="13" borderId="3" xfId="0" applyNumberFormat="1" applyFont="1" applyFill="1" applyBorder="1" applyAlignment="1">
      <x:alignment vertical="top" wrapText="1"/>
    </x:xf>
    <x:xf numFmtId="0" fontId="12" fillId="13" borderId="4" xfId="0" applyNumberFormat="1" applyFont="1" applyFill="1" applyBorder="1" applyAlignment="1">
      <x:alignment vertical="top" wrapText="1"/>
    </x:xf>
    <x:xf numFmtId="0" fontId="12" fillId="13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1" xfId="0" applyNumberFormat="1" applyFont="1" applyFill="1" applyBorder="1"/>
    <x:xf numFmtId="0" fontId="1" fillId="14" borderId="1" xfId="0" applyNumberFormat="1" applyFont="1" applyFill="1" applyBorder="1" applyAlignment="1">
      <x:alignment wrapText="1"/>
    </x:xf>
    <x:xf numFmtId="0" fontId="1" fillId="14" borderId="1" xfId="0" applyNumberFormat="1" applyFont="1" applyFill="1" applyBorder="1" applyAlignment="1">
      <x:alignment horizontal="center" wrapText="1"/>
    </x:xf>
    <x:xf numFmtId="0" fontId="1" fillId="14" borderId="1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vertical="center"/>
    </x:xf>
    <x:xf numFmtId="211" fontId="11" fillId="0" borderId="2" xfId="0" applyNumberFormat="1" applyFont="1" applyFill="1" applyBorder="1" applyAlignment="1">
      <x:alignment vertical="center"/>
    </x:xf>
    <x:xf numFmtId="206" fontId="11" fillId="0" borderId="2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2" fontId="11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3" xfId="0" applyNumberFormat="1" applyFont="1" applyFill="1" applyBorder="1"/>
    <x:xf numFmtId="0" fontId="2" fillId="15" borderId="4" xfId="0" applyNumberFormat="1" applyFont="1" applyFill="1" applyBorder="1"/>
    <x:xf numFmtId="0" fontId="2" fillId="15" borderId="5" xfId="0" applyNumberFormat="1" applyFont="1" applyFill="1" applyBorder="1"/>
    <x:xf numFmtId="0" fontId="2" fillId="15" borderId="3" xfId="0" applyNumberFormat="1" applyFont="1" applyFill="1" applyBorder="1" applyAlignment="1">
      <x:alignment wrapText="1"/>
    </x:xf>
    <x:xf numFmtId="0" fontId="2" fillId="15" borderId="4" xfId="0" applyNumberFormat="1" applyFont="1" applyFill="1" applyBorder="1" applyAlignment="1">
      <x:alignment wrapText="1"/>
    </x:xf>
    <x:xf numFmtId="0" fontId="2" fillId="15" borderId="5" xfId="0" applyNumberFormat="1" applyFont="1" applyFill="1" applyBorder="1" applyAlignment="1">
      <x:alignment wrapText="1"/>
    </x:xf>
    <x:xf numFmtId="0" fontId="2" fillId="15" borderId="3" xfId="0" applyNumberFormat="1" applyFont="1" applyFill="1" applyBorder="1" applyAlignment="1">
      <x:alignment vertical="top" wrapText="1"/>
    </x:xf>
    <x:xf numFmtId="0" fontId="2" fillId="15" borderId="4" xfId="0" applyNumberFormat="1" applyFont="1" applyFill="1" applyBorder="1" applyAlignment="1">
      <x:alignment vertical="top" wrapText="1"/>
    </x:xf>
    <x:xf numFmtId="0" fontId="2" fillId="15" borderId="5" xfId="0" applyNumberFormat="1" applyFont="1" applyFill="1" applyBorder="1" applyAlignment="1">
      <x:alignment vertical="top" wrapText="1"/>
    </x:xf>
    <x:xf numFmtId="207" fontId="6" fillId="0" borderId="2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/>
    <x:xf numFmtId="0" fontId="5" fillId="15" borderId="3" xfId="0" applyNumberFormat="1" applyFont="1" applyFill="1" applyBorder="1"/>
    <x:xf numFmtId="0" fontId="5" fillId="15" borderId="4" xfId="0" applyNumberFormat="1" applyFont="1" applyFill="1" applyBorder="1"/>
    <x:xf numFmtId="0" fontId="5" fillId="15" borderId="5" xfId="0" applyNumberFormat="1" applyFont="1" applyFill="1" applyBorder="1"/>
    <x:xf numFmtId="0" fontId="5" fillId="15" borderId="3" xfId="0" applyNumberFormat="1" applyFont="1" applyFill="1" applyBorder="1" applyAlignment="1">
      <x:alignment wrapText="1"/>
    </x:xf>
    <x:xf numFmtId="0" fontId="5" fillId="15" borderId="4" xfId="0" applyNumberFormat="1" applyFont="1" applyFill="1" applyBorder="1" applyAlignment="1">
      <x:alignment wrapText="1"/>
    </x:xf>
    <x:xf numFmtId="0" fontId="5" fillId="15" borderId="5" xfId="0" applyNumberFormat="1" applyFont="1" applyFill="1" applyBorder="1" applyAlignment="1">
      <x:alignment wrapText="1"/>
    </x:xf>
    <x:xf numFmtId="0" fontId="5" fillId="15" borderId="3" xfId="0" applyNumberFormat="1" applyFont="1" applyFill="1" applyBorder="1" applyAlignment="1">
      <x:alignment vertical="top" wrapText="1"/>
    </x:xf>
    <x:xf numFmtId="0" fontId="5" fillId="15" borderId="4" xfId="0" applyNumberFormat="1" applyFont="1" applyFill="1" applyBorder="1" applyAlignment="1">
      <x:alignment vertical="top" wrapText="1"/>
    </x:xf>
    <x:xf numFmtId="0" fontId="5" fillId="15" borderId="5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/>
    <x:xf numFmtId="0" fontId="7" fillId="15" borderId="3" xfId="0" applyNumberFormat="1" applyFont="1" applyFill="1" applyBorder="1"/>
    <x:xf numFmtId="0" fontId="7" fillId="15" borderId="4" xfId="0" applyNumberFormat="1" applyFont="1" applyFill="1" applyBorder="1"/>
    <x:xf numFmtId="0" fontId="7" fillId="15" borderId="5" xfId="0" applyNumberFormat="1" applyFont="1" applyFill="1" applyBorder="1"/>
    <x:xf numFmtId="0" fontId="7" fillId="15" borderId="3" xfId="0" applyNumberFormat="1" applyFont="1" applyFill="1" applyBorder="1" applyAlignment="1">
      <x:alignment wrapText="1"/>
    </x:xf>
    <x:xf numFmtId="0" fontId="7" fillId="15" borderId="4" xfId="0" applyNumberFormat="1" applyFont="1" applyFill="1" applyBorder="1" applyAlignment="1">
      <x:alignment wrapText="1"/>
    </x:xf>
    <x:xf numFmtId="0" fontId="7" fillId="15" borderId="5" xfId="0" applyNumberFormat="1" applyFont="1" applyFill="1" applyBorder="1" applyAlignment="1">
      <x:alignment wrapText="1"/>
    </x:xf>
    <x:xf numFmtId="0" fontId="7" fillId="15" borderId="3" xfId="0" applyNumberFormat="1" applyFont="1" applyFill="1" applyBorder="1" applyAlignment="1">
      <x:alignment vertical="top" wrapText="1"/>
    </x:xf>
    <x:xf numFmtId="0" fontId="7" fillId="15" borderId="4" xfId="0" applyNumberFormat="1" applyFont="1" applyFill="1" applyBorder="1" applyAlignment="1">
      <x:alignment vertical="top" wrapText="1"/>
    </x:xf>
    <x:xf numFmtId="0" fontId="7" fillId="15" borderId="5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6" xfId="0" applyNumberFormat="1" applyFont="1" applyFill="1" applyBorder="1"/>
    <x:xf numFmtId="0" fontId="8" fillId="16" borderId="7" xfId="0" applyNumberFormat="1" applyFont="1" applyFill="1" applyBorder="1"/>
    <x:xf numFmtId="0" fontId="8" fillId="16" borderId="8" xfId="0" applyNumberFormat="1" applyFont="1" applyFill="1" applyBorder="1"/>
    <x:xf numFmtId="0" fontId="8" fillId="16" borderId="9" xfId="0" applyNumberFormat="1" applyFont="1" applyFill="1" applyBorder="1"/>
    <x:xf numFmtId="0" fontId="8" fillId="16" xfId="0" applyNumberFormat="1" applyFont="1" applyFill="1" applyBorder="0"/>
    <x:xf numFmtId="0" fontId="8" fillId="16" borderId="10" xfId="0" applyNumberFormat="1" applyFont="1" applyFill="1" applyBorder="1"/>
    <x:xf numFmtId="0" fontId="8" fillId="16" borderId="11" xfId="0" applyNumberFormat="1" applyFont="1" applyFill="1" applyBorder="1"/>
    <x:xf numFmtId="0" fontId="8" fillId="16" borderId="12" xfId="0" applyNumberFormat="1" applyFont="1" applyFill="1" applyBorder="1"/>
    <x:xf numFmtId="0" fontId="8" fillId="16" borderId="13" xfId="0" applyNumberFormat="1" applyFont="1" applyFill="1" applyBorder="1"/>
    <x:xf numFmtId="0" fontId="8" fillId="16" borderId="6" xfId="0" applyNumberFormat="1" applyFont="1" applyFill="1" applyBorder="1" applyAlignment="1">
      <x:alignment wrapText="1"/>
    </x:xf>
    <x:xf numFmtId="0" fontId="8" fillId="16" borderId="7" xfId="0" applyNumberFormat="1" applyFont="1" applyFill="1" applyBorder="1" applyAlignment="1">
      <x:alignment wrapText="1"/>
    </x:xf>
    <x:xf numFmtId="0" fontId="8" fillId="16" borderId="8" xfId="0" applyNumberFormat="1" applyFont="1" applyFill="1" applyBorder="1" applyAlignment="1">
      <x:alignment wrapText="1"/>
    </x:xf>
    <x:xf numFmtId="0" fontId="8" fillId="16" borderId="9" xfId="0" applyNumberFormat="1" applyFont="1" applyFill="1" applyBorder="1" applyAlignment="1">
      <x:alignment wrapText="1"/>
    </x:xf>
    <x:xf numFmtId="0" fontId="8" fillId="16" xfId="0" applyNumberFormat="1" applyFont="1" applyFill="1" applyBorder="0" applyAlignment="1">
      <x:alignment wrapText="1"/>
    </x:xf>
    <x:xf numFmtId="0" fontId="8" fillId="16" borderId="10" xfId="0" applyNumberFormat="1" applyFont="1" applyFill="1" applyBorder="1" applyAlignment="1">
      <x:alignment wrapText="1"/>
    </x:xf>
    <x:xf numFmtId="0" fontId="8" fillId="16" borderId="11" xfId="0" applyNumberFormat="1" applyFont="1" applyFill="1" applyBorder="1" applyAlignment="1">
      <x:alignment wrapText="1"/>
    </x:xf>
    <x:xf numFmtId="0" fontId="8" fillId="16" borderId="12" xfId="0" applyNumberFormat="1" applyFont="1" applyFill="1" applyBorder="1" applyAlignment="1">
      <x:alignment wrapText="1"/>
    </x:xf>
    <x:xf numFmtId="0" fontId="8" fillId="16" borderId="13" xfId="0" applyNumberFormat="1" applyFont="1" applyFill="1" applyBorder="1" applyAlignment="1">
      <x:alignment wrapText="1"/>
    </x:xf>
    <x:xf numFmtId="0" fontId="8" fillId="16" borderId="6" xfId="0" applyNumberFormat="1" applyFont="1" applyFill="1" applyBorder="1" applyAlignment="1">
      <x:alignment horizontal="center" wrapText="1"/>
    </x:xf>
    <x:xf numFmtId="0" fontId="8" fillId="16" borderId="7" xfId="0" applyNumberFormat="1" applyFont="1" applyFill="1" applyBorder="1" applyAlignment="1">
      <x:alignment horizontal="center" wrapText="1"/>
    </x:xf>
    <x:xf numFmtId="0" fontId="8" fillId="16" borderId="8" xfId="0" applyNumberFormat="1" applyFont="1" applyFill="1" applyBorder="1" applyAlignment="1">
      <x:alignment horizontal="center" wrapText="1"/>
    </x:xf>
    <x:xf numFmtId="0" fontId="8" fillId="16" borderId="9" xfId="0" applyNumberFormat="1" applyFont="1" applyFill="1" applyBorder="1" applyAlignment="1">
      <x:alignment horizontal="center" wrapText="1"/>
    </x:xf>
    <x:xf numFmtId="0" fontId="8" fillId="16" xfId="0" applyNumberFormat="1" applyFont="1" applyFill="1" applyBorder="0" applyAlignment="1">
      <x:alignment horizontal="center" wrapText="1"/>
    </x:xf>
    <x:xf numFmtId="0" fontId="8" fillId="16" borderId="10" xfId="0" applyNumberFormat="1" applyFont="1" applyFill="1" applyBorder="1" applyAlignment="1">
      <x:alignment horizontal="center" wrapText="1"/>
    </x:xf>
    <x:xf numFmtId="0" fontId="8" fillId="16" borderId="11" xfId="0" applyNumberFormat="1" applyFont="1" applyFill="1" applyBorder="1" applyAlignment="1">
      <x:alignment horizontal="center" wrapText="1"/>
    </x:xf>
    <x:xf numFmtId="0" fontId="8" fillId="16" borderId="12" xfId="0" applyNumberFormat="1" applyFont="1" applyFill="1" applyBorder="1" applyAlignment="1">
      <x:alignment horizontal="center" wrapText="1"/>
    </x:xf>
    <x:xf numFmtId="0" fontId="8" fillId="16" borderId="13" xfId="0" applyNumberFormat="1" applyFont="1" applyFill="1" applyBorder="1" applyAlignment="1">
      <x:alignment horizontal="center" wrapText="1"/>
    </x:xf>
    <x:xf numFmtId="0" fontId="8" fillId="16" borderId="6" xfId="0" applyNumberFormat="1" applyFont="1" applyFill="1" applyBorder="1" applyAlignment="1">
      <x:alignment horizontal="center" vertical="center" wrapText="1"/>
    </x:xf>
    <x:xf numFmtId="0" fontId="8" fillId="16" borderId="7" xfId="0" applyNumberFormat="1" applyFont="1" applyFill="1" applyBorder="1" applyAlignment="1">
      <x:alignment horizontal="center" vertical="center" wrapText="1"/>
    </x:xf>
    <x:xf numFmtId="0" fontId="8" fillId="16" borderId="8" xfId="0" applyNumberFormat="1" applyFont="1" applyFill="1" applyBorder="1" applyAlignment="1">
      <x:alignment horizontal="center" vertical="center" wrapText="1"/>
    </x:xf>
    <x:xf numFmtId="0" fontId="8" fillId="16" borderId="9" xfId="0" applyNumberFormat="1" applyFont="1" applyFill="1" applyBorder="1" applyAlignment="1">
      <x:alignment horizontal="center" vertical="center" wrapText="1"/>
    </x:xf>
    <x:xf numFmtId="0" fontId="8" fillId="16" xfId="0" applyNumberFormat="1" applyFont="1" applyFill="1" applyBorder="0" applyAlignment="1">
      <x:alignment horizontal="center" vertical="center" wrapText="1"/>
    </x:xf>
    <x:xf numFmtId="0" fontId="8" fillId="16" borderId="10" xfId="0" applyNumberFormat="1" applyFont="1" applyFill="1" applyBorder="1" applyAlignment="1">
      <x:alignment horizontal="center" vertical="center" wrapText="1"/>
    </x:xf>
    <x:xf numFmtId="0" fontId="8" fillId="16" borderId="11" xfId="0" applyNumberFormat="1" applyFont="1" applyFill="1" applyBorder="1" applyAlignment="1">
      <x:alignment horizontal="center" vertical="center" wrapText="1"/>
    </x:xf>
    <x:xf numFmtId="0" fontId="8" fillId="16" borderId="12" xfId="0" applyNumberFormat="1" applyFont="1" applyFill="1" applyBorder="1" applyAlignment="1">
      <x:alignment horizontal="center" vertical="center" wrapText="1"/>
    </x:xf>
    <x:xf numFmtId="0" fontId="8" fillId="16" borderId="13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/>
    <x:xf numFmtId="0" fontId="8" fillId="13" borderId="6" xfId="0" applyNumberFormat="1" applyFont="1" applyFill="1" applyBorder="1"/>
    <x:xf numFmtId="0" fontId="8" fillId="13" borderId="7" xfId="0" applyNumberFormat="1" applyFont="1" applyFill="1" applyBorder="1"/>
    <x:xf numFmtId="0" fontId="8" fillId="13" borderId="8" xfId="0" applyNumberFormat="1" applyFont="1" applyFill="1" applyBorder="1"/>
    <x:xf numFmtId="0" fontId="8" fillId="13" borderId="9" xfId="0" applyNumberFormat="1" applyFont="1" applyFill="1" applyBorder="1"/>
    <x:xf numFmtId="0" fontId="8" fillId="13" xfId="0" applyNumberFormat="1" applyFont="1" applyFill="1" applyBorder="0"/>
    <x:xf numFmtId="0" fontId="8" fillId="13" borderId="10" xfId="0" applyNumberFormat="1" applyFont="1" applyFill="1" applyBorder="1"/>
    <x:xf numFmtId="0" fontId="8" fillId="13" borderId="11" xfId="0" applyNumberFormat="1" applyFont="1" applyFill="1" applyBorder="1"/>
    <x:xf numFmtId="0" fontId="8" fillId="13" borderId="12" xfId="0" applyNumberFormat="1" applyFont="1" applyFill="1" applyBorder="1"/>
    <x:xf numFmtId="0" fontId="8" fillId="13" borderId="13" xfId="0" applyNumberFormat="1" applyFont="1" applyFill="1" applyBorder="1"/>
    <x:xf numFmtId="0" fontId="8" fillId="13" borderId="6" xfId="0" applyNumberFormat="1" applyFont="1" applyFill="1" applyBorder="1" applyAlignment="1">
      <x:alignment wrapText="1"/>
    </x:xf>
    <x:xf numFmtId="0" fontId="8" fillId="13" borderId="7" xfId="0" applyNumberFormat="1" applyFont="1" applyFill="1" applyBorder="1" applyAlignment="1">
      <x:alignment wrapText="1"/>
    </x:xf>
    <x:xf numFmtId="0" fontId="8" fillId="13" borderId="8" xfId="0" applyNumberFormat="1" applyFont="1" applyFill="1" applyBorder="1" applyAlignment="1">
      <x:alignment wrapText="1"/>
    </x:xf>
    <x:xf numFmtId="0" fontId="8" fillId="13" borderId="9" xfId="0" applyNumberFormat="1" applyFont="1" applyFill="1" applyBorder="1" applyAlignment="1">
      <x:alignment wrapText="1"/>
    </x:xf>
    <x:xf numFmtId="0" fontId="8" fillId="13" xfId="0" applyNumberFormat="1" applyFont="1" applyFill="1" applyBorder="0" applyAlignment="1">
      <x:alignment wrapText="1"/>
    </x:xf>
    <x:xf numFmtId="0" fontId="8" fillId="13" borderId="10" xfId="0" applyNumberFormat="1" applyFont="1" applyFill="1" applyBorder="1" applyAlignment="1">
      <x:alignment wrapText="1"/>
    </x:xf>
    <x:xf numFmtId="0" fontId="8" fillId="13" borderId="11" xfId="0" applyNumberFormat="1" applyFont="1" applyFill="1" applyBorder="1" applyAlignment="1">
      <x:alignment wrapText="1"/>
    </x:xf>
    <x:xf numFmtId="0" fontId="8" fillId="13" borderId="12" xfId="0" applyNumberFormat="1" applyFont="1" applyFill="1" applyBorder="1" applyAlignment="1">
      <x:alignment wrapText="1"/>
    </x:xf>
    <x:xf numFmtId="0" fontId="8" fillId="13" borderId="13" xfId="0" applyNumberFormat="1" applyFont="1" applyFill="1" applyBorder="1" applyAlignment="1">
      <x:alignment wrapText="1"/>
    </x:xf>
    <x:xf numFmtId="0" fontId="8" fillId="13" borderId="6" xfId="0" applyNumberFormat="1" applyFont="1" applyFill="1" applyBorder="1" applyAlignment="1">
      <x:alignment horizontal="center" wrapText="1"/>
    </x:xf>
    <x:xf numFmtId="0" fontId="8" fillId="13" borderId="7" xfId="0" applyNumberFormat="1" applyFont="1" applyFill="1" applyBorder="1" applyAlignment="1">
      <x:alignment horizontal="center" wrapText="1"/>
    </x:xf>
    <x:xf numFmtId="0" fontId="8" fillId="13" borderId="8" xfId="0" applyNumberFormat="1" applyFont="1" applyFill="1" applyBorder="1" applyAlignment="1">
      <x:alignment horizontal="center" wrapText="1"/>
    </x:xf>
    <x:xf numFmtId="0" fontId="8" fillId="13" borderId="9" xfId="0" applyNumberFormat="1" applyFont="1" applyFill="1" applyBorder="1" applyAlignment="1">
      <x:alignment horizontal="center" wrapText="1"/>
    </x:xf>
    <x:xf numFmtId="0" fontId="8" fillId="13" xfId="0" applyNumberFormat="1" applyFont="1" applyFill="1" applyBorder="0" applyAlignment="1">
      <x:alignment horizontal="center" wrapText="1"/>
    </x:xf>
    <x:xf numFmtId="0" fontId="8" fillId="13" borderId="10" xfId="0" applyNumberFormat="1" applyFont="1" applyFill="1" applyBorder="1" applyAlignment="1">
      <x:alignment horizontal="center" wrapText="1"/>
    </x:xf>
    <x:xf numFmtId="0" fontId="8" fillId="13" borderId="11" xfId="0" applyNumberFormat="1" applyFont="1" applyFill="1" applyBorder="1" applyAlignment="1">
      <x:alignment horizontal="center" wrapText="1"/>
    </x:xf>
    <x:xf numFmtId="0" fontId="8" fillId="13" borderId="12" xfId="0" applyNumberFormat="1" applyFont="1" applyFill="1" applyBorder="1" applyAlignment="1">
      <x:alignment horizontal="center" wrapText="1"/>
    </x:xf>
    <x:xf numFmtId="0" fontId="8" fillId="13" borderId="13" xfId="0" applyNumberFormat="1" applyFont="1" applyFill="1" applyBorder="1" applyAlignment="1">
      <x:alignment horizontal="center" wrapText="1"/>
    </x:xf>
    <x:xf numFmtId="0" fontId="8" fillId="13" borderId="6" xfId="0" applyNumberFormat="1" applyFont="1" applyFill="1" applyBorder="1" applyAlignment="1">
      <x:alignment horizontal="center" vertical="center" wrapText="1"/>
    </x:xf>
    <x:xf numFmtId="0" fontId="8" fillId="13" borderId="7" xfId="0" applyNumberFormat="1" applyFont="1" applyFill="1" applyBorder="1" applyAlignment="1">
      <x:alignment horizontal="center" vertical="center" wrapText="1"/>
    </x:xf>
    <x:xf numFmtId="0" fontId="8" fillId="13" borderId="8" xfId="0" applyNumberFormat="1" applyFont="1" applyFill="1" applyBorder="1" applyAlignment="1">
      <x:alignment horizontal="center" vertical="center" wrapText="1"/>
    </x:xf>
    <x:xf numFmtId="0" fontId="8" fillId="13" borderId="9" xfId="0" applyNumberFormat="1" applyFont="1" applyFill="1" applyBorder="1" applyAlignment="1">
      <x:alignment horizontal="center" vertical="center" wrapText="1"/>
    </x:xf>
    <x:xf numFmtId="0" fontId="8" fillId="13" xfId="0" applyNumberFormat="1" applyFont="1" applyFill="1" applyBorder="0" applyAlignment="1">
      <x:alignment horizontal="center" vertical="center" wrapText="1"/>
    </x:xf>
    <x:xf numFmtId="0" fontId="8" fillId="13" borderId="10" xfId="0" applyNumberFormat="1" applyFont="1" applyFill="1" applyBorder="1" applyAlignment="1">
      <x:alignment horizontal="center" vertical="center" wrapText="1"/>
    </x:xf>
    <x:xf numFmtId="0" fontId="8" fillId="13" borderId="11" xfId="0" applyNumberFormat="1" applyFont="1" applyFill="1" applyBorder="1" applyAlignment="1">
      <x:alignment horizontal="center" vertical="center" wrapText="1"/>
    </x:xf>
    <x:xf numFmtId="0" fontId="8" fillId="13" borderId="12" xfId="0" applyNumberFormat="1" applyFont="1" applyFill="1" applyBorder="1" applyAlignment="1">
      <x:alignment horizontal="center" vertical="center" wrapText="1"/>
    </x:xf>
    <x:xf numFmtId="0" fontId="8" fillId="13" borderId="13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6" xfId="0" applyNumberFormat="1" applyFont="1" applyFill="1" applyBorder="1"/>
    <x:xf numFmtId="0" fontId="8" fillId="17" borderId="7" xfId="0" applyNumberFormat="1" applyFont="1" applyFill="1" applyBorder="1"/>
    <x:xf numFmtId="0" fontId="8" fillId="17" borderId="8" xfId="0" applyNumberFormat="1" applyFont="1" applyFill="1" applyBorder="1"/>
    <x:xf numFmtId="0" fontId="8" fillId="17" borderId="9" xfId="0" applyNumberFormat="1" applyFont="1" applyFill="1" applyBorder="1"/>
    <x:xf numFmtId="0" fontId="8" fillId="17" xfId="0" applyNumberFormat="1" applyFont="1" applyFill="1" applyBorder="0"/>
    <x:xf numFmtId="0" fontId="8" fillId="17" borderId="10" xfId="0" applyNumberFormat="1" applyFont="1" applyFill="1" applyBorder="1"/>
    <x:xf numFmtId="0" fontId="8" fillId="17" borderId="11" xfId="0" applyNumberFormat="1" applyFont="1" applyFill="1" applyBorder="1"/>
    <x:xf numFmtId="0" fontId="8" fillId="17" borderId="12" xfId="0" applyNumberFormat="1" applyFont="1" applyFill="1" applyBorder="1"/>
    <x:xf numFmtId="0" fontId="8" fillId="17" borderId="13" xfId="0" applyNumberFormat="1" applyFont="1" applyFill="1" applyBorder="1"/>
    <x:xf numFmtId="0" fontId="8" fillId="17" borderId="6" xfId="0" applyNumberFormat="1" applyFont="1" applyFill="1" applyBorder="1" applyAlignment="1">
      <x:alignment wrapText="1"/>
    </x:xf>
    <x:xf numFmtId="0" fontId="8" fillId="17" borderId="7" xfId="0" applyNumberFormat="1" applyFont="1" applyFill="1" applyBorder="1" applyAlignment="1">
      <x:alignment wrapText="1"/>
    </x:xf>
    <x:xf numFmtId="0" fontId="8" fillId="17" borderId="8" xfId="0" applyNumberFormat="1" applyFont="1" applyFill="1" applyBorder="1" applyAlignment="1">
      <x:alignment wrapText="1"/>
    </x:xf>
    <x:xf numFmtId="0" fontId="8" fillId="17" borderId="9" xfId="0" applyNumberFormat="1" applyFont="1" applyFill="1" applyBorder="1" applyAlignment="1">
      <x:alignment wrapText="1"/>
    </x:xf>
    <x:xf numFmtId="0" fontId="8" fillId="17" xfId="0" applyNumberFormat="1" applyFont="1" applyFill="1" applyBorder="0" applyAlignment="1">
      <x:alignment wrapText="1"/>
    </x:xf>
    <x:xf numFmtId="0" fontId="8" fillId="17" borderId="10" xfId="0" applyNumberFormat="1" applyFont="1" applyFill="1" applyBorder="1" applyAlignment="1">
      <x:alignment wrapText="1"/>
    </x:xf>
    <x:xf numFmtId="0" fontId="8" fillId="17" borderId="11" xfId="0" applyNumberFormat="1" applyFont="1" applyFill="1" applyBorder="1" applyAlignment="1">
      <x:alignment wrapText="1"/>
    </x:xf>
    <x:xf numFmtId="0" fontId="8" fillId="17" borderId="12" xfId="0" applyNumberFormat="1" applyFont="1" applyFill="1" applyBorder="1" applyAlignment="1">
      <x:alignment wrapText="1"/>
    </x:xf>
    <x:xf numFmtId="0" fontId="8" fillId="17" borderId="13" xfId="0" applyNumberFormat="1" applyFont="1" applyFill="1" applyBorder="1" applyAlignment="1">
      <x:alignment wrapText="1"/>
    </x:xf>
    <x:xf numFmtId="0" fontId="8" fillId="17" borderId="6" xfId="0" applyNumberFormat="1" applyFont="1" applyFill="1" applyBorder="1" applyAlignment="1">
      <x:alignment horizontal="center" wrapText="1"/>
    </x:xf>
    <x:xf numFmtId="0" fontId="8" fillId="17" borderId="7" xfId="0" applyNumberFormat="1" applyFont="1" applyFill="1" applyBorder="1" applyAlignment="1">
      <x:alignment horizontal="center" wrapText="1"/>
    </x:xf>
    <x:xf numFmtId="0" fontId="8" fillId="17" borderId="8" xfId="0" applyNumberFormat="1" applyFont="1" applyFill="1" applyBorder="1" applyAlignment="1">
      <x:alignment horizontal="center" wrapText="1"/>
    </x:xf>
    <x:xf numFmtId="0" fontId="8" fillId="17" borderId="9" xfId="0" applyNumberFormat="1" applyFont="1" applyFill="1" applyBorder="1" applyAlignment="1">
      <x:alignment horizontal="center" wrapText="1"/>
    </x:xf>
    <x:xf numFmtId="0" fontId="8" fillId="17" xfId="0" applyNumberFormat="1" applyFont="1" applyFill="1" applyBorder="0" applyAlignment="1">
      <x:alignment horizontal="center" wrapText="1"/>
    </x:xf>
    <x:xf numFmtId="0" fontId="8" fillId="17" borderId="10" xfId="0" applyNumberFormat="1" applyFont="1" applyFill="1" applyBorder="1" applyAlignment="1">
      <x:alignment horizontal="center" wrapText="1"/>
    </x:xf>
    <x:xf numFmtId="0" fontId="8" fillId="17" borderId="11" xfId="0" applyNumberFormat="1" applyFont="1" applyFill="1" applyBorder="1" applyAlignment="1">
      <x:alignment horizontal="center" wrapText="1"/>
    </x:xf>
    <x:xf numFmtId="0" fontId="8" fillId="17" borderId="12" xfId="0" applyNumberFormat="1" applyFont="1" applyFill="1" applyBorder="1" applyAlignment="1">
      <x:alignment horizontal="center" wrapText="1"/>
    </x:xf>
    <x:xf numFmtId="0" fontId="8" fillId="17" borderId="13" xfId="0" applyNumberFormat="1" applyFont="1" applyFill="1" applyBorder="1" applyAlignment="1">
      <x:alignment horizontal="center" wrapText="1"/>
    </x:xf>
    <x:xf numFmtId="0" fontId="8" fillId="17" borderId="6" xfId="0" applyNumberFormat="1" applyFont="1" applyFill="1" applyBorder="1" applyAlignment="1">
      <x:alignment horizontal="center" vertical="center" wrapText="1"/>
    </x:xf>
    <x:xf numFmtId="0" fontId="8" fillId="17" borderId="7" xfId="0" applyNumberFormat="1" applyFont="1" applyFill="1" applyBorder="1" applyAlignment="1">
      <x:alignment horizontal="center" vertical="center" wrapText="1"/>
    </x:xf>
    <x:xf numFmtId="0" fontId="8" fillId="17" borderId="8" xfId="0" applyNumberFormat="1" applyFont="1" applyFill="1" applyBorder="1" applyAlignment="1">
      <x:alignment horizontal="center" vertical="center" wrapText="1"/>
    </x:xf>
    <x:xf numFmtId="0" fontId="8" fillId="17" borderId="9" xfId="0" applyNumberFormat="1" applyFont="1" applyFill="1" applyBorder="1" applyAlignment="1">
      <x:alignment horizontal="center" vertical="center" wrapText="1"/>
    </x:xf>
    <x:xf numFmtId="0" fontId="8" fillId="17" xfId="0" applyNumberFormat="1" applyFont="1" applyFill="1" applyBorder="0" applyAlignment="1">
      <x:alignment horizontal="center" vertical="center" wrapText="1"/>
    </x:xf>
    <x:xf numFmtId="0" fontId="8" fillId="17" borderId="10" xfId="0" applyNumberFormat="1" applyFont="1" applyFill="1" applyBorder="1" applyAlignment="1">
      <x:alignment horizontal="center" vertical="center" wrapText="1"/>
    </x:xf>
    <x:xf numFmtId="0" fontId="8" fillId="17" borderId="11" xfId="0" applyNumberFormat="1" applyFont="1" applyFill="1" applyBorder="1" applyAlignment="1">
      <x:alignment horizontal="center" vertical="center" wrapText="1"/>
    </x:xf>
    <x:xf numFmtId="0" fontId="8" fillId="17" borderId="12" xfId="0" applyNumberFormat="1" applyFont="1" applyFill="1" applyBorder="1" applyAlignment="1">
      <x:alignment horizontal="center" vertical="center" wrapText="1"/>
    </x:xf>
    <x:xf numFmtId="0" fontId="8" fillId="17" borderId="13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/>
    <x:xf numFmtId="0" fontId="8" fillId="12" borderId="6" xfId="0" applyNumberFormat="1" applyFont="1" applyFill="1" applyBorder="1"/>
    <x:xf numFmtId="0" fontId="8" fillId="12" borderId="7" xfId="0" applyNumberFormat="1" applyFont="1" applyFill="1" applyBorder="1"/>
    <x:xf numFmtId="0" fontId="8" fillId="12" borderId="8" xfId="0" applyNumberFormat="1" applyFont="1" applyFill="1" applyBorder="1"/>
    <x:xf numFmtId="0" fontId="8" fillId="12" borderId="9" xfId="0" applyNumberFormat="1" applyFont="1" applyFill="1" applyBorder="1"/>
    <x:xf numFmtId="0" fontId="8" fillId="12" xfId="0" applyNumberFormat="1" applyFont="1" applyFill="1" applyBorder="0"/>
    <x:xf numFmtId="0" fontId="8" fillId="12" borderId="10" xfId="0" applyNumberFormat="1" applyFont="1" applyFill="1" applyBorder="1"/>
    <x:xf numFmtId="0" fontId="8" fillId="12" borderId="11" xfId="0" applyNumberFormat="1" applyFont="1" applyFill="1" applyBorder="1"/>
    <x:xf numFmtId="0" fontId="8" fillId="12" borderId="12" xfId="0" applyNumberFormat="1" applyFont="1" applyFill="1" applyBorder="1"/>
    <x:xf numFmtId="0" fontId="8" fillId="12" borderId="13" xfId="0" applyNumberFormat="1" applyFont="1" applyFill="1" applyBorder="1"/>
    <x:xf numFmtId="0" fontId="8" fillId="12" borderId="6" xfId="0" applyNumberFormat="1" applyFont="1" applyFill="1" applyBorder="1" applyAlignment="1">
      <x:alignment wrapText="1"/>
    </x:xf>
    <x:xf numFmtId="0" fontId="8" fillId="12" borderId="7" xfId="0" applyNumberFormat="1" applyFont="1" applyFill="1" applyBorder="1" applyAlignment="1">
      <x:alignment wrapText="1"/>
    </x:xf>
    <x:xf numFmtId="0" fontId="8" fillId="12" borderId="8" xfId="0" applyNumberFormat="1" applyFont="1" applyFill="1" applyBorder="1" applyAlignment="1">
      <x:alignment wrapText="1"/>
    </x:xf>
    <x:xf numFmtId="0" fontId="8" fillId="12" borderId="9" xfId="0" applyNumberFormat="1" applyFont="1" applyFill="1" applyBorder="1" applyAlignment="1">
      <x:alignment wrapText="1"/>
    </x:xf>
    <x:xf numFmtId="0" fontId="8" fillId="12" xfId="0" applyNumberFormat="1" applyFont="1" applyFill="1" applyBorder="0" applyAlignment="1">
      <x:alignment wrapText="1"/>
    </x:xf>
    <x:xf numFmtId="0" fontId="8" fillId="12" borderId="10" xfId="0" applyNumberFormat="1" applyFont="1" applyFill="1" applyBorder="1" applyAlignment="1">
      <x:alignment wrapText="1"/>
    </x:xf>
    <x:xf numFmtId="0" fontId="8" fillId="12" borderId="11" xfId="0" applyNumberFormat="1" applyFont="1" applyFill="1" applyBorder="1" applyAlignment="1">
      <x:alignment wrapText="1"/>
    </x:xf>
    <x:xf numFmtId="0" fontId="8" fillId="12" borderId="12" xfId="0" applyNumberFormat="1" applyFont="1" applyFill="1" applyBorder="1" applyAlignment="1">
      <x:alignment wrapText="1"/>
    </x:xf>
    <x:xf numFmtId="0" fontId="8" fillId="12" borderId="13" xfId="0" applyNumberFormat="1" applyFont="1" applyFill="1" applyBorder="1" applyAlignment="1">
      <x:alignment wrapText="1"/>
    </x:xf>
    <x:xf numFmtId="0" fontId="8" fillId="12" borderId="6" xfId="0" applyNumberFormat="1" applyFont="1" applyFill="1" applyBorder="1" applyAlignment="1">
      <x:alignment horizontal="center" wrapText="1"/>
    </x:xf>
    <x:xf numFmtId="0" fontId="8" fillId="12" borderId="7" xfId="0" applyNumberFormat="1" applyFont="1" applyFill="1" applyBorder="1" applyAlignment="1">
      <x:alignment horizontal="center" wrapText="1"/>
    </x:xf>
    <x:xf numFmtId="0" fontId="8" fillId="12" borderId="8" xfId="0" applyNumberFormat="1" applyFont="1" applyFill="1" applyBorder="1" applyAlignment="1">
      <x:alignment horizontal="center" wrapText="1"/>
    </x:xf>
    <x:xf numFmtId="0" fontId="8" fillId="12" borderId="9" xfId="0" applyNumberFormat="1" applyFont="1" applyFill="1" applyBorder="1" applyAlignment="1">
      <x:alignment horizontal="center" wrapText="1"/>
    </x:xf>
    <x:xf numFmtId="0" fontId="8" fillId="12" xfId="0" applyNumberFormat="1" applyFont="1" applyFill="1" applyBorder="0" applyAlignment="1">
      <x:alignment horizontal="center" wrapText="1"/>
    </x:xf>
    <x:xf numFmtId="0" fontId="8" fillId="12" borderId="10" xfId="0" applyNumberFormat="1" applyFont="1" applyFill="1" applyBorder="1" applyAlignment="1">
      <x:alignment horizontal="center" wrapText="1"/>
    </x:xf>
    <x:xf numFmtId="0" fontId="8" fillId="12" borderId="11" xfId="0" applyNumberFormat="1" applyFont="1" applyFill="1" applyBorder="1" applyAlignment="1">
      <x:alignment horizontal="center" wrapText="1"/>
    </x:xf>
    <x:xf numFmtId="0" fontId="8" fillId="12" borderId="12" xfId="0" applyNumberFormat="1" applyFont="1" applyFill="1" applyBorder="1" applyAlignment="1">
      <x:alignment horizontal="center" wrapText="1"/>
    </x:xf>
    <x:xf numFmtId="0" fontId="8" fillId="12" borderId="13" xfId="0" applyNumberFormat="1" applyFont="1" applyFill="1" applyBorder="1" applyAlignment="1">
      <x:alignment horizontal="center" wrapText="1"/>
    </x:xf>
    <x:xf numFmtId="0" fontId="8" fillId="12" borderId="6" xfId="0" applyNumberFormat="1" applyFont="1" applyFill="1" applyBorder="1" applyAlignment="1">
      <x:alignment horizontal="center" vertical="center" wrapText="1"/>
    </x:xf>
    <x:xf numFmtId="0" fontId="8" fillId="12" borderId="7" xfId="0" applyNumberFormat="1" applyFont="1" applyFill="1" applyBorder="1" applyAlignment="1">
      <x:alignment horizontal="center" vertical="center" wrapText="1"/>
    </x:xf>
    <x:xf numFmtId="0" fontId="8" fillId="12" borderId="8" xfId="0" applyNumberFormat="1" applyFont="1" applyFill="1" applyBorder="1" applyAlignment="1">
      <x:alignment horizontal="center" vertical="center" wrapText="1"/>
    </x:xf>
    <x:xf numFmtId="0" fontId="8" fillId="12" borderId="9" xfId="0" applyNumberFormat="1" applyFont="1" applyFill="1" applyBorder="1" applyAlignment="1">
      <x:alignment horizontal="center" vertical="center" wrapText="1"/>
    </x:xf>
    <x:xf numFmtId="0" fontId="8" fillId="12" xfId="0" applyNumberFormat="1" applyFont="1" applyFill="1" applyBorder="0" applyAlignment="1">
      <x:alignment horizontal="center" vertical="center" wrapText="1"/>
    </x:xf>
    <x:xf numFmtId="0" fontId="8" fillId="12" borderId="10" xfId="0" applyNumberFormat="1" applyFont="1" applyFill="1" applyBorder="1" applyAlignment="1">
      <x:alignment horizontal="center" vertical="center" wrapText="1"/>
    </x:xf>
    <x:xf numFmtId="0" fontId="8" fillId="12" borderId="11" xfId="0" applyNumberFormat="1" applyFont="1" applyFill="1" applyBorder="1" applyAlignment="1">
      <x:alignment horizontal="center" vertical="center" wrapText="1"/>
    </x:xf>
    <x:xf numFmtId="0" fontId="8" fillId="12" borderId="12" xfId="0" applyNumberFormat="1" applyFont="1" applyFill="1" applyBorder="1" applyAlignment="1">
      <x:alignment horizontal="center" vertical="center" wrapText="1"/>
    </x:xf>
    <x:xf numFmtId="0" fontId="8" fillId="12" borderId="13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14" xfId="0" applyNumberFormat="1" applyFont="1" applyFill="1" applyBorder="1"/>
    <x:xf numFmtId="0" fontId="9" fillId="18" borderId="15" xfId="0" applyNumberFormat="1" applyFont="1" applyFill="1" applyBorder="1"/>
    <x:xf numFmtId="0" fontId="9" fillId="18" borderId="16" xfId="0" applyNumberFormat="1" applyFont="1" applyFill="1" applyBorder="1"/>
    <x:xf numFmtId="0" fontId="9" fillId="18" borderId="14" xfId="0" applyNumberFormat="1" applyFont="1" applyFill="1" applyBorder="1" applyAlignment="1">
      <x:alignment horizontal="left"/>
    </x:xf>
    <x:xf numFmtId="0" fontId="9" fillId="18" borderId="15" xfId="0" applyNumberFormat="1" applyFont="1" applyFill="1" applyBorder="1" applyAlignment="1">
      <x:alignment horizontal="left"/>
    </x:xf>
    <x:xf numFmtId="0" fontId="9" fillId="18" borderId="16" xfId="0" applyNumberFormat="1" applyFont="1" applyFill="1" applyBorder="1" applyAlignment="1">
      <x:alignment horizontal="left"/>
    </x:xf>
    <x:xf numFmtId="0" fontId="9" fillId="18" borderId="14" xfId="0" applyNumberFormat="1" applyFont="1" applyFill="1" applyBorder="1" applyAlignment="1">
      <x:alignment horizontal="left" vertical="center"/>
    </x:xf>
    <x:xf numFmtId="0" fontId="9" fillId="18" borderId="15" xfId="0" applyNumberFormat="1" applyFont="1" applyFill="1" applyBorder="1" applyAlignment="1">
      <x:alignment horizontal="left" vertical="center"/>
    </x:xf>
    <x:xf numFmtId="0" fontId="9" fillId="18" borderId="16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14" xfId="0" applyNumberFormat="1" applyFont="1" applyFill="1" applyBorder="1"/>
    <x:xf numFmtId="0" fontId="9" fillId="19" borderId="15" xfId="0" applyNumberFormat="1" applyFont="1" applyFill="1" applyBorder="1"/>
    <x:xf numFmtId="0" fontId="9" fillId="19" borderId="16" xfId="0" applyNumberFormat="1" applyFont="1" applyFill="1" applyBorder="1"/>
    <x:xf numFmtId="0" fontId="9" fillId="19" borderId="14" xfId="0" applyNumberFormat="1" applyFont="1" applyFill="1" applyBorder="1" applyAlignment="1">
      <x:alignment horizontal="left"/>
    </x:xf>
    <x:xf numFmtId="0" fontId="9" fillId="19" borderId="15" xfId="0" applyNumberFormat="1" applyFont="1" applyFill="1" applyBorder="1" applyAlignment="1">
      <x:alignment horizontal="left"/>
    </x:xf>
    <x:xf numFmtId="0" fontId="9" fillId="19" borderId="16" xfId="0" applyNumberFormat="1" applyFont="1" applyFill="1" applyBorder="1" applyAlignment="1">
      <x:alignment horizontal="left"/>
    </x:xf>
    <x:xf numFmtId="0" fontId="9" fillId="19" borderId="14" xfId="0" applyNumberFormat="1" applyFont="1" applyFill="1" applyBorder="1" applyAlignment="1">
      <x:alignment horizontal="left" vertical="center"/>
    </x:xf>
    <x:xf numFmtId="0" fontId="9" fillId="19" borderId="15" xfId="0" applyNumberFormat="1" applyFont="1" applyFill="1" applyBorder="1" applyAlignment="1">
      <x:alignment horizontal="left" vertical="center"/>
    </x:xf>
    <x:xf numFmtId="0" fontId="9" fillId="19" borderId="16" xfId="0" applyNumberFormat="1" applyFont="1" applyFill="1" applyBorder="1" applyAlignment="1">
      <x:alignment horizontal="left" vertical="center"/>
    </x:xf>
    <x:xf numFmtId="0" fontId="9" fillId="14" borderId="0" xfId="0" applyNumberFormat="1" applyFont="1" applyFill="1" applyBorder="1"/>
    <x:xf numFmtId="0" fontId="9" fillId="14" borderId="14" xfId="0" applyNumberFormat="1" applyFont="1" applyFill="1" applyBorder="1"/>
    <x:xf numFmtId="0" fontId="9" fillId="14" borderId="15" xfId="0" applyNumberFormat="1" applyFont="1" applyFill="1" applyBorder="1"/>
    <x:xf numFmtId="0" fontId="9" fillId="14" borderId="16" xfId="0" applyNumberFormat="1" applyFont="1" applyFill="1" applyBorder="1"/>
    <x:xf numFmtId="0" fontId="9" fillId="14" borderId="14" xfId="0" applyNumberFormat="1" applyFont="1" applyFill="1" applyBorder="1" applyAlignment="1">
      <x:alignment horizontal="left"/>
    </x:xf>
    <x:xf numFmtId="0" fontId="9" fillId="14" borderId="15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 applyAlignment="1">
      <x:alignment horizontal="left"/>
    </x:xf>
    <x:xf numFmtId="0" fontId="9" fillId="14" borderId="14" xfId="0" applyNumberFormat="1" applyFont="1" applyFill="1" applyBorder="1" applyAlignment="1">
      <x:alignment horizontal="left" vertical="center"/>
    </x:xf>
    <x:xf numFmtId="0" fontId="9" fillId="14" borderId="15" xfId="0" applyNumberFormat="1" applyFont="1" applyFill="1" applyBorder="1" applyAlignment="1">
      <x:alignment horizontal="left" vertical="center"/>
    </x:xf>
    <x:xf numFmtId="0" fontId="9" fillId="14" borderId="16" xfId="0" applyNumberFormat="1" applyFont="1" applyFill="1" applyBorder="1" applyAlignment="1">
      <x:alignment horizontal="left" vertical="center"/>
    </x:xf>
    <x:xf numFmtId="0" fontId="5" fillId="16" borderId="0" xfId="0" applyNumberFormat="1" applyFont="1" applyFill="1" applyBorder="1"/>
    <x:xf numFmtId="0" fontId="5" fillId="16" borderId="3" xfId="0" applyNumberFormat="1" applyFont="1" applyFill="1" applyBorder="1"/>
    <x:xf numFmtId="0" fontId="5" fillId="16" borderId="5" xfId="0" applyNumberFormat="1" applyFont="1" applyFill="1" applyBorder="1"/>
    <x:xf numFmtId="0" fontId="5" fillId="16" borderId="3" xfId="0" applyNumberFormat="1" applyFont="1" applyFill="1" applyBorder="1" applyAlignment="1">
      <x:alignment wrapText="1"/>
    </x:xf>
    <x:xf numFmtId="0" fontId="5" fillId="16" borderId="5" xfId="0" applyNumberFormat="1" applyFont="1" applyFill="1" applyBorder="1" applyAlignment="1">
      <x:alignment wrapText="1"/>
    </x:xf>
    <x:xf numFmtId="0" fontId="5" fillId="16" borderId="3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B7791F"/>
      </x:font>
      <x:fill>
        <x:patternFill>
          <x:bgColor rgb="FFFFF2CC"/>
        </x:patternFill>
      </x:fill>
    </x:dxf>
    <x:dxf>
      <x:font>
        <x:b/>
        <x:color rgb="FFB7791F"/>
      </x:font>
      <x:fill>
        <x:patternFill>
          <x:bgColor rgb="FFFFF2CC"/>
        </x:patternFill>
      </x:fill>
    </x:dxf>
    <x:dxf>
      <x:font>
        <x:b/>
        <x:color rgb="FF2F855A"/>
      </x:font>
      <x:fill>
        <x:patternFill>
          <x:bgColor rgb="FFE2F0D9"/>
        </x:patternFill>
      </x:fill>
    </x:dxf>
    <x:dxf>
      <x:font>
        <x:b/>
        <x:color rgb="FFC53030"/>
      </x:font>
      <x:fill>
        <x:patternFill>
          <x:bgColor rgb="FFFCE8E6"/>
        </x:patternFill>
      </x:fill>
    </x:dxf>
    <x:dxf>
      <x:font>
        <x:b/>
        <x:color rgb="FF2F855A"/>
      </x:font>
      <x:fill>
        <x:patternFill patternType="solid">
          <x:bgColor rgb="FFE2F0D9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b/>
        <x:color rgb="FFC53030"/>
      </x:font>
      <x:fill>
        <x:patternFill patternType="solid">
          <x:bgColor rgb="FFFCE8E6"/>
        </x:patternFill>
      </x:fill>
    </x:dxf>
    <x:dxf>
      <x:font>
        <x:b/>
        <x:color rgb="FF2F855A"/>
      </x:font>
      <x:fill>
        <x:patternFill patternType="solid">
          <x:bgColor rgb="FFE2F0D9"/>
        </x:patternFill>
      </x:fill>
    </x:dxf>
    <x:dxf>
      <x:font>
        <x:b/>
        <x:color rgb="FFB7791F"/>
      </x:font>
      <x:fill>
        <x:patternFill patternType="solid">
          <x:bgColor rgb="FFFFF2CC"/>
        </x:patternFill>
      </x:fill>
    </x:dxf>
    <x:dxf>
      <x:font>
        <x:b/>
        <x:color rgb="FFC53030"/>
      </x:font>
      <x:fill>
        <x:patternFill patternType="solid">
          <x:bgColor rgb="FFFCE8E6"/>
        </x:patternFill>
      </x:fill>
    </x:dxf>
    <x:dxf>
      <x:font>
        <x:b/>
        <x:color rgb="FF2F855A"/>
      </x:font>
      <x:fill>
        <x:patternFill patternType="solid">
          <x:bgColor rgb="FFE2F0D9"/>
        </x:patternFill>
      </x:fill>
    </x:dxf>
    <x:dxf>
      <x:font>
        <x:b/>
        <x:color rgb="FFC53030"/>
      </x:font>
      <x:fill>
        <x:patternFill patternType="solid">
          <x:bgColor rgb="FFFCE8E6"/>
        </x:patternFill>
      </x:fill>
    </x:dxf>
    <x:dxf>
      <x:font>
        <x:b/>
        <x:color rgb="FF15253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510ffce224596" /><Relationship Type="http://schemas.openxmlformats.org/officeDocument/2006/relationships/theme" Target="/xl/theme/theme1.xml" Id="R08ec2064d1a34e11" /><Relationship Type="http://schemas.microsoft.com/office/2022/11/relationships/FeaturePropertyBag" Target="/xl/featurePropertyBag/featurePropertyBag.xml" Id="R1ffe441b2f264ab8" /><Relationship Type="http://schemas.openxmlformats.org/officeDocument/2006/relationships/sharedStrings" Target="/xl/sharedStrings.xml" Id="R831c88f5ef934138" /><Relationship Type="http://schemas.openxmlformats.org/officeDocument/2006/relationships/worksheet" Target="/xl/worksheets/sheet1.xml" Id="R26ac99dad6cb42e0" /><Relationship Type="http://schemas.openxmlformats.org/officeDocument/2006/relationships/worksheet" Target="/xl/worksheets/sheet2.xml" Id="Rf3a4fcdd1d3944ee" /><Relationship Type="http://schemas.openxmlformats.org/officeDocument/2006/relationships/worksheet" Target="/xl/worksheets/sheet3.xml" Id="R5b861c11e3c646ec" /><Relationship Type="http://schemas.openxmlformats.org/officeDocument/2006/relationships/worksheet" Target="/xl/worksheets/sheet4.xml" Id="R21f472b4170b4087" /><Relationship Type="http://schemas.openxmlformats.org/officeDocument/2006/relationships/worksheet" Target="/xl/worksheets/sheet5.xml" Id="R4ec845ea7df84ecc" /><Relationship Type="http://schemas.openxmlformats.org/officeDocument/2006/relationships/worksheet" Target="/xl/worksheets/sheet6.xml" Id="Rfd2eb04bb8e1421e" /><Relationship Type="http://schemas.openxmlformats.org/officeDocument/2006/relationships/worksheet" Target="/xl/worksheets/sheet7.xml" Id="R027d433d07d14186" /><Relationship Type="http://schemas.openxmlformats.org/officeDocument/2006/relationships/worksheet" Target="/xl/worksheets/sheet8.xml" Id="R73c56579cc1a4e8e" /><Relationship Type="http://schemas.openxmlformats.org/officeDocument/2006/relationships/worksheet" Target="/xl/worksheets/sheet9.xml" Id="Rf97f682768fc4cf5" /><Relationship Type="http://schemas.openxmlformats.org/officeDocument/2006/relationships/worksheet" Target="/xl/worksheets/sheet10.xml" Id="R8e1e2c45e7184698" /><Relationship Type="http://schemas.openxmlformats.org/officeDocument/2006/relationships/worksheet" Target="/xl/worksheets/sheet11.xml" Id="R54b1d49343c140da" /><Relationship Type="http://schemas.openxmlformats.org/officeDocument/2006/relationships/worksheet" Target="/xl/worksheets/sheet12.xml" Id="R3e682a6e68a54fd8" /><Relationship Type="http://schemas.microsoft.com/office/2017/10/relationships/person" Target="/xl/persons/person.xml" Id="R90832665efff42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288b9a194b48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Six-Factor Scores (1-10)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1F7A8C"/>
            </a:solidFill>
          </c:spPr>
          <c:cat>
            <c:strRef>
              <c:f>'Cover'!$B$12:$B$21</c:f>
              <c:strCache>
                <c:ptCount val="0"/>
              </c:strCache>
            </c:strRef>
          </c:cat>
          <c:val>
            <c:numRef>
              <c:f>'Cover'!$D$12:$D$21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288b9a194b488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2CD364B6-D5BE-4ADC-A59F-A796D38AAE9C}"/>
  <xltc:person displayName="User" id="{51C7C511-5EBF-47E7-9116-CCBF8C27FC72}"/>
</xltc:personList>
</file>

<file path=xl/tables/table1.xml><?xml version="1.0" encoding="utf-8"?>
<x:table xmlns:x="http://schemas.openxmlformats.org/spreadsheetml/2006/main" id="11" name="SixFactorRankingsTable" displayName="SixFactorRankingsTable" ref="A4:AE121" headerRowCount="1" totalsRowCount="0" totalsRowShown="0">
  <x:tableColumns count="31">
    <x:tableColumn id="1" name="Overall Rank"/>
    <x:tableColumn id="2" name="Ticker"/>
    <x:tableColumn id="3" name="Company"/>
    <x:tableColumn id="4" name="BTAL Side"/>
    <x:tableColumn id="5" name="BTAL Weight"/>
    <x:tableColumn id="6" name="Beta"/>
    <x:tableColumn id="7" name="Bad Beta"/>
    <x:tableColumn id="8" name="Overall Score"/>
    <x:tableColumn id="9" name="Score Coverage"/>
    <x:tableColumn id="10" name="Quality"/>
    <x:tableColumn id="11" name="Quality Rank"/>
    <x:tableColumn id="12" name="Fund. Momentum"/>
    <x:tableColumn id="13" name="FM Rank"/>
    <x:tableColumn id="14" name="FM Method"/>
    <x:tableColumn id="15" name="Analyst Revisions"/>
    <x:tableColumn id="16" name="AR Rank"/>
    <x:tableColumn id="17" name="Current FQ EPS Est."/>
    <x:tableColumn id="18" name="30D-Prior EPS Est."/>
    <x:tableColumn id="19" name="EPS Revision 30D"/>
    <x:tableColumn id="20" name="Revision Status"/>
    <x:tableColumn id="21" name="Valuation"/>
    <x:tableColumn id="22" name="Valuation Rank"/>
    <x:tableColumn id="23" name="Conservative Invest."/>
    <x:tableColumn id="24" name="CI Rank"/>
    <x:tableColumn id="25" name="Shareholder Yield"/>
    <x:tableColumn id="26" name="SY Rank"/>
    <x:tableColumn id="27" name="Sector"/>
    <x:tableColumn id="28" name="Price Date"/>
    <x:tableColumn id="29" name="Latest Quarter"/>
    <x:tableColumn id="30" name="Latest Annual"/>
    <x:tableColumn id="31" name="Dat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QualityFactorTable" displayName="QualityFactorTable" ref="A4:N121" headerRowCount="1" totalsRowCount="0" totalsRowShown="0">
  <x:autoFilter ref="A4:N121"/>
  <x:tableColumns count="14">
    <x:tableColumn id="1" name="Rank"/>
    <x:tableColumn id="2" name="Ticker"/>
    <x:tableColumn id="3" name="Company"/>
    <x:tableColumn id="4" name="Quality Score"/>
    <x:tableColumn id="5" name="ROE"/>
    <x:tableColumn id="6" name="ROE Z"/>
    <x:tableColumn id="7" name="B/S Accruals"/>
    <x:tableColumn id="8" name="Accruals Z"/>
    <x:tableColumn id="9" name="Leverage"/>
    <x:tableColumn id="10" name="Leverage Z"/>
    <x:tableColumn id="11" name="Average Z"/>
    <x:tableColumn id="12" name="BSA Excluded"/>
    <x:tableColumn id="13" name="SIC / Sector"/>
    <x:tableColumn id="14" name="SEC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FundamentalMomentumTable" displayName="FundamentalMomentumTable" ref="A4:Q121" headerRowCount="1" totalsRowCount="0" totalsRowShown="0">
  <x:autoFilter ref="A4:Q121"/>
  <x:tableColumns count="17">
    <x:tableColumn id="1" name="Rank"/>
    <x:tableColumn id="2" name="Ticker"/>
    <x:tableColumn id="3" name="Company"/>
    <x:tableColumn id="4" name="FM Score"/>
    <x:tableColumn id="5" name="Method"/>
    <x:tableColumn id="6" name="SUE"/>
    <x:tableColumn id="7" name="SUE Pctl"/>
    <x:tableColumn id="8" name="EPS Innovations"/>
    <x:tableColumn id="9" name="CAR3"/>
    <x:tableColumn id="10" name="CAR3 Pctl"/>
    <x:tableColumn id="11" name="Announcement"/>
    <x:tableColumn id="12" name="Mapped Trading Day"/>
    <x:tableColumn id="13" name="Event Source"/>
    <x:tableColumn id="14" name="EPS Quarters"/>
    <x:tableColumn id="15" name="CAR3 Window"/>
    <x:tableColumn id="16" name="SEC Source"/>
    <x:tableColumn id="17" name="Price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ValuationFactorTable" displayName="ValuationFactorTable" ref="A4:N121" headerRowCount="1" totalsRowCount="0" totalsRowShown="0">
  <x:autoFilter ref="A4:N121"/>
  <x:tableColumns count="14">
    <x:tableColumn id="1" name="Rank"/>
    <x:tableColumn id="2" name="Ticker"/>
    <x:tableColumn id="3" name="Company"/>
    <x:tableColumn id="4" name="Valuation Score"/>
    <x:tableColumn id="5" name="Price"/>
    <x:tableColumn id="6" name="Market Cap"/>
    <x:tableColumn id="7" name="Earnings Yield"/>
    <x:tableColumn id="8" name="FCF Yield"/>
    <x:tableColumn id="9" name="Book / Price"/>
    <x:tableColumn id="10" name="Sales / EV"/>
    <x:tableColumn id="11" name="Market Cap Source"/>
    <x:tableColumn id="12" name="Sector Method"/>
    <x:tableColumn id="13" name="Price Date"/>
    <x:tableColumn id="14" name="Nasdaq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ConservativeInvestmentTable" displayName="ConservativeInvestmentTable" ref="A4:M121" headerRowCount="1" totalsRowCount="0" totalsRowShown="0">
  <x:autoFilter ref="A4:M121"/>
  <x:tableColumns count="13">
    <x:tableColumn id="1" name="Rank"/>
    <x:tableColumn id="2" name="Ticker"/>
    <x:tableColumn id="3" name="Company"/>
    <x:tableColumn id="4" name="CI Score"/>
    <x:tableColumn id="5" name="Asset Growth"/>
    <x:tableColumn id="6" name="Asset Growth Pctl"/>
    <x:tableColumn id="7" name="Capex / Avg Assets"/>
    <x:tableColumn id="8" name="Capex Pctl"/>
    <x:tableColumn id="9" name="Method"/>
    <x:tableColumn id="10" name="Latest Annual"/>
    <x:tableColumn id="11" name="Prior Assets"/>
    <x:tableColumn id="12" name="Current Assets"/>
    <x:tableColumn id="13" name="SEC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hareholderYieldTable" displayName="ShareholderYieldTable" ref="A4:N121" headerRowCount="1" totalsRowCount="0" totalsRowShown="0">
  <x:autoFilter ref="A4:N121"/>
  <x:tableColumns count="14">
    <x:tableColumn id="1" name="Rank"/>
    <x:tableColumn id="2" name="Ticker"/>
    <x:tableColumn id="3" name="Company"/>
    <x:tableColumn id="4" name="SY Score"/>
    <x:tableColumn id="5" name="Total Shareholder Yield"/>
    <x:tableColumn id="6" name="Dividend Yield"/>
    <x:tableColumn id="7" name="Net Buyback Yield"/>
    <x:tableColumn id="8" name="Buyback Method"/>
    <x:tableColumn id="9" name="Net Debt Paydown"/>
    <x:tableColumn id="10" name="Cash Repurchases"/>
    <x:tableColumn id="11" name="Cash Issuance"/>
    <x:tableColumn id="12" name="Share Change Proxy"/>
    <x:tableColumn id="13" name="Market Cap"/>
    <x:tableColumn id="14" name="SEC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2" name="SixFactorSourceLedger" displayName="SixFactorSourceLedger" ref="A3:D11" headerRowCount="1" totalsRowCount="0" totalsRowShown="0">
  <x:tableColumns count="4">
    <x:tableColumn id="1" name="Source"/>
    <x:tableColumn id="2" name="URL / Path"/>
    <x:tableColumn id="3" name="Use"/>
    <x:tableColumn id="4" name="As-of /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" name="RawInputsTable" displayName="RawInputsTable" ref="A1:CE118" headerRowCount="1" totalsRowCount="0" totalsRowShown="0">
  <x:autoFilter ref="A1:CE118"/>
  <x:tableColumns count="83">
    <x:tableColumn id="1" name="Ticker"/>
    <x:tableColumn id="2" name="Company"/>
    <x:tableColumn id="3" name="BTAL Side"/>
    <x:tableColumn id="4" name="BTAL Weight"/>
    <x:tableColumn id="5" name="Beta"/>
    <x:tableColumn id="6" name="Bad Beta"/>
    <x:tableColumn id="7" name="Beta Tercile"/>
    <x:tableColumn id="8" name="Bad Beta Tercile"/>
    <x:tableColumn id="9" name="Grid Cell"/>
    <x:tableColumn id="10" name="Grid Score"/>
    <x:tableColumn id="11" name="Price Date"/>
    <x:tableColumn id="12" name="Price"/>
    <x:tableColumn id="13" name="Market Cap"/>
    <x:tableColumn id="14" name="Market Cap Source"/>
    <x:tableColumn id="15" name="Nasdaq Sector"/>
    <x:tableColumn id="16" name="Nasdaq Industry"/>
    <x:tableColumn id="17" name="SIC"/>
    <x:tableColumn id="18" name="SIC Description"/>
    <x:tableColumn id="19" name="Latest Quarter End"/>
    <x:tableColumn id="20" name="Latest Annual End"/>
    <x:tableColumn id="21" name="Quality Avg Z"/>
    <x:tableColumn id="22" name="Quality Percentile"/>
    <x:tableColumn id="23" name="ROE"/>
    <x:tableColumn id="24" name="ROE Z"/>
    <x:tableColumn id="25" name="Balance Sheet Accruals"/>
    <x:tableColumn id="26" name="Accruals Z"/>
    <x:tableColumn id="27" name="Financial Leverage"/>
    <x:tableColumn id="28" name="Leverage Z"/>
    <x:tableColumn id="29" name="Exclude BSA"/>
    <x:tableColumn id="30" name="SUE"/>
    <x:tableColumn id="31" name="SUE Percentile"/>
    <x:tableColumn id="32" name="Earnings Innovation"/>
    <x:tableColumn id="33" name="SUE Innovation Count"/>
    <x:tableColumn id="34" name="EPS Quarters"/>
    <x:tableColumn id="35" name="CAR3"/>
    <x:tableColumn id="36" name="CAR3 Percentile"/>
    <x:tableColumn id="37" name="Announcement Date"/>
    <x:tableColumn id="38" name="Mapped Event Date"/>
    <x:tableColumn id="39" name="CAR3 Window"/>
    <x:tableColumn id="40" name="Earnings Date Source"/>
    <x:tableColumn id="41" name="Fundamental Momentum Method"/>
    <x:tableColumn id="42" name="Earnings Yield"/>
    <x:tableColumn id="43" name="Earnings Yield Percentile"/>
    <x:tableColumn id="44" name="FCF Yield"/>
    <x:tableColumn id="45" name="FCF Yield Percentile"/>
    <x:tableColumn id="46" name="Book to Price"/>
    <x:tableColumn id="47" name="Book to Price Percentile"/>
    <x:tableColumn id="48" name="Sales to EV"/>
    <x:tableColumn id="49" name="Sales to EV Percentile"/>
    <x:tableColumn id="50" name="Asset Growth"/>
    <x:tableColumn id="51" name="Asset Growth Percentile"/>
    <x:tableColumn id="52" name="Capex to Avg Assets"/>
    <x:tableColumn id="53" name="Capex Intensity Percentile"/>
    <x:tableColumn id="54" name="Shareholder Yield"/>
    <x:tableColumn id="55" name="Shareholder Yield Percentile"/>
    <x:tableColumn id="56" name="Dividend Yield"/>
    <x:tableColumn id="57" name="Cash Net Buyback Yield"/>
    <x:tableColumn id="58" name="Share Count Buyback Proxy"/>
    <x:tableColumn id="59" name="Net Buyback Yield Used"/>
    <x:tableColumn id="60" name="Buyback Method"/>
    <x:tableColumn id="61" name="Net Debt Paydown Yield"/>
    <x:tableColumn id="62" name="Annual Dividends"/>
    <x:tableColumn id="63" name="Annual Repurchase Cash"/>
    <x:tableColumn id="64" name="Annual Issuance Cash"/>
    <x:tableColumn id="65" name="Revenue TTM"/>
    <x:tableColumn id="66" name="Net Income TTM"/>
    <x:tableColumn id="67" name="CFO TTM"/>
    <x:tableColumn id="68" name="Capex TTM"/>
    <x:tableColumn id="69" name="FCF TTM"/>
    <x:tableColumn id="70" name="Assets"/>
    <x:tableColumn id="71" name="Assets Prior"/>
    <x:tableColumn id="72" name="Equity"/>
    <x:tableColumn id="73" name="Cash"/>
    <x:tableColumn id="74" name="Debt"/>
    <x:tableColumn id="75" name="Debt Prior"/>
    <x:tableColumn id="76" name="Shares Outstanding"/>
    <x:tableColumn id="77" name="Weighted Share Change"/>
    <x:tableColumn id="78" name="Factor Coverage"/>
    <x:tableColumn id="79" name="Data Status"/>
    <x:tableColumn id="80" name="Price Source"/>
    <x:tableColumn id="81" name="SEC Companyfacts"/>
    <x:tableColumn id="82" name="SEC Submissions"/>
    <x:tableColumn id="83" name="Nasdaq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nalystRevisionTable" displayName="AnalystRevisionTable" ref="A4:M121" headerRowCount="1" totalsRowCount="0" totalsRowShown="0">
  <x:tableColumns count="13">
    <x:tableColumn id="1" name="Revision Rank"/>
    <x:tableColumn id="2" name="Ticker"/>
    <x:tableColumn id="3" name="Company"/>
    <x:tableColumn id="4" name="Yahoo Symbol"/>
    <x:tableColumn id="5" name="Retrieved UTC"/>
    <x:tableColumn id="6" name="Analyst Count"/>
    <x:tableColumn id="7" name="Current-Q EPS Est."/>
    <x:tableColumn id="8" name="EPS Est. 30D Ago"/>
    <x:tableColumn id="9" name="EPS Revision 30D"/>
    <x:tableColumn id="10" name="Revision Percentile"/>
    <x:tableColumn id="11" name="Analyst Revision Score"/>
    <x:tableColumn id="12" name="Data Status"/>
    <x:tableColumn id="13" name="Source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ixFactorCalcTable" displayName="SixFactorCalcTable" ref="A4:AE121" headerRowCount="1" totalsRowCount="0" totalsRowShown="0">
  <x:tableColumns count="31">
    <x:tableColumn id="1" name="Overall Rank"/>
    <x:tableColumn id="2" name="Ticker"/>
    <x:tableColumn id="3" name="Company"/>
    <x:tableColumn id="4" name="BTAL Side"/>
    <x:tableColumn id="5" name="BTAL Weight"/>
    <x:tableColumn id="6" name="Beta"/>
    <x:tableColumn id="7" name="Bad Beta"/>
    <x:tableColumn id="8" name="Overall Score"/>
    <x:tableColumn id="9" name="Score Coverage"/>
    <x:tableColumn id="10" name="Quality"/>
    <x:tableColumn id="11" name="Quality Rank"/>
    <x:tableColumn id="12" name="Fund. Momentum"/>
    <x:tableColumn id="13" name="FM Rank"/>
    <x:tableColumn id="14" name="FM Method"/>
    <x:tableColumn id="15" name="Analyst Revisions"/>
    <x:tableColumn id="16" name="AR Rank"/>
    <x:tableColumn id="17" name="Current FQ EPS Est."/>
    <x:tableColumn id="18" name="30D-Prior EPS Est."/>
    <x:tableColumn id="19" name="EPS Revision 30D"/>
    <x:tableColumn id="20" name="Revision Status"/>
    <x:tableColumn id="21" name="Valuation"/>
    <x:tableColumn id="22" name="Valuation Rank"/>
    <x:tableColumn id="23" name="Conservative Invest."/>
    <x:tableColumn id="24" name="CI Rank"/>
    <x:tableColumn id="25" name="Shareholder Yield"/>
    <x:tableColumn id="26" name="SY Rank"/>
    <x:tableColumn id="27" name="Sector"/>
    <x:tableColumn id="28" name="Price Date"/>
    <x:tableColumn id="29" name="Latest Quarter"/>
    <x:tableColumn id="30" name="Latest Annual"/>
    <x:tableColumn id="31" name="Data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4" dT="2026-07-15T16:36:36.904" personId="{2CD364B6-D5BE-4ADC-A59F-A796D38AAE9C}" id="{0EFB7136-2CC0-6C1A-345E-D875537906ED}">
    <xltc:text>Overall score weights Quality and Fundamental Momentum at 30% each, with Valuation, Conservative Investment and Shareholder Yield at 13.33% each. It is a research-priority screen, not a portfolio weight.</xltc:text>
  </xltc:threadedComment>
  <xltc:threadedComment ref="H4" dT="2026-08-09T16:47:48.785" personId="{51C7C511-5EBF-47E7-9116-CCBF8C27FC72}" id="{CCF72AF3-D715-C303-F6AC-8F6320E337E8}">
    <xltc:text>Missing factors are proportionally renormalized. Names without valid Yahoo current-quarter revision data preserve the original five-factor weighting proportions.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4" dT="2026-07-15T16:36:36.907" personId="{2CD364B6-D5BE-4ADC-A59F-A796D38AAE9C}" id="{F634F5F2-C2D9-4960-4187-9693AB198A08}">
    <xltc:text>The paper defines SUE and CAR3 separately. Equal weighting is an explicit operational extension for this screen.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E4" dT="2026-07-15T16:36:36.907" personId="{2CD364B6-D5BE-4ADC-A59F-A796D38AAE9C}" id="{339006BD-7227-EF72-311C-D06B1F5A09CB}">
    <xltc:text>Net debt paydown is excluded for financial and real-estate names because debt is operating funding in those sectors.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4" dT="2026-07-15T16:36:36.907" personId="{2CD364B6-D5BE-4ADC-A59F-A796D38AAE9C}" id="{BBEACE36-8FEE-A880-2AE0-50CF7BCF40E8}">
    <xltc:text>Editable factor weights. The five inputs must sum to 100%; the Sources &amp; Checks tab audits the total.</xltc:text>
  </xltc:threadedComment>
  <xltc:threadedComment ref="C7" dT="2026-08-09T16:47:48.785" personId="{51C7C511-5EBF-47E7-9116-CCBF8C27FC72}" id="{78FF8744-37B0-2850-DE8A-1F87C77A0C77}">
    <xltc:text>Analyst Revisions receives 16.67%. The other five weights are the previous weights multiplied by 5/6, preserving their relative proportions.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I4" dT="2026-08-09T16:47:48.785" personId="{51C7C511-5EBF-47E7-9116-CCBF8C27FC72}" id="{492EB895-4598-A01E-3258-B96E3D749A40}">
    <xltc:text>Revision uses (current Yahoo 0q EPS estimate - the same estimate 30 days ago) divided by the absolute prior estimate so improvement from a negative base remains positive.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d497069e4041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265877eb95a4e64" /><Relationship Type="http://schemas.openxmlformats.org/officeDocument/2006/relationships/vmlDrawing" Target="/xl/drawings/vmldrawing.vml" Id="R3c47a7b0db524bc8" /><Relationship Type="http://schemas.microsoft.com/office/2017/10/relationships/threadedComment" Target="/xl/threadedcomments/threadedcomment.xml" Id="Rc9b1a8590c124331" /><Relationship Type="http://schemas.openxmlformats.org/officeDocument/2006/relationships/table" Target="/xl/tables/table1.xml" Id="R76485f4e0eda47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7050d66ca747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511b1e728c45405a" /><Relationship Type="http://schemas.openxmlformats.org/officeDocument/2006/relationships/vmlDrawing" Target="/xl/drawings/vmldrawing2.vml" Id="Rf8d79858146f4d9f" /><Relationship Type="http://schemas.microsoft.com/office/2017/10/relationships/threadedComment" Target="/xl/threadedcomments/threadedcomment2.xml" Id="Rbea4c7c272c04a4b" /><Relationship Type="http://schemas.openxmlformats.org/officeDocument/2006/relationships/table" Target="/xl/tables/table3.xml" Id="Rbb577ca5e8054d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6ab411542945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5c1ad8ca1d42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3.xml" Id="R5ad14c00413246c2" /><Relationship Type="http://schemas.openxmlformats.org/officeDocument/2006/relationships/vmlDrawing" Target="/xl/drawings/vmldrawing3.vml" Id="Rfb029ee92107478b" /><Relationship Type="http://schemas.microsoft.com/office/2017/10/relationships/threadedComment" Target="/xl/threadedcomments/threadedcomment3.xml" Id="R5c455fc5260e4ab4" /><Relationship Type="http://schemas.openxmlformats.org/officeDocument/2006/relationships/table" Target="/xl/tables/table6.xml" Id="Rc0052bcf876e4e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4.xml" Id="Rec3977c379a44af8" /><Relationship Type="http://schemas.openxmlformats.org/officeDocument/2006/relationships/vmlDrawing" Target="/xl/drawings/vmldrawing4.vml" Id="Rd5285d7187c74204" /><Relationship Type="http://schemas.microsoft.com/office/2017/10/relationships/threadedComment" Target="/xl/threadedcomments/threadedcomment4.xml" Id="R849ddf659e984c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782c3269a2645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f2289a8480245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5.xml" Id="R3163688d89c94ed2" /><Relationship Type="http://schemas.openxmlformats.org/officeDocument/2006/relationships/vmlDrawing" Target="/xl/drawings/vmldrawing5.vml" Id="Rd8db648f45d64b42" /><Relationship Type="http://schemas.microsoft.com/office/2017/10/relationships/threadedComment" Target="/xl/threadedcomments/threadedcomment5.xml" Id="R476bd5f92ce3461c" /><Relationship Type="http://schemas.openxmlformats.org/officeDocument/2006/relationships/table" Target="/xl/tables/table9.xml" Id="R352bb1ce28c144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266becdc4114b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  <x:col min="8" max="8" width="10" hidden="0" customWidth="1"/>
    <x:col min="9" max="9" width="10" hidden="0" customWidth="1"/>
    <x:col min="10" max="10" width="11" hidden="0" customWidth="1"/>
    <x:col min="11" max="11" width="9" hidden="0" customWidth="1"/>
    <x:col min="12" max="12" width="10" hidden="0" customWidth="1"/>
    <x:col min="13" max="13" width="24" hidden="0" customWidth="1"/>
    <x:col min="14" max="14" width="10" hidden="0" customWidth="1"/>
    <x:col min="15" max="15" width="10" hidden="0" customWidth="1"/>
    <x:col min="16" max="16" width="10" hidden="0" customWidth="1"/>
    <x:col min="17" max="17" width="11" hidden="0" customWidth="1"/>
    <x:col min="18" max="18" width="10" hidden="0" customWidth="1"/>
    <x:col min="19" max="19" width="10" hidden="0" customWidth="1"/>
    <x:col min="20" max="20" width="11" hidden="0" customWidth="1"/>
  </x:cols>
  <x:sheetData>
    <x:row r="1" ht="34" customHeight="1">
      <x:c r="A1" s="283" t="str">
        <x:v>Latest BTAL Low Beta / Low Bad-Beta — Six-Factor Ranking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  <x:c r="P1" s="283"/>
      <x:c r="Q1" s="283"/>
      <x:c r="R1" s="283"/>
      <x:c r="S1" s="283"/>
      <x:c r="T1" s="283"/>
    </x:row>
    <x:row r="2" ht="34" customHeight="1">
      <x:c r="A2" s="283"/>
      <x:c r="B2" s="283"/>
      <x:c r="C2" s="283"/>
      <x:c r="D2" s="283"/>
      <x:c r="E2" s="283"/>
      <x:c r="F2" s="283"/>
      <x:c r="G2" s="283"/>
      <x:c r="H2" s="283"/>
      <x:c r="I2" s="283"/>
      <x:c r="J2" s="283"/>
      <x:c r="K2" s="283"/>
      <x:c r="L2" s="283"/>
      <x:c r="M2" s="283"/>
      <x:c r="N2" s="283"/>
      <x:c r="O2" s="283"/>
      <x:c r="P2" s="283"/>
      <x:c r="Q2" s="283"/>
      <x:c r="R2" s="283"/>
      <x:c r="S2" s="283"/>
      <x:c r="T2" s="283"/>
    </x:row>
    <x:row r="3">
      <x:c r="A3" s="347" t="str">
        <x:v>Low Beta / Low Bad Beta cohort and five-factor inputs frozen 2026-07-10 | Yahoo current-quarter EPS revisions retrieved 2026-08-09T16:45:09.969552Z</x:v>
      </x:c>
      <x:c r="B3" s="348"/>
      <x:c r="C3" s="348"/>
      <x:c r="D3" s="348"/>
      <x:c r="E3" s="348"/>
      <x:c r="F3" s="348"/>
      <x:c r="G3" s="348"/>
      <x:c r="H3" s="348"/>
      <x:c r="I3" s="348"/>
      <x:c r="J3" s="348"/>
      <x:c r="K3" s="348"/>
      <x:c r="L3" s="348"/>
      <x:c r="M3" s="348"/>
      <x:c r="N3" s="348"/>
      <x:c r="O3" s="348"/>
      <x:c r="P3" s="348"/>
      <x:c r="Q3" s="348"/>
      <x:c r="R3" s="348"/>
      <x:c r="S3" s="348"/>
      <x:c r="T3" s="349"/>
    </x:row>
    <x:row r="5">
      <x:c r="A5" s="379" t="str">
        <x:v>117
EQUITIES SCORED</x:v>
      </x:c>
      <x:c r="B5" s="380"/>
      <x:c r="C5" s="380"/>
      <x:c r="D5" s="381"/>
      <x:c r="F5" s="416" t="str">
        <x:f>COUNT('Analyst Revisions'!$K$5:$K$121)&amp;" / 117"&amp;CHAR(10)&amp;"REVISION ROWS LOADED"</x:f>
        <x:v>115 / 117
REVISION ROWS LOADED</x:v>
      </x:c>
      <x:c r="G5" s="417"/>
      <x:c r="H5" s="417"/>
      <x:c r="I5" s="418"/>
      <x:c r="K5" s="454" t="str">
        <x:v>66.7%
Q + FM + REVISIONS</x:v>
      </x:c>
      <x:c r="L5" s="455"/>
      <x:c r="M5" s="455"/>
      <x:c r="N5" s="456"/>
      <x:c r="P5"/>
      <x:c r="Q5" s="491" t="str">
        <x:v>YAHOO / YFINANCE
POPULATED</x:v>
      </x:c>
      <x:c r="R5" s="492"/>
      <x:c r="S5" s="492"/>
      <x:c r="T5" s="493"/>
    </x:row>
    <x:row r="6">
      <x:c r="A6" s="382"/>
      <x:c r="B6" s="383"/>
      <x:c r="C6" s="383"/>
      <x:c r="D6" s="384"/>
      <x:c r="F6" s="419"/>
      <x:c r="G6" s="420"/>
      <x:c r="H6" s="420"/>
      <x:c r="I6" s="421"/>
      <x:c r="K6" s="457"/>
      <x:c r="L6" s="458"/>
      <x:c r="M6" s="458"/>
      <x:c r="N6" s="459"/>
      <x:c r="P6"/>
      <x:c r="Q6" s="494"/>
      <x:c r="R6" s="495"/>
      <x:c r="S6" s="495"/>
      <x:c r="T6" s="496"/>
    </x:row>
    <x:row r="7">
      <x:c r="A7" s="382"/>
      <x:c r="B7" s="383"/>
      <x:c r="C7" s="383"/>
      <x:c r="D7" s="384"/>
      <x:c r="F7" s="419"/>
      <x:c r="G7" s="420"/>
      <x:c r="H7" s="420"/>
      <x:c r="I7" s="421"/>
      <x:c r="K7" s="457"/>
      <x:c r="L7" s="458"/>
      <x:c r="M7" s="458"/>
      <x:c r="N7" s="459"/>
      <x:c r="P7"/>
      <x:c r="Q7" s="494"/>
      <x:c r="R7" s="495"/>
      <x:c r="S7" s="495"/>
      <x:c r="T7" s="496"/>
    </x:row>
    <x:row r="8">
      <x:c r="A8" s="385"/>
      <x:c r="B8" s="386"/>
      <x:c r="C8" s="386"/>
      <x:c r="D8" s="387"/>
      <x:c r="F8" s="422"/>
      <x:c r="G8" s="423"/>
      <x:c r="H8" s="423"/>
      <x:c r="I8" s="424"/>
      <x:c r="K8" s="460"/>
      <x:c r="L8" s="461"/>
      <x:c r="M8" s="461"/>
      <x:c r="N8" s="462"/>
      <x:c r="P8"/>
      <x:c r="Q8" s="497"/>
      <x:c r="R8" s="498"/>
      <x:c r="S8" s="498"/>
      <x:c r="T8" s="499"/>
    </x:row>
    <x:row r="10">
      <x:c r="A10" s="508" t="str">
        <x:v>Strongest Six-Factor Scores — Long Research Priorities</x:v>
      </x:c>
      <x:c r="B10" s="509"/>
      <x:c r="C10" s="509"/>
      <x:c r="D10" s="509"/>
      <x:c r="E10" s="509"/>
      <x:c r="F10" s="509"/>
      <x:c r="G10" s="509"/>
      <x:c r="H10" s="509"/>
      <x:c r="I10" s="509"/>
      <x:c r="J10" s="510"/>
      <x:c r="K10" s="519" t="str">
        <x:v>Weakest Six-Factor Scores — Long Caution / Review Queue</x:v>
      </x:c>
      <x:c r="L10" s="520"/>
      <x:c r="M10" s="520"/>
      <x:c r="N10" s="520"/>
      <x:c r="O10" s="520"/>
      <x:c r="P10" s="520"/>
      <x:c r="Q10" s="520"/>
      <x:c r="R10" s="520"/>
      <x:c r="S10" s="520"/>
      <x:c r="T10" s="521"/>
    </x:row>
    <x:row r="11">
      <x:c r="A11" s="311" t="str">
        <x:v>Rank</x:v>
      </x:c>
      <x:c r="B11" s="311" t="str">
        <x:v>Ticker</x:v>
      </x:c>
      <x:c r="C11" s="311" t="str">
        <x:v>Company</x:v>
      </x:c>
      <x:c r="D11" s="311" t="str">
        <x:v>Overall</x:v>
      </x:c>
      <x:c r="E11" s="311" t="str">
        <x:v>Quality</x:v>
      </x:c>
      <x:c r="F11" s="311" t="str">
        <x:v>Fund Mom</x:v>
      </x:c>
      <x:c r="G11" s="311" t="str">
        <x:v>Analyst Rev</x:v>
      </x:c>
      <x:c r="H11" s="311" t="str">
        <x:v>Value</x:v>
      </x:c>
      <x:c r="I11" s="311" t="str">
        <x:v>Conserv.</x:v>
      </x:c>
      <x:c r="J11" s="311" t="str">
        <x:v>Shareholder</x:v>
      </x:c>
      <x:c r="K11" s="311" t="str">
        <x:v>Rank</x:v>
      </x:c>
      <x:c r="L11" s="311" t="str">
        <x:v>Ticker</x:v>
      </x:c>
      <x:c r="M11" s="311" t="str">
        <x:v>Company</x:v>
      </x:c>
      <x:c r="N11" s="311" t="str">
        <x:v>Overall</x:v>
      </x:c>
      <x:c r="O11" s="311" t="str">
        <x:v>Quality</x:v>
      </x:c>
      <x:c r="P11" s="311" t="str">
        <x:v>Fund Mom</x:v>
      </x:c>
      <x:c r="Q11" s="311" t="str">
        <x:v>Analyst Rev</x:v>
      </x:c>
      <x:c r="R11" s="311" t="str">
        <x:v>Value</x:v>
      </x:c>
      <x:c r="S11" s="311" t="str">
        <x:v>Conserv.</x:v>
      </x:c>
      <x:c r="T11" s="311" t="str">
        <x:v>Shareholder</x:v>
      </x:c>
    </x:row>
    <x:row r="12">
      <x:c r="A12" s="237" t="n">
        <x:f>IFERROR('Rankings'!A5,"")</x:f>
        <x:v>1</x:v>
      </x:c>
      <x:c r="B12" s="236" t="str">
        <x:f>IFERROR('Rankings'!B5,"")</x:f>
        <x:v>MUSA</x:v>
      </x:c>
      <x:c r="C12" s="236" t="str">
        <x:f>IFERROR('Rankings'!C5,"")</x:f>
        <x:v>Murphy USA Inc.</x:v>
      </x:c>
      <x:c r="D12" s="238" t="n">
        <x:f>IFERROR('Rankings'!H5,"")</x:f>
        <x:v>8.44484203352869</x:v>
      </x:c>
      <x:c r="E12" s="238" t="n">
        <x:f>IFERROR('Rankings'!J5,"")</x:f>
        <x:v>10</x:v>
      </x:c>
      <x:c r="F12" s="238" t="n">
        <x:f>IFERROR('Rankings'!L5,"")</x:f>
        <x:v>9.797233201581028</x:v>
      </x:c>
      <x:c r="G12" s="238" t="n">
        <x:f>IFERROR('Rankings'!O5,"")</x:f>
        <x:v>8.758</x:v>
      </x:c>
      <x:c r="H12" s="238" t="n">
        <x:f>IFERROR('Rankings'!U5,"")</x:f>
        <x:v>5.617458770614693</x:v>
      </x:c>
      <x:c r="I12" s="238" t="n">
        <x:f>IFERROR('Rankings'!W5,"")</x:f>
        <x:v>4.489827586206896</x:v>
      </x:c>
      <x:c r="J12" s="238" t="n">
        <x:f>IFERROR('Rankings'!Y5,"")</x:f>
        <x:v>8.21551724137931</x:v>
      </x:c>
      <x:c r="K12" s="237" t="n">
        <x:f>IFERROR('Rankings'!A121,"")</x:f>
        <x:v>117</x:v>
      </x:c>
      <x:c r="L12" s="236" t="str">
        <x:f>IFERROR('Rankings'!B121,"")</x:f>
        <x:v>MTDR</x:v>
      </x:c>
      <x:c r="M12" s="236" t="str">
        <x:f>IFERROR('Rankings'!C121,"")</x:f>
        <x:v>Matador Resources Co.</x:v>
      </x:c>
      <x:c r="N12" s="238" t="n">
        <x:f>IFERROR('Rankings'!H121,"")</x:f>
        <x:v>2.9725713506882925</x:v>
      </x:c>
      <x:c r="O12" s="238" t="n">
        <x:f>IFERROR('Rankings'!J121,"")</x:f>
        <x:v>3.6379310344827585</x:v>
      </x:c>
      <x:c r="P12" s="238" t="n">
        <x:f>IFERROR('Rankings'!L121,"")</x:f>
        <x:v>1.1191699604743084</x:v>
      </x:c>
      <x:c r="Q12" s="238" t="n">
        <x:f>IFERROR('Rankings'!O121,"")</x:f>
        <x:v>1.693</x:v>
      </x:c>
      <x:c r="R12" s="238" t="n">
        <x:f>IFERROR('Rankings'!U121,"")</x:f>
        <x:v>6.583440779610195</x:v>
      </x:c>
      <x:c r="S12" s="238" t="n">
        <x:f>IFERROR('Rankings'!W121,"")</x:f>
        <x:v>2.745689655172414</x:v>
      </x:c>
      <x:c r="T12" s="238" t="n">
        <x:f>IFERROR('Rankings'!Y121,"")</x:f>
        <x:v>4.181034482758621</x:v>
      </x:c>
    </x:row>
    <x:row r="13">
      <x:c r="A13" s="237" t="n">
        <x:f>IFERROR('Rankings'!A6,"")</x:f>
        <x:v>2</x:v>
      </x:c>
      <x:c r="B13" s="236" t="str">
        <x:f>IFERROR('Rankings'!B6,"")</x:f>
        <x:v>ALL</x:v>
      </x:c>
      <x:c r="C13" s="236" t="str">
        <x:f>IFERROR('Rankings'!C6,"")</x:f>
        <x:v>The Allstate Corp.</x:v>
      </x:c>
      <x:c r="D13" s="238" t="n">
        <x:f>IFERROR('Rankings'!H6,"")</x:f>
        <x:v>8.138734564535914</x:v>
      </x:c>
      <x:c r="E13" s="238" t="n">
        <x:f>IFERROR('Rankings'!J6,"")</x:f>
        <x:v>9.689655172413794</x:v>
      </x:c>
      <x:c r="F13" s="238" t="n">
        <x:f>IFERROR('Rankings'!L6,"")</x:f>
        <x:v>7.97411067193676</x:v>
      </x:c>
      <x:c r="G13" s="238" t="n">
        <x:f>IFERROR('Rankings'!O6,"")</x:f>
        <x:v>9.604</x:v>
      </x:c>
      <x:c r="H13" s="238" t="n">
        <x:f>IFERROR('Rankings'!U6,"")</x:f>
        <x:v>8.40948275862069</x:v>
      </x:c>
      <x:c r="I13" s="238" t="n">
        <x:f>IFERROR('Rankings'!W6,"")</x:f>
        <x:v>5.0344827586206895</x:v>
      </x:c>
      <x:c r="J13" s="238" t="n">
        <x:f>IFERROR('Rankings'!Y6,"")</x:f>
        <x:v>5.655172413793104</x:v>
      </x:c>
      <x:c r="K13" s="237" t="n">
        <x:f>IFERROR('Rankings'!A120,"")</x:f>
        <x:v>116</x:v>
      </x:c>
      <x:c r="L13" s="236" t="str">
        <x:f>IFERROR('Rankings'!B120,"")</x:f>
        <x:v>VNOM</x:v>
      </x:c>
      <x:c r="M13" s="236" t="str">
        <x:f>IFERROR('Rankings'!C120,"")</x:f>
        <x:v>Viper Energy Inc.</x:v>
      </x:c>
      <x:c r="N13" s="238" t="n">
        <x:f>IFERROR('Rankings'!H120,"")</x:f>
        <x:v>3.2207961019490257</x:v>
      </x:c>
      <x:c r="O13" s="238" t="n">
        <x:f>IFERROR('Rankings'!J120,"")</x:f>
        <x:v>1.6982758620689655</x:v>
      </x:c>
      <x:c r="P13" s="238" t="n">
        <x:f>IFERROR('Rankings'!L120,"")</x:f>
        <x:v>6.869565217391305</x:v>
      </x:c>
      <x:c r="Q13" s="238" t="n">
        <x:f>IFERROR('Rankings'!O120,"")</x:f>
        <x:v>3.403</x:v>
      </x:c>
      <x:c r="R13" s="238" t="n">
        <x:f>IFERROR('Rankings'!U120,"")</x:f>
        <x:v>2.6050224887556226</x:v>
      </x:c>
      <x:c r="S13" s="238" t="n">
        <x:f>IFERROR('Rankings'!W120,"")</x:f>
        <x:v>1</x:v>
      </x:c>
      <x:c r="T13" s="238" t="n">
        <x:f>IFERROR('Rankings'!Y120,"")</x:f>
        <x:v>1</x:v>
      </x:c>
    </x:row>
    <x:row r="14">
      <x:c r="A14" s="237" t="n">
        <x:f>IFERROR('Rankings'!A7,"")</x:f>
        <x:v>3</x:v>
      </x:c>
      <x:c r="B14" s="236" t="str">
        <x:f>IFERROR('Rankings'!B7,"")</x:f>
        <x:v>TRV</x:v>
      </x:c>
      <x:c r="C14" s="236" t="str">
        <x:f>IFERROR('Rankings'!C7,"")</x:f>
        <x:v>The Travelers Cos. Inc.</x:v>
      </x:c>
      <x:c r="D14" s="238" t="n">
        <x:f>IFERROR('Rankings'!H7,"")</x:f>
        <x:v>7.892080482486029</x:v>
      </x:c>
      <x:c r="E14" s="238" t="n">
        <x:f>IFERROR('Rankings'!J7,"")</x:f>
        <x:v>8.913793103448276</x:v>
      </x:c>
      <x:c r="F14" s="238" t="n">
        <x:f>IFERROR('Rankings'!L7,"")</x:f>
        <x:v>7.362252964426878</x:v>
      </x:c>
      <x:c r="G14" s="238" t="n">
        <x:f>IFERROR('Rankings'!O7,"")</x:f>
        <x:v>9.766</x:v>
      </x:c>
      <x:c r="H14" s="238" t="n">
        <x:f>IFERROR('Rankings'!U7,"")</x:f>
        <x:v>7.75</x:v>
      </x:c>
      <x:c r="I14" s="238" t="n">
        <x:f>IFERROR('Rankings'!W7,"")</x:f>
        <x:v>4.568965517241379</x:v>
      </x:c>
      <x:c r="J14" s="238" t="n">
        <x:f>IFERROR('Rankings'!Y7,"")</x:f>
        <x:v>7.439655172413794</x:v>
      </x:c>
      <x:c r="K14" s="237" t="n">
        <x:f>IFERROR('Rankings'!A119,"")</x:f>
        <x:v>115</x:v>
      </x:c>
      <x:c r="L14" s="236" t="str">
        <x:f>IFERROR('Rankings'!B119,"")</x:f>
        <x:v>EXC</x:v>
      </x:c>
      <x:c r="M14" s="236" t="str">
        <x:f>IFERROR('Rankings'!C119,"")</x:f>
        <x:v>Exelon Corp.</x:v>
      </x:c>
      <x:c r="N14" s="238" t="n">
        <x:f>IFERROR('Rankings'!H119,"")</x:f>
        <x:v>3.2527008995502253</x:v>
      </x:c>
      <x:c r="O14" s="238" t="n">
        <x:f>IFERROR('Rankings'!J119,"")</x:f>
        <x:v>2.5517241379310347</x:v>
      </x:c>
      <x:c r="P14" s="238" t="n">
        <x:f>IFERROR('Rankings'!L119,"")</x:f>
        <x:v>4.189130434782609</x:v>
      </x:c>
      <x:c r="Q14" s="238" t="n">
        <x:f>IFERROR('Rankings'!O119,"")</x:f>
        <x:v>2.782</x:v>
      </x:c>
      <x:c r="R14" s="238" t="n">
        <x:f>IFERROR('Rankings'!U119,"")</x:f>
        <x:v>5.391109445277361</x:v>
      </x:c>
      <x:c r="S14" s="238" t="n">
        <x:f>IFERROR('Rankings'!W119,"")</x:f>
        <x:v>3.3105172413793102</x:v>
      </x:c>
      <x:c r="T14" s="238" t="n">
        <x:f>IFERROR('Rankings'!Y119,"")</x:f>
        <x:v>1.2327586206896552</x:v>
      </x:c>
    </x:row>
    <x:row r="15">
      <x:c r="A15" s="237" t="n">
        <x:f>IFERROR('Rankings'!A8,"")</x:f>
        <x:v>4</x:v>
      </x:c>
      <x:c r="B15" s="236" t="str">
        <x:f>IFERROR('Rankings'!B8,"")</x:f>
        <x:v>RNR</x:v>
      </x:c>
      <x:c r="C15" s="236" t="str">
        <x:f>IFERROR('Rankings'!C8,"")</x:f>
        <x:v>RenaissanceRe Holdings Ltd.</x:v>
      </x:c>
      <x:c r="D15" s="238" t="n">
        <x:f>IFERROR('Rankings'!H8,"")</x:f>
        <x:v>7.8556590568352185</x:v>
      </x:c>
      <x:c r="E15" s="238" t="n">
        <x:f>IFERROR('Rankings'!J8,"")</x:f>
        <x:v>8.681034482758621</x:v>
      </x:c>
      <x:c r="F15" s="238" t="n">
        <x:f>IFERROR('Rankings'!L8,"")</x:f>
        <x:v>5.345256916996047</x:v>
      </x:c>
      <x:c r="G15" s="238" t="n">
        <x:f>IFERROR('Rankings'!O8,"")</x:f>
        <x:v>9.379000000000001</x:v>
      </x:c>
      <x:c r="H15" s="238" t="n">
        <x:f>IFERROR('Rankings'!U8,"")</x:f>
        <x:v>9.72844827586207</x:v>
      </x:c>
      <x:c r="I15" s="238" t="n">
        <x:f>IFERROR('Rankings'!W8,"")</x:f>
        <x:v>5.887931034482759</x:v>
      </x:c>
      <x:c r="J15" s="238" t="n">
        <x:f>IFERROR('Rankings'!Y8,"")</x:f>
        <x:v>9.456896551724139</x:v>
      </x:c>
      <x:c r="K15" s="237" t="n">
        <x:f>IFERROR('Rankings'!A118,"")</x:f>
        <x:v>114</x:v>
      </x:c>
      <x:c r="L15" s="236" t="str">
        <x:f>IFERROR('Rankings'!B118,"")</x:f>
        <x:v>CE</x:v>
      </x:c>
      <x:c r="M15" s="236" t="str">
        <x:f>IFERROR('Rankings'!C118,"")</x:f>
        <x:v>Celanese Corp.</x:v>
      </x:c>
      <x:c r="N15" s="238" t="n">
        <x:f>IFERROR('Rankings'!H118,"")</x:f>
        <x:v>3.304516014719913</x:v>
      </x:c>
      <x:c r="O15" s="238" t="n">
        <x:f>IFERROR('Rankings'!J118,"")</x:f>
        <x:v>1.3879310344827587</x:v>
      </x:c>
      <x:c r="P15" s="238" t="n">
        <x:f>IFERROR('Rankings'!L118,"")</x:f>
        <x:v>2.7839920948616603</x:v>
      </x:c>
      <x:c r="Q15" s="238" t="n">
        <x:f>IFERROR('Rankings'!O118,"")</x:f>
        <x:v>1.927</x:v>
      </x:c>
      <x:c r="R15" s="238" t="n">
        <x:f>IFERROR('Rankings'!U118,"")</x:f>
        <x:v>6.778317091454273</x:v>
      </x:c>
      <x:c r="S15" s="238" t="n">
        <x:f>IFERROR('Rankings'!W118,"")</x:f>
        <x:v>8.443620689655173</x:v>
      </x:c>
      <x:c r="T15" s="238" t="n">
        <x:f>IFERROR('Rankings'!Y118,"")</x:f>
        <x:v>2.2413793103448274</x:v>
      </x:c>
    </x:row>
    <x:row r="16">
      <x:c r="A16" s="237" t="n">
        <x:f>IFERROR('Rankings'!A9,"")</x:f>
        <x:v>5</x:v>
      </x:c>
      <x:c r="B16" s="236" t="str">
        <x:f>IFERROR('Rankings'!B9,"")</x:f>
        <x:v>FTI</x:v>
      </x:c>
      <x:c r="C16" s="236" t="str">
        <x:f>IFERROR('Rankings'!C9,"")</x:f>
        <x:v>TechnipFMC PLC</x:v>
      </x:c>
      <x:c r="D16" s="238" t="n">
        <x:f>IFERROR('Rankings'!H9,"")</x:f>
        <x:v>7.575827041024942</x:v>
      </x:c>
      <x:c r="E16" s="238" t="n">
        <x:f>IFERROR('Rankings'!J9,"")</x:f>
        <x:v>9.224137931034484</x:v>
      </x:c>
      <x:c r="F16" s="238" t="n">
        <x:f>IFERROR('Rankings'!L9,"")</x:f>
        <x:v>6.979841897233201</x:v>
      </x:c>
      <x:c r="G16" s="238" t="n">
        <x:f>IFERROR('Rankings'!O9,"")</x:f>
        <x:v>9.064</x:v>
      </x:c>
      <x:c r="H16" s="238" t="n">
        <x:f>IFERROR('Rankings'!U9,"")</x:f>
        <x:v>4.4430059970014995</x:v>
      </x:c>
      <x:c r="I16" s="238" t="n">
        <x:f>IFERROR('Rankings'!W9,"")</x:f>
        <x:v>6.477586206896552</x:v>
      </x:c>
      <x:c r="J16" s="238" t="n">
        <x:f>IFERROR('Rankings'!Y9,"")</x:f>
        <x:v>7.206896551724139</x:v>
      </x:c>
      <x:c r="K16" s="237" t="n">
        <x:f>IFERROR('Rankings'!A117,"")</x:f>
        <x:v>113</x:v>
      </x:c>
      <x:c r="L16" s="236" t="str">
        <x:f>IFERROR('Rankings'!B117,"")</x:f>
        <x:v>JNJ</x:v>
      </x:c>
      <x:c r="M16" s="236" t="str">
        <x:f>IFERROR('Rankings'!C117,"")</x:f>
        <x:v>Johnson &amp; Johnson</x:v>
      </x:c>
      <x:c r="N16" s="238" t="n">
        <x:f>IFERROR('Rankings'!H117,"")</x:f>
        <x:v>3.4242377674798963</x:v>
      </x:c>
      <x:c r="O16" s="238" t="n">
        <x:f>IFERROR('Rankings'!J117,"")</x:f>
        <x:v>4.413793103448276</x:v>
      </x:c>
      <x:c r="P16" s="238" t="n">
        <x:f>IFERROR('Rankings'!L117,"")</x:f>
        <x:v>3.525691699604743</x:v>
      </x:c>
      <x:c r="Q16" s="238" t="n">
        <x:f>IFERROR('Rankings'!O117,"")</x:f>
        <x:v>1.54</x:v>
      </x:c>
      <x:c r="R16" s="238" t="n">
        <x:f>IFERROR('Rankings'!U117,"")</x:f>
        <x:v>2.9541266866566716</x:v>
      </x:c>
      <x:c r="S16" s="238" t="n">
        <x:f>IFERROR('Rankings'!W117,"")</x:f>
        <x:v>4.362586206896552</x:v>
      </x:c>
      <x:c r="T16" s="238" t="n">
        <x:f>IFERROR('Rankings'!Y117,"")</x:f>
        <x:v>3.327586206896552</x:v>
      </x:c>
    </x:row>
    <x:row r="17">
      <x:c r="A17" s="237" t="n">
        <x:f>IFERROR('Rankings'!A10,"")</x:f>
        <x:v>6</x:v>
      </x:c>
      <x:c r="B17" s="236" t="str">
        <x:f>IFERROR('Rankings'!B10,"")</x:f>
        <x:v>AFL</x:v>
      </x:c>
      <x:c r="C17" s="236" t="str">
        <x:f>IFERROR('Rankings'!C10,"")</x:f>
        <x:v>Aflac Inc.</x:v>
      </x:c>
      <x:c r="D17" s="238" t="n">
        <x:f>IFERROR('Rankings'!H10,"")</x:f>
        <x:v>7.4741115578574355</x:v>
      </x:c>
      <x:c r="E17" s="238" t="n">
        <x:f>IFERROR('Rankings'!J10,"")</x:f>
        <x:v>7.362068965517241</x:v>
      </x:c>
      <x:c r="F17" s="238" t="n">
        <x:f>IFERROR('Rankings'!L10,"")</x:f>
        <x:v>6.124308300395256</x:v>
      </x:c>
      <x:c r="G17" s="238" t="n">
        <x:f>IFERROR('Rankings'!O10,"")</x:f>
        <x:v>7.822</x:v>
      </x:c>
      <x:c r="H17" s="238" t="n">
        <x:f>IFERROR('Rankings'!U10,"")</x:f>
        <x:v>7.2844827586206895</x:v>
      </x:c>
      <x:c r="I17" s="238" t="n">
        <x:f>IFERROR('Rankings'!W10,"")</x:f>
        <x:v>9.224137931034482</x:v>
      </x:c>
      <x:c r="J17" s="238" t="n">
        <x:f>IFERROR('Rankings'!Y10,"")</x:f>
        <x:v>8.681034482758621</x:v>
      </x:c>
      <x:c r="K17" s="237" t="n">
        <x:f>IFERROR('Rankings'!A116,"")</x:f>
        <x:v>112</x:v>
      </x:c>
      <x:c r="L17" s="236" t="str">
        <x:f>IFERROR('Rankings'!B116,"")</x:f>
        <x:v>DUK</x:v>
      </x:c>
      <x:c r="M17" s="236" t="str">
        <x:f>IFERROR('Rankings'!C116,"")</x:f>
        <x:v>Duke Energy Corp.</x:v>
      </x:c>
      <x:c r="N17" s="238" t="n">
        <x:f>IFERROR('Rankings'!H116,"")</x:f>
        <x:v>3.4650728499386667</x:v>
      </x:c>
      <x:c r="O17" s="238" t="n">
        <x:f>IFERROR('Rankings'!J116,"")</x:f>
        <x:v>2.086206896551724</x:v>
      </x:c>
      <x:c r="P17" s="238" t="n">
        <x:f>IFERROR('Rankings'!L116,"")</x:f>
        <x:v>4.738735177865612</x:v>
      </x:c>
      <x:c r="Q17" s="238" t="n">
        <x:f>IFERROR('Rankings'!O116,"")</x:f>
        <x:v>3.016</x:v>
      </x:c>
      <x:c r="R17" s="238" t="n">
        <x:f>IFERROR('Rankings'!U116,"")</x:f>
        <x:v>4.461053223388306</x:v>
      </x:c>
      <x:c r="S17" s="238" t="n">
        <x:f>IFERROR('Rankings'!W116,"")</x:f>
        <x:v>4.758275862068966</x:v>
      </x:c>
      <x:c r="T17" s="238" t="n">
        <x:f>IFERROR('Rankings'!Y116,"")</x:f>
        <x:v>2.086206896551724</x:v>
      </x:c>
    </x:row>
    <x:row r="18">
      <x:c r="A18" s="237" t="n">
        <x:f>IFERROR('Rankings'!A11,"")</x:f>
        <x:v>7</x:v>
      </x:c>
      <x:c r="B18" s="236" t="str">
        <x:f>IFERROR('Rankings'!B11,"")</x:f>
        <x:v>THG</x:v>
      </x:c>
      <x:c r="C18" s="236" t="str">
        <x:f>IFERROR('Rankings'!C11,"")</x:f>
        <x:v>The Hanover Insurance Group Inc.</x:v>
      </x:c>
      <x:c r="D18" s="238" t="n">
        <x:f>IFERROR('Rankings'!H11,"")</x:f>
        <x:v>7.410257257734768</x:v>
      </x:c>
      <x:c r="E18" s="238" t="n">
        <x:f>IFERROR('Rankings'!J11,"")</x:f>
        <x:v>7.2844827586206895</x:v>
      </x:c>
      <x:c r="F18" s="238" t="n">
        <x:f>IFERROR('Rankings'!L11,"")</x:f>
        <x:v>8.514822134387352</x:v>
      </x:c>
      <x:c r="G18" s="238" t="n">
        <x:f>IFERROR('Rankings'!O11,"")</x:f>
        <x:v>9.685</x:v>
      </x:c>
      <x:c r="H18" s="238" t="n">
        <x:f>IFERROR('Rankings'!U11,"")</x:f>
        <x:v>7.788793103448276</x:v>
      </x:c>
      <x:c r="I18" s="238" t="n">
        <x:f>IFERROR('Rankings'!W11,"")</x:f>
        <x:v>3.3275862068965516</x:v>
      </x:c>
      <x:c r="J18" s="238" t="n">
        <x:f>IFERROR('Rankings'!Y11,"")</x:f>
        <x:v>5.5</x:v>
      </x:c>
      <x:c r="K18" s="237" t="n">
        <x:f>IFERROR('Rankings'!A115,"")</x:f>
        <x:v>111</x:v>
      </x:c>
      <x:c r="L18" s="236" t="str">
        <x:f>IFERROR('Rankings'!B115,"")</x:f>
        <x:v>EIX</x:v>
      </x:c>
      <x:c r="M18" s="236" t="str">
        <x:f>IFERROR('Rankings'!C115,"")</x:f>
        <x:v>Edison International</x:v>
      </x:c>
      <x:c r="N18" s="238" t="n">
        <x:f>IFERROR('Rankings'!H115,"")</x:f>
        <x:v>3.4734099086820227</x:v>
      </x:c>
      <x:c r="O18" s="238" t="n">
        <x:f>IFERROR('Rankings'!J115,"")</x:f>
        <x:v>2.862068965517241</x:v>
      </x:c>
      <x:c r="P18" s="238" t="n">
        <x:f>IFERROR('Rankings'!L115,"")</x:f>
        <x:v>3.9916996047430833</x:v>
      </x:c>
      <x:c r="Q18" s="238" t="n">
        <x:f>IFERROR('Rankings'!O115,"")</x:f>
        <x:v>3.088</x:v>
      </x:c>
      <x:c r="R18" s="238" t="n">
        <x:f>IFERROR('Rankings'!U115,"")</x:f>
        <x:v>6.245468515742129</x:v>
      </x:c>
      <x:c r="S18" s="238" t="n">
        <x:f>IFERROR('Rankings'!W115,"")</x:f>
        <x:v>3.2639655172413793</x:v>
      </x:c>
      <x:c r="T18" s="238" t="n">
        <x:f>IFERROR('Rankings'!Y115,"")</x:f>
        <x:v>1.6982758620689655</x:v>
      </x:c>
    </x:row>
    <x:row r="19">
      <x:c r="A19" s="237" t="n">
        <x:f>IFERROR('Rankings'!A12,"")</x:f>
        <x:v>8</x:v>
      </x:c>
      <x:c r="B19" s="236" t="str">
        <x:f>IFERROR('Rankings'!B12,"")</x:f>
        <x:v>GILD</x:v>
      </x:c>
      <x:c r="C19" s="236" t="str">
        <x:f>IFERROR('Rankings'!C12,"")</x:f>
        <x:v>Gilead Sciences Inc.</x:v>
      </x:c>
      <x:c r="D19" s="238" t="n">
        <x:f>IFERROR('Rankings'!H12,"")</x:f>
        <x:v>7.167754463677252</x:v>
      </x:c>
      <x:c r="E19" s="238" t="n">
        <x:f>IFERROR('Rankings'!J12,"")</x:f>
        <x:v>8.525862068965516</x:v>
      </x:c>
      <x:c r="F19" s="238" t="n">
        <x:f>IFERROR('Rankings'!L12,"")</x:f>
        <x:v>5.005533596837944</x:v>
      </x:c>
      <x:c r="G19" s="238" t="n">
        <x:f>IFERROR('Rankings'!O12,"")</x:f>
        <x:v>9.450999999999999</x:v>
      </x:c>
      <x:c r="H19" s="238" t="n">
        <x:f>IFERROR('Rankings'!U12,"")</x:f>
        <x:v>4.8531671664167915</x:v>
      </x:c>
      <x:c r="I19" s="238" t="n">
        <x:f>IFERROR('Rankings'!W12,"")</x:f>
        <x:v>8.21551724137931</x:v>
      </x:c>
      <x:c r="J19" s="238" t="n">
        <x:f>IFERROR('Rankings'!Y12,"")</x:f>
        <x:v>6.818965517241379</x:v>
      </x:c>
      <x:c r="K19" s="237" t="n">
        <x:f>IFERROR('Rankings'!A114,"")</x:f>
        <x:v>110</x:v>
      </x:c>
      <x:c r="L19" s="236" t="str">
        <x:f>IFERROR('Rankings'!B114,"")</x:f>
        <x:v>MCD</x:v>
      </x:c>
      <x:c r="M19" s="236" t="str">
        <x:f>IFERROR('Rankings'!C114,"")</x:f>
        <x:v>McDonald's Corp.</x:v>
      </x:c>
      <x:c r="N19" s="238" t="n">
        <x:f>IFERROR('Rankings'!H114,"")</x:f>
        <x:v>3.566723183862614</x:v>
      </x:c>
      <x:c r="O19" s="238" t="n">
        <x:f>IFERROR('Rankings'!J114,"")</x:f>
        <x:v>1.1551724137931034</x:v>
      </x:c>
      <x:c r="P19" s="238" t="n">
        <x:f>IFERROR('Rankings'!L114,"")</x:f>
        <x:v>5.037549407114624</x:v>
      </x:c>
      <x:c r="Q19" s="238" t="n">
        <x:f>IFERROR('Rankings'!O114,"")</x:f>
        <x:v>4.024</x:v>
      </x:c>
      <x:c r="R19" s="238" t="n">
        <x:f>IFERROR('Rankings'!U114,"")</x:f>
        <x:v>3.2132983508245876</x:v>
      </x:c>
      <x:c r="S19" s="238" t="n">
        <x:f>IFERROR('Rankings'!W114,"")</x:f>
        <x:v>4.038275862068966</x:v>
      </x:c>
      <x:c r="T19" s="238" t="n">
        <x:f>IFERROR('Rankings'!Y114,"")</x:f>
        <x:v>4.879310344827585</x:v>
      </x:c>
    </x:row>
    <x:row r="20">
      <x:c r="A20" s="237" t="n">
        <x:f>IFERROR('Rankings'!A13,"")</x:f>
        <x:v>9</x:v>
      </x:c>
      <x:c r="B20" s="236" t="str">
        <x:f>IFERROR('Rankings'!B13,"")</x:f>
        <x:v>GD</x:v>
      </x:c>
      <x:c r="C20" s="236" t="str">
        <x:f>IFERROR('Rankings'!C13,"")</x:f>
        <x:v>General Dynamics Corp.</x:v>
      </x:c>
      <x:c r="D20" s="238" t="n">
        <x:f>IFERROR('Rankings'!H13,"")</x:f>
        <x:v>7.153814024805778</x:v>
      </x:c>
      <x:c r="E20" s="238" t="n">
        <x:f>IFERROR('Rankings'!J13,"")</x:f>
        <x:v>5.810344827586206</x:v>
      </x:c>
      <x:c r="F20" s="238" t="n">
        <x:f>IFERROR('Rankings'!L13,"")</x:f>
        <x:v>9.598023715415021</x:v>
      </x:c>
      <x:c r="G20" s="238" t="n">
        <x:f>IFERROR('Rankings'!O13,"")</x:f>
        <x:v>7.9030000000000005</x:v>
      </x:c>
      <x:c r="H20" s="238" t="n">
        <x:f>IFERROR('Rankings'!U13,"")</x:f>
        <x:v>5.892721139430285</x:v>
      </x:c>
      <x:c r="I20" s="238" t="n">
        <x:f>IFERROR('Rankings'!W13,"")</x:f>
        <x:v>7.011379310344829</x:v>
      </x:c>
      <x:c r="J20" s="238" t="n">
        <x:f>IFERROR('Rankings'!Y13,"")</x:f>
        <x:v>4.956896551724138</x:v>
      </x:c>
      <x:c r="K20" s="237" t="n">
        <x:f>IFERROR('Rankings'!A113,"")</x:f>
        <x:v>109</x:v>
      </x:c>
      <x:c r="L20" s="236" t="str">
        <x:f>IFERROR('Rankings'!B113,"")</x:f>
        <x:v>PCG</x:v>
      </x:c>
      <x:c r="M20" s="236" t="str">
        <x:f>IFERROR('Rankings'!C113,"")</x:f>
        <x:v>PG&amp;E Corp.</x:v>
      </x:c>
      <x:c r="N20" s="238" t="n">
        <x:f>IFERROR('Rankings'!H113,"")</x:f>
        <x:v>3.6215813684067055</x:v>
      </x:c>
      <x:c r="O20" s="238" t="n">
        <x:f>IFERROR('Rankings'!J113,"")</x:f>
        <x:v>2.0086206896551726</x:v>
      </x:c>
      <x:c r="P20" s="238" t="n">
        <x:f>IFERROR('Rankings'!L113,"")</x:f>
        <x:v>6.072727272727273</x:v>
      </x:c>
      <x:c r="Q20" s="238" t="n">
        <x:f>IFERROR('Rankings'!O113,"")</x:f>
        <x:v>2.395</x:v>
      </x:c>
      <x:c r="R20" s="238" t="n">
        <x:f>IFERROR('Rankings'!U113,"")</x:f>
        <x:v>5.453009745127436</x:v>
      </x:c>
      <x:c r="S20" s="238" t="n">
        <x:f>IFERROR('Rankings'!W113,"")</x:f>
        <x:v>4.055344827586207</x:v>
      </x:c>
      <x:c r="T20" s="238" t="n">
        <x:f>IFERROR('Rankings'!Y113,"")</x:f>
        <x:v>1.3103448275862069</x:v>
      </x:c>
    </x:row>
    <x:row r="21">
      <x:c r="A21" s="237" t="n">
        <x:f>IFERROR('Rankings'!A14,"")</x:f>
        <x:v>10</x:v>
      </x:c>
      <x:c r="B21" s="236" t="str">
        <x:f>IFERROR('Rankings'!B14,"")</x:f>
        <x:v>RTX</x:v>
      </x:c>
      <x:c r="C21" s="236" t="str">
        <x:f>IFERROR('Rankings'!C14,"")</x:f>
        <x:v>RTX Corp.</x:v>
      </x:c>
      <x:c r="D21" s="238" t="n">
        <x:f>IFERROR('Rankings'!H14,"")</x:f>
        <x:v>7.110699809186316</x:v>
      </x:c>
      <x:c r="E21" s="238" t="n">
        <x:f>IFERROR('Rankings'!J14,"")</x:f>
        <x:v>9.844827586206897</x:v>
      </x:c>
      <x:c r="F21" s="238" t="n">
        <x:f>IFERROR('Rankings'!L14,"")</x:f>
        <x:v>4.077075098814229</x:v>
      </x:c>
      <x:c r="G21" s="238" t="n">
        <x:f>IFERROR('Rankings'!O14,"")</x:f>
        <x:v>8.056000000000001</x:v>
      </x:c>
      <x:c r="H21" s="238" t="n">
        <x:f>IFERROR('Rankings'!U14,"")</x:f>
        <x:v>3.998706896551724</x:v>
      </x:c>
      <x:c r="I21" s="238" t="n">
        <x:f>IFERROR('Rankings'!W14,"")</x:f>
        <x:v>6.7444827586206895</x:v>
      </x:c>
      <x:c r="J21" s="238" t="n">
        <x:f>IFERROR('Rankings'!Y14,"")</x:f>
        <x:v>9.844827586206897</x:v>
      </x:c>
      <x:c r="K21" s="237" t="n">
        <x:f>IFERROR('Rankings'!A112,"")</x:f>
        <x:v>108</x:v>
      </x:c>
      <x:c r="L21" s="236" t="str">
        <x:f>IFERROR('Rankings'!B112,"")</x:f>
        <x:v>PM</x:v>
      </x:c>
      <x:c r="M21" s="236" t="str">
        <x:f>IFERROR('Rankings'!C112,"")</x:f>
        <x:v>Philip Morris International Inc.</x:v>
      </x:c>
      <x:c r="N21" s="238" t="n">
        <x:f>IFERROR('Rankings'!H112,"")</x:f>
        <x:v>3.6471726863840805</x:v>
      </x:c>
      <x:c r="O21" s="238" t="n">
        <x:f>IFERROR('Rankings'!J112,"")</x:f>
        <x:v>1.543103448275862</x:v>
      </x:c>
      <x:c r="P21" s="238" t="n">
        <x:f>IFERROR('Rankings'!L112,"")</x:f>
        <x:v>6.129644268774704</x:v>
      </x:c>
      <x:c r="Q21" s="238" t="n">
        <x:f>IFERROR('Rankings'!O112,"")</x:f>
        <x:v>2.008</x:v>
      </x:c>
      <x:c r="R21" s="238" t="n">
        <x:f>IFERROR('Rankings'!U112,"")</x:f>
        <x:v>3.0431821589205397</x:v>
      </x:c>
      <x:c r="S21" s="238" t="n">
        <x:f>IFERROR('Rankings'!W112,"")</x:f>
        <x:v>4.316034482758621</x:v>
      </x:c>
      <x:c r="T21" s="238" t="n">
        <x:f>IFERROR('Rankings'!Y112,"")</x:f>
        <x:v>5.189655172413793</x:v>
      </x:c>
    </x:row>
    <x:row r="24">
      <x:c r="K24" s="529" t="str">
        <x:v>How to Read This Screen</x:v>
      </x:c>
      <x:c r="L24" s="530"/>
      <x:c r="M24" s="530"/>
      <x:c r="N24" s="530"/>
      <x:c r="O24" s="530"/>
      <x:c r="P24" s="530"/>
      <x:c r="Q24" s="530"/>
      <x:c r="R24" s="530"/>
      <x:c r="S24" s="530"/>
      <x:c r="T24" s="531"/>
    </x:row>
    <x:row r="25" ht="48" customHeight="1">
      <x:c r="K25" s="537" t="str">
        <x:v>Direction</x:v>
      </x:c>
      <x:c r="L25" s="538"/>
      <x:c r="M25" s="292" t="str">
        <x:v>Higher is stronger for long-research prioritization. Overall rankings calculate locally from the embedded inputs; no external add-in refresh is required.</x:v>
      </x:c>
      <x:c r="N25" s="293"/>
      <x:c r="O25" s="293"/>
      <x:c r="P25" s="293"/>
      <x:c r="Q25" s="293"/>
      <x:c r="R25" s="293"/>
      <x:c r="S25" s="293"/>
      <x:c r="T25" s="294"/>
    </x:row>
    <x:row r="26" ht="48" customHeight="1">
      <x:c r="K26" s="537" t="str">
        <x:v>Revision factor</x:v>
      </x:c>
      <x:c r="L26" s="538"/>
      <x:c r="M26" s="292" t="str">
        <x:v>Yahoo current-quarter (0q) mean EPS consensus change over 30 days: (current estimate - prior estimate) / absolute prior estimate. Cohort percentile maps to a 1-10 score.</x:v>
      </x:c>
      <x:c r="N26" s="293"/>
      <x:c r="O26" s="293"/>
      <x:c r="P26" s="293"/>
      <x:c r="Q26" s="293"/>
      <x:c r="R26" s="293"/>
      <x:c r="S26" s="293"/>
      <x:c r="T26" s="294"/>
    </x:row>
    <x:row r="27" ht="48" customHeight="1">
      <x:c r="K27" s="537" t="str">
        <x:v>Weights</x:v>
      </x:c>
      <x:c r="L27" s="538"/>
      <x:c r="M27" s="292" t="str">
        <x:v>Quality 25%; Fundamental Momentum 25%; Analyst Revisions 16.67%; Valuation, Conservative Investment and Shareholder Yield 11.11% each.</x:v>
      </x:c>
      <x:c r="N27" s="293"/>
      <x:c r="O27" s="293"/>
      <x:c r="P27" s="293"/>
      <x:c r="Q27" s="293"/>
      <x:c r="R27" s="293"/>
      <x:c r="S27" s="293"/>
      <x:c r="T27" s="294"/>
    </x:row>
    <x:row r="28" ht="48" customHeight="1">
      <x:c r="K28" s="537" t="str">
        <x:v>Coverage</x:v>
      </x:c>
      <x:c r="L28" s="538"/>
      <x:c r="M28" s="292" t="str">
        <x:v>115 of 117 names have a valid revision score. Missing Yahoo rows renormalize to the prior five-factor weighting proportions for that name.</x:v>
      </x:c>
      <x:c r="N28" s="293"/>
      <x:c r="O28" s="293"/>
      <x:c r="P28" s="293"/>
      <x:c r="Q28" s="293"/>
      <x:c r="R28" s="293"/>
      <x:c r="S28" s="293"/>
      <x:c r="T28" s="294"/>
    </x:row>
    <x:row r="29" ht="48" customHeight="1">
      <x:c r="K29" s="537" t="str">
        <x:v>Data source</x:v>
      </x:c>
      <x:c r="L29" s="538"/>
      <x:c r="M29" s="292" t="str">
        <x:v>Yahoo Finance analysis data via yfinance 1.5.2; retrieved 2026-08-09T16:45:09.969552Z. Public consensus data are screening-grade and may be missing or revised.</x:v>
      </x:c>
      <x:c r="N29" s="293"/>
      <x:c r="O29" s="293"/>
      <x:c r="P29" s="293"/>
      <x:c r="Q29" s="293"/>
      <x:c r="R29" s="293"/>
      <x:c r="S29" s="293"/>
      <x:c r="T29" s="294"/>
    </x:row>
    <x:row r="30" ht="48" customHeight="1">
      <x:c r="K30" s="537" t="str">
        <x:v>Evidence posture</x:v>
      </x:c>
      <x:c r="L30" s="538"/>
      <x:c r="M30" s="292" t="str">
        <x:v>The five original factors and cohort membership are frozen at 2026-07-10. This workbook does not refresh beta/bad-beta classifications, filings, prices, borrow, catalysts or position sizing.</x:v>
      </x:c>
      <x:c r="N30" s="293"/>
      <x:c r="O30" s="293"/>
      <x:c r="P30" s="293"/>
      <x:c r="Q30" s="293"/>
      <x:c r="R30" s="293"/>
      <x:c r="S30" s="293"/>
      <x:c r="T30" s="294"/>
    </x:row>
    <x:row r="31" ht="48" customHeight="1">
      <x:c r="K31" s="537" t="str">
        <x:v>Workbook map</x:v>
      </x:c>
      <x:c r="L31" s="538"/>
      <x:c r="M31" s="292" t="str">
        <x:v>Rankings = sorted six-factor view; Analyst Revisions = embedded Yahoo inputs and scoring; Six-Factor Calc = support calculations; five original factor tabs = frozen drivers; Sources &amp; Checks = provenance and audit.</x:v>
      </x:c>
      <x:c r="N31" s="293"/>
      <x:c r="O31" s="293"/>
      <x:c r="P31" s="293"/>
      <x:c r="Q31" s="293"/>
      <x:c r="R31" s="293"/>
      <x:c r="S31" s="293"/>
      <x:c r="T31" s="294"/>
    </x:row>
  </x:sheetData>
  <x:mergeCells>
    <x:mergeCell ref="A1:T2"/>
    <x:mergeCell ref="A3:T3"/>
    <x:mergeCell ref="A5:D8"/>
    <x:mergeCell ref="F5:I8"/>
    <x:mergeCell ref="K5:N8"/>
    <x:mergeCell ref="Q5:T8"/>
    <x:mergeCell ref="A10:J10"/>
    <x:mergeCell ref="K10:T10"/>
    <x:mergeCell ref="K24:T24"/>
    <x:mergeCell ref="K25:L25"/>
    <x:mergeCell ref="M25:T25"/>
    <x:mergeCell ref="K26:L26"/>
    <x:mergeCell ref="M26:T26"/>
    <x:mergeCell ref="K27:L27"/>
    <x:mergeCell ref="M27:T27"/>
    <x:mergeCell ref="K28:L28"/>
    <x:mergeCell ref="M28:T28"/>
    <x:mergeCell ref="K29:L29"/>
    <x:mergeCell ref="M29:T29"/>
    <x:mergeCell ref="K30:L30"/>
    <x:mergeCell ref="M30:T30"/>
    <x:mergeCell ref="K31:L31"/>
    <x:mergeCell ref="M31:T31"/>
  </x:mergeCells>
  <x:pageMargins left="0.7" right="0.7" top="0.75" bottom="0.75" header="0.3" footer="0.3"/>
  <x:drawing xmlns:r="http://schemas.openxmlformats.org/officeDocument/2006/relationships" r:id="Rfad497069e40415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9" hidden="0" customWidth="1"/>
    <x:col min="4" max="4" width="11" hidden="0" customWidth="1"/>
    <x:col min="5" max="5" width="13" hidden="0" customWidth="1"/>
    <x:col min="6" max="6" width="10" hidden="0" customWidth="1"/>
    <x:col min="7" max="7" width="11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6" hidden="0" customWidth="1"/>
    <x:col min="13" max="13" width="10" hidden="0" customWidth="1"/>
    <x:col min="14" max="14" width="18" hidden="0" customWidth="1"/>
    <x:col min="15" max="15" width="17" hidden="0" customWidth="1"/>
    <x:col min="16" max="16" width="10" hidden="0" customWidth="1"/>
    <x:col min="17" max="17" width="17" hidden="0" customWidth="1"/>
    <x:col min="18" max="18" width="19" hidden="0" customWidth="1"/>
    <x:col min="19" max="19" width="16" hidden="0" customWidth="1"/>
    <x:col min="20" max="20" width="18" hidden="0" customWidth="1"/>
    <x:col min="21" max="21" width="11" hidden="0" customWidth="1"/>
    <x:col min="22" max="22" width="12" hidden="0" customWidth="1"/>
    <x:col min="23" max="23" width="18" hidden="0" customWidth="1"/>
    <x:col min="24" max="24" width="9" hidden="0" customWidth="1"/>
    <x:col min="25" max="25" width="17" hidden="0" customWidth="1"/>
    <x:col min="26" max="26" width="9" hidden="0" customWidth="1"/>
    <x:col min="27" max="27" width="17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</x:cols>
  <x:sheetData>
    <x:row r="1" ht="34" customHeight="1">
      <x:c r="A1" s="283" t="str">
        <x:v>Latest BTAL Low Beta / Low Bad-Beta — Six-Factor Ranking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  <x:c r="P1" s="283"/>
      <x:c r="Q1" s="283"/>
      <x:c r="R1" s="283"/>
      <x:c r="S1" s="283"/>
      <x:c r="T1" s="283"/>
      <x:c r="U1" s="283"/>
      <x:c r="V1" s="283"/>
      <x:c r="W1" s="283"/>
      <x:c r="X1" s="283"/>
      <x:c r="Y1" s="283"/>
      <x:c r="Z1" s="283"/>
      <x:c r="AA1" s="283"/>
      <x:c r="AB1" s="283"/>
      <x:c r="AC1" s="283"/>
      <x:c r="AD1" s="283"/>
      <x:c r="AE1" s="283"/>
    </x:row>
    <x:row r="2">
      <x:c r="A2" s="292" t="str">
        <x:v>Universe is restricted to the 117 holdings classified Low Beta / Low Bad Beta on 2026-07-10. Higher scores indicate stronger fundamental and revision support; this is a research-priority screen, not a trade recommendation.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  <x:c r="O2" s="293"/>
      <x:c r="P2" s="293"/>
      <x:c r="Q2" s="293"/>
      <x:c r="R2" s="293"/>
      <x:c r="S2" s="293"/>
      <x:c r="T2" s="293"/>
      <x:c r="U2" s="293"/>
      <x:c r="V2" s="293"/>
      <x:c r="W2" s="293"/>
      <x:c r="X2" s="293"/>
      <x:c r="Y2" s="293"/>
      <x:c r="Z2" s="293"/>
      <x:c r="AA2" s="293"/>
      <x:c r="AB2" s="293"/>
      <x:c r="AC2" s="293"/>
      <x:c r="AD2" s="293"/>
      <x:c r="AE2" s="294"/>
    </x:row>
    <x:row r="3">
      <x:c r="A3" s="337" t="str">
        <x:v>Five-factor data frozen 2026-07-10 | Analyst Revision = Yahoo current-quarter (0q) EPS consensus now vs 30 days ago | Retrieved 2026-08-09T16:45:09.969552Z | Weights: Quality 25%, Fundamental Momentum 25%, Analyst Revisions 16.67%, other three 11.11% each</x:v>
      </x:c>
      <x:c r="B3" s="338"/>
      <x:c r="C3" s="338"/>
      <x:c r="D3" s="338"/>
      <x:c r="E3" s="338"/>
      <x:c r="F3" s="338"/>
      <x:c r="G3" s="338"/>
      <x:c r="H3" s="338"/>
      <x:c r="I3" s="338"/>
      <x:c r="J3" s="338"/>
      <x:c r="K3" s="338"/>
      <x:c r="L3" s="338"/>
      <x:c r="M3" s="338"/>
      <x:c r="N3" s="338"/>
      <x:c r="O3" s="338"/>
      <x:c r="P3" s="338"/>
      <x:c r="Q3" s="338"/>
      <x:c r="R3" s="338"/>
      <x:c r="S3" s="338"/>
      <x:c r="T3" s="338"/>
      <x:c r="U3" s="338"/>
      <x:c r="V3" s="338"/>
      <x:c r="W3" s="338"/>
      <x:c r="X3" s="338"/>
      <x:c r="Y3" s="338"/>
      <x:c r="Z3" s="338"/>
      <x:c r="AA3" s="338"/>
      <x:c r="AB3" s="338"/>
      <x:c r="AC3" s="338"/>
      <x:c r="AD3" s="338"/>
      <x:c r="AE3" s="339"/>
    </x:row>
    <x:row r="4">
      <x:c r="A4" s="311" t="str">
        <x:v>Overall Rank</x:v>
      </x:c>
      <x:c r="B4" s="311" t="str">
        <x:v>Ticker</x:v>
      </x:c>
      <x:c r="C4" s="311" t="str">
        <x:v>Company</x:v>
      </x:c>
      <x:c r="D4" s="311" t="str">
        <x:v>BTAL Side</x:v>
      </x:c>
      <x:c r="E4" s="311" t="str">
        <x:v>BTAL Weight</x:v>
      </x:c>
      <x:c r="F4" s="311" t="str">
        <x:v>Beta</x:v>
      </x:c>
      <x:c r="G4" s="311" t="str">
        <x:v>Bad Beta</x:v>
      </x:c>
      <x:c r="H4" s="311" t="str">
        <x:v>Overall Score</x:v>
      </x:c>
      <x:c r="I4" s="311" t="str">
        <x:v>Score Coverage</x:v>
      </x:c>
      <x:c r="J4" s="311" t="str">
        <x:v>Quality</x:v>
      </x:c>
      <x:c r="K4" s="311" t="str">
        <x:v>Quality Rank</x:v>
      </x:c>
      <x:c r="L4" s="311" t="str">
        <x:v>Fund. Momentum</x:v>
      </x:c>
      <x:c r="M4" s="311" t="str">
        <x:v>FM Rank</x:v>
      </x:c>
      <x:c r="N4" s="311" t="str">
        <x:v>FM Method</x:v>
      </x:c>
      <x:c r="O4" s="311" t="str">
        <x:v>Analyst Revisions</x:v>
      </x:c>
      <x:c r="P4" s="311" t="str">
        <x:v>AR Rank</x:v>
      </x:c>
      <x:c r="Q4" s="311" t="str">
        <x:v>Current FQ EPS Est.</x:v>
      </x:c>
      <x:c r="R4" s="311" t="str">
        <x:v>30D-Prior EPS Est.</x:v>
      </x:c>
      <x:c r="S4" s="311" t="str">
        <x:v>EPS Revision 30D</x:v>
      </x:c>
      <x:c r="T4" s="311" t="str">
        <x:v>Revision Status</x:v>
      </x:c>
      <x:c r="U4" s="311" t="str">
        <x:v>Valuation</x:v>
      </x:c>
      <x:c r="V4" s="311" t="str">
        <x:v>Valuation Rank</x:v>
      </x:c>
      <x:c r="W4" s="311" t="str">
        <x:v>Conservative Invest.</x:v>
      </x:c>
      <x:c r="X4" s="311" t="str">
        <x:v>CI Rank</x:v>
      </x:c>
      <x:c r="Y4" s="311" t="str">
        <x:v>Shareholder Yield</x:v>
      </x:c>
      <x:c r="Z4" s="311" t="str">
        <x:v>SY Rank</x:v>
      </x:c>
      <x:c r="AA4" s="311" t="str">
        <x:v>Sector</x:v>
      </x:c>
      <x:c r="AB4" s="311" t="str">
        <x:v>Price Date</x:v>
      </x:c>
      <x:c r="AC4" s="311" t="str">
        <x:v>Latest Quarter</x:v>
      </x:c>
      <x:c r="AD4" s="311" t="str">
        <x:v>Latest Annual</x:v>
      </x:c>
      <x:c r="AE4" s="311" t="str">
        <x:v>Data Status</x:v>
      </x:c>
    </x:row>
    <x:row r="5">
      <x:c r="A5" s="12" t="n">
        <x:v>1</x:v>
      </x:c>
      <x:c r="B5" s="47" t="str">
        <x:f>IFERROR(INDEX('Six-Factor Calc'!$B$5:$B$121,MATCH($A5,'Six-Factor Calc'!$A$5:$A$121,0)),"")</x:f>
        <x:v>MUSA</x:v>
      </x:c>
      <x:c r="C5" s="47" t="str">
        <x:f>IFERROR(INDEX('Six-Factor Calc'!$C$5:$C$121,MATCH($A5,'Six-Factor Calc'!$A$5:$A$121,0)),"")</x:f>
        <x:v>Murphy USA Inc.</x:v>
      </x:c>
      <x:c r="D5" s="49" t="str">
        <x:f>IFERROR(INDEX('Six-Factor Calc'!$D$5:$D$121,MATCH($A5,'Six-Factor Calc'!$A$5:$A$121,0)),"")</x:f>
        <x:v>Long</x:v>
      </x:c>
      <x:c r="E5" s="49" t="n">
        <x:f>IFERROR(INDEX('Six-Factor Calc'!$E$5:$E$121,MATCH($A5,'Six-Factor Calc'!$A$5:$A$121,0)),"")</x:f>
        <x:v>0.00406</x:v>
      </x:c>
      <x:c r="F5" s="50" t="n">
        <x:f>IFERROR(INDEX('Six-Factor Calc'!$F$5:$F$121,MATCH($A5,'Six-Factor Calc'!$A$5:$A$121,0)),"")</x:f>
        <x:v>-0.10241867773758018</x:v>
      </x:c>
      <x:c r="G5" s="50" t="n">
        <x:f>IFERROR(INDEX('Six-Factor Calc'!$G$5:$G$121,MATCH($A5,'Six-Factor Calc'!$A$5:$A$121,0)),"")</x:f>
        <x:v>-0.011647095910803866</x:v>
      </x:c>
      <x:c r="H5" s="329" t="n">
        <x:f>IFERROR(INDEX('Six-Factor Calc'!$H$5:$H$121,MATCH($A5,'Six-Factor Calc'!$A$5:$A$121,0)),"")</x:f>
        <x:v>8.44484203352869</x:v>
      </x:c>
      <x:c r="I5" s="47" t="n">
        <x:f>IFERROR(INDEX('Six-Factor Calc'!$I$5:$I$121,MATCH($A5,'Six-Factor Calc'!$A$5:$A$121,0)),"")</x:f>
        <x:v>6</x:v>
      </x:c>
      <x:c r="J5" s="52" t="n">
        <x:f>IFERROR(INDEX('Six-Factor Calc'!$J$5:$J$121,MATCH($A5,'Six-Factor Calc'!$A$5:$A$121,0)),"")</x:f>
        <x:v>10</x:v>
      </x:c>
      <x:c r="K5" s="47" t="n">
        <x:f>IFERROR(INDEX('Six-Factor Calc'!$K$5:$K$121,MATCH($A5,'Six-Factor Calc'!$A$5:$A$121,0)),"")</x:f>
        <x:v>1</x:v>
      </x:c>
      <x:c r="L5" s="52" t="n">
        <x:f>IFERROR(INDEX('Six-Factor Calc'!$L$5:$L$121,MATCH($A5,'Six-Factor Calc'!$A$5:$A$121,0)),"")</x:f>
        <x:v>9.797233201581028</x:v>
      </x:c>
      <x:c r="M5" s="47" t="n">
        <x:f>IFERROR(INDEX('Six-Factor Calc'!$M$5:$M$121,MATCH($A5,'Six-Factor Calc'!$A$5:$A$121,0)),"")</x:f>
        <x:v>1</x:v>
      </x:c>
      <x:c r="N5" s="47" t="str">
        <x:f>IFERROR(INDEX('Six-Factor Calc'!$N$5:$N$121,MATCH($A5,'Six-Factor Calc'!$A$5:$A$121,0)),"")</x:f>
        <x:v>SUE + CAR3</x:v>
      </x:c>
      <x:c r="O5" s="52" t="n">
        <x:f>IFERROR(INDEX('Six-Factor Calc'!$O$5:$O$121,MATCH($A5,'Six-Factor Calc'!$A$5:$A$121,0)),"")</x:f>
        <x:v>8.758</x:v>
      </x:c>
      <x:c r="P5" s="47" t="n">
        <x:f>IFERROR(INDEX('Six-Factor Calc'!$P$5:$P$121,MATCH($A5,'Six-Factor Calc'!$A$5:$A$121,0)),"")</x:f>
        <x:v>17</x:v>
      </x:c>
      <x:c r="Q5" s="50" t="n">
        <x:f>IFERROR(INDEX('Six-Factor Calc'!$Q$5:$Q$121,MATCH($A5,'Six-Factor Calc'!$A$5:$A$121,0)),"")</x:f>
        <x:v>8.355</x:v>
      </x:c>
      <x:c r="R5" s="50" t="n">
        <x:f>IFERROR(INDEX('Six-Factor Calc'!$R$5:$R$121,MATCH($A5,'Six-Factor Calc'!$A$5:$A$121,0)),"")</x:f>
        <x:v>8.1332</x:v>
      </x:c>
      <x:c r="S5" s="317" t="n">
        <x:f>IFERROR(INDEX('Six-Factor Calc'!$S$5:$S$121,MATCH($A5,'Six-Factor Calc'!$A$5:$A$121,0)),"")</x:f>
        <x:v>0.02727093886785029</x:v>
      </x:c>
      <x:c r="T5" s="47" t="str">
        <x:f>IFERROR(INDEX('Six-Factor Calc'!$T$5:$T$121,MATCH($A5,'Six-Factor Calc'!$A$5:$A$121,0)),"")</x:f>
        <x:v>OK</x:v>
      </x:c>
      <x:c r="U5" s="52" t="n">
        <x:f>IFERROR(INDEX('Six-Factor Calc'!$U$5:$U$121,MATCH($A5,'Six-Factor Calc'!$A$5:$A$121,0)),"")</x:f>
        <x:v>5.617458770614693</x:v>
      </x:c>
      <x:c r="V5" s="47" t="n">
        <x:f>IFERROR(INDEX('Six-Factor Calc'!$V$5:$V$121,MATCH($A5,'Six-Factor Calc'!$A$5:$A$121,0)),"")</x:f>
        <x:v>54</x:v>
      </x:c>
      <x:c r="W5" s="52" t="n">
        <x:f>IFERROR(INDEX('Six-Factor Calc'!$W$5:$W$121,MATCH($A5,'Six-Factor Calc'!$A$5:$A$121,0)),"")</x:f>
        <x:v>4.489827586206896</x:v>
      </x:c>
      <x:c r="X5" s="47" t="n">
        <x:f>IFERROR(INDEX('Six-Factor Calc'!$X$5:$X$121,MATCH($A5,'Six-Factor Calc'!$A$5:$A$121,0)),"")</x:f>
        <x:v>70</x:v>
      </x:c>
      <x:c r="Y5" s="52" t="n">
        <x:f>IFERROR(INDEX('Six-Factor Calc'!$Y$5:$Y$121,MATCH($A5,'Six-Factor Calc'!$A$5:$A$121,0)),"")</x:f>
        <x:v>8.21551724137931</x:v>
      </x:c>
      <x:c r="Z5" s="47" t="n">
        <x:f>IFERROR(INDEX('Six-Factor Calc'!$Z$5:$Z$121,MATCH($A5,'Six-Factor Calc'!$A$5:$A$121,0)),"")</x:f>
        <x:v>24</x:v>
      </x:c>
      <x:c r="AA5" s="47" t="str">
        <x:f>IFERROR(INDEX('Six-Factor Calc'!$AA$5:$AA$121,MATCH($A5,'Six-Factor Calc'!$A$5:$A$121,0)),"")</x:f>
        <x:v>Consumer Discretionary</x:v>
      </x:c>
      <x:c r="AB5" s="54" t="n">
        <x:f>IFERROR(INDEX('Six-Factor Calc'!$AB$5:$AB$121,MATCH($A5,'Six-Factor Calc'!$A$5:$A$121,0)),"")</x:f>
        <x:v>46213</x:v>
      </x:c>
      <x:c r="AC5" s="54" t="n">
        <x:f>IFERROR(INDEX('Six-Factor Calc'!$AC$5:$AC$121,MATCH($A5,'Six-Factor Calc'!$A$5:$A$121,0)),"")</x:f>
        <x:v>46112</x:v>
      </x:c>
      <x:c r="AD5" s="54" t="n">
        <x:f>IFERROR(INDEX('Six-Factor Calc'!$AD$5:$AD$121,MATCH($A5,'Six-Factor Calc'!$A$5:$A$121,0)),"")</x:f>
        <x:v>46022</x:v>
      </x:c>
      <x:c r="AE5" s="47" t="str">
        <x:f>IFERROR(INDEX('Six-Factor Calc'!$AE$5:$AE$121,MATCH($A5,'Six-Factor Calc'!$A$5:$A$121,0)),"")</x:f>
        <x:v>OK</x:v>
      </x:c>
    </x:row>
    <x:row r="6">
      <x:c r="A6" s="12" t="n">
        <x:v>2</x:v>
      </x:c>
      <x:c r="B6" s="47" t="str">
        <x:f>IFERROR(INDEX('Six-Factor Calc'!$B$5:$B$121,MATCH($A6,'Six-Factor Calc'!$A$5:$A$121,0)),"")</x:f>
        <x:v>ALL</x:v>
      </x:c>
      <x:c r="C6" s="47" t="str">
        <x:f>IFERROR(INDEX('Six-Factor Calc'!$C$5:$C$121,MATCH($A6,'Six-Factor Calc'!$A$5:$A$121,0)),"")</x:f>
        <x:v>The Allstate Corp.</x:v>
      </x:c>
      <x:c r="D6" s="49" t="str">
        <x:f>IFERROR(INDEX('Six-Factor Calc'!$D$5:$D$121,MATCH($A6,'Six-Factor Calc'!$A$5:$A$121,0)),"")</x:f>
        <x:v>Long</x:v>
      </x:c>
      <x:c r="E6" s="49" t="n">
        <x:f>IFERROR(INDEX('Six-Factor Calc'!$E$5:$E$121,MATCH($A6,'Six-Factor Calc'!$A$5:$A$121,0)),"")</x:f>
        <x:v>0.004759</x:v>
      </x:c>
      <x:c r="F6" s="50" t="n">
        <x:f>IFERROR(INDEX('Six-Factor Calc'!$F$5:$F$121,MATCH($A6,'Six-Factor Calc'!$A$5:$A$121,0)),"")</x:f>
        <x:v>0.09241455785349885</x:v>
      </x:c>
      <x:c r="G6" s="50" t="n">
        <x:f>IFERROR(INDEX('Six-Factor Calc'!$G$5:$G$121,MATCH($A6,'Six-Factor Calc'!$A$5:$A$121,0)),"")</x:f>
        <x:v>-0.06648622060810297</x:v>
      </x:c>
      <x:c r="H6" s="329" t="n">
        <x:f>IFERROR(INDEX('Six-Factor Calc'!$H$5:$H$121,MATCH($A6,'Six-Factor Calc'!$A$5:$A$121,0)),"")</x:f>
        <x:v>8.138734564535914</x:v>
      </x:c>
      <x:c r="I6" s="47" t="n">
        <x:f>IFERROR(INDEX('Six-Factor Calc'!$I$5:$I$121,MATCH($A6,'Six-Factor Calc'!$A$5:$A$121,0)),"")</x:f>
        <x:v>6</x:v>
      </x:c>
      <x:c r="J6" s="52" t="n">
        <x:f>IFERROR(INDEX('Six-Factor Calc'!$J$5:$J$121,MATCH($A6,'Six-Factor Calc'!$A$5:$A$121,0)),"")</x:f>
        <x:v>9.689655172413794</x:v>
      </x:c>
      <x:c r="K6" s="47" t="n">
        <x:f>IFERROR(INDEX('Six-Factor Calc'!$K$5:$K$121,MATCH($A6,'Six-Factor Calc'!$A$5:$A$121,0)),"")</x:f>
        <x:v>5</x:v>
      </x:c>
      <x:c r="L6" s="52" t="n">
        <x:f>IFERROR(INDEX('Six-Factor Calc'!$L$5:$L$121,MATCH($A6,'Six-Factor Calc'!$A$5:$A$121,0)),"")</x:f>
        <x:v>7.97411067193676</x:v>
      </x:c>
      <x:c r="M6" s="47" t="n">
        <x:f>IFERROR(INDEX('Six-Factor Calc'!$M$5:$M$121,MATCH($A6,'Six-Factor Calc'!$A$5:$A$121,0)),"")</x:f>
        <x:v>14</x:v>
      </x:c>
      <x:c r="N6" s="47" t="str">
        <x:f>IFERROR(INDEX('Six-Factor Calc'!$N$5:$N$121,MATCH($A6,'Six-Factor Calc'!$A$5:$A$121,0)),"")</x:f>
        <x:v>SUE + CAR3</x:v>
      </x:c>
      <x:c r="O6" s="52" t="n">
        <x:f>IFERROR(INDEX('Six-Factor Calc'!$O$5:$O$121,MATCH($A6,'Six-Factor Calc'!$A$5:$A$121,0)),"")</x:f>
        <x:v>9.604</x:v>
      </x:c>
      <x:c r="P6" s="47" t="n">
        <x:f>IFERROR(INDEX('Six-Factor Calc'!$P$5:$P$121,MATCH($A6,'Six-Factor Calc'!$A$5:$A$121,0)),"")</x:f>
        <x:v>6</x:v>
      </x:c>
      <x:c r="Q6" s="50" t="n">
        <x:f>IFERROR(INDEX('Six-Factor Calc'!$Q$5:$Q$121,MATCH($A6,'Six-Factor Calc'!$A$5:$A$121,0)),"")</x:f>
        <x:v>6.2408</x:v>
      </x:c>
      <x:c r="R6" s="50" t="n">
        <x:f>IFERROR(INDEX('Six-Factor Calc'!$R$5:$R$121,MATCH($A6,'Six-Factor Calc'!$A$5:$A$121,0)),"")</x:f>
        <x:v>5.88215</x:v>
      </x:c>
      <x:c r="S6" s="317" t="n">
        <x:f>IFERROR(INDEX('Six-Factor Calc'!$S$5:$S$121,MATCH($A6,'Six-Factor Calc'!$A$5:$A$121,0)),"")</x:f>
        <x:v>0.060972603554822626</x:v>
      </x:c>
      <x:c r="T6" s="47" t="str">
        <x:f>IFERROR(INDEX('Six-Factor Calc'!$T$5:$T$121,MATCH($A6,'Six-Factor Calc'!$A$5:$A$121,0)),"")</x:f>
        <x:v>OK</x:v>
      </x:c>
      <x:c r="U6" s="52" t="n">
        <x:f>IFERROR(INDEX('Six-Factor Calc'!$U$5:$U$121,MATCH($A6,'Six-Factor Calc'!$A$5:$A$121,0)),"")</x:f>
        <x:v>8.40948275862069</x:v>
      </x:c>
      <x:c r="V6" s="47" t="n">
        <x:f>IFERROR(INDEX('Six-Factor Calc'!$V$5:$V$121,MATCH($A6,'Six-Factor Calc'!$A$5:$A$121,0)),"")</x:f>
        <x:v>14</x:v>
      </x:c>
      <x:c r="W6" s="52" t="n">
        <x:f>IFERROR(INDEX('Six-Factor Calc'!$W$5:$W$121,MATCH($A6,'Six-Factor Calc'!$A$5:$A$121,0)),"")</x:f>
        <x:v>5.0344827586206895</x:v>
      </x:c>
      <x:c r="X6" s="47" t="n">
        <x:f>IFERROR(INDEX('Six-Factor Calc'!$X$5:$X$121,MATCH($A6,'Six-Factor Calc'!$A$5:$A$121,0)),"")</x:f>
        <x:v>59</x:v>
      </x:c>
      <x:c r="Y6" s="52" t="n">
        <x:f>IFERROR(INDEX('Six-Factor Calc'!$Y$5:$Y$121,MATCH($A6,'Six-Factor Calc'!$A$5:$A$121,0)),"")</x:f>
        <x:v>5.655172413793104</x:v>
      </x:c>
      <x:c r="Z6" s="47" t="n">
        <x:f>IFERROR(INDEX('Six-Factor Calc'!$Z$5:$Z$121,MATCH($A6,'Six-Factor Calc'!$A$5:$A$121,0)),"")</x:f>
        <x:v>57</x:v>
      </x:c>
      <x:c r="AA6" s="47" t="str">
        <x:f>IFERROR(INDEX('Six-Factor Calc'!$AA$5:$AA$121,MATCH($A6,'Six-Factor Calc'!$A$5:$A$121,0)),"")</x:f>
        <x:v>Finance</x:v>
      </x:c>
      <x:c r="AB6" s="54" t="n">
        <x:f>IFERROR(INDEX('Six-Factor Calc'!$AB$5:$AB$121,MATCH($A6,'Six-Factor Calc'!$A$5:$A$121,0)),"")</x:f>
        <x:v>46213</x:v>
      </x:c>
      <x:c r="AC6" s="54" t="n">
        <x:f>IFERROR(INDEX('Six-Factor Calc'!$AC$5:$AC$121,MATCH($A6,'Six-Factor Calc'!$A$5:$A$121,0)),"")</x:f>
        <x:v>46112</x:v>
      </x:c>
      <x:c r="AD6" s="54" t="n">
        <x:f>IFERROR(INDEX('Six-Factor Calc'!$AD$5:$AD$121,MATCH($A6,'Six-Factor Calc'!$A$5:$A$121,0)),"")</x:f>
        <x:v>46022</x:v>
      </x:c>
      <x:c r="AE6" s="47" t="str">
        <x:f>IFERROR(INDEX('Six-Factor Calc'!$AE$5:$AE$121,MATCH($A6,'Six-Factor Calc'!$A$5:$A$121,0)),"")</x:f>
        <x:v>OK</x:v>
      </x:c>
    </x:row>
    <x:row r="7">
      <x:c r="A7" s="12" t="n">
        <x:v>3</x:v>
      </x:c>
      <x:c r="B7" s="47" t="str">
        <x:f>IFERROR(INDEX('Six-Factor Calc'!$B$5:$B$121,MATCH($A7,'Six-Factor Calc'!$A$5:$A$121,0)),"")</x:f>
        <x:v>TRV</x:v>
      </x:c>
      <x:c r="C7" s="47" t="str">
        <x:f>IFERROR(INDEX('Six-Factor Calc'!$C$5:$C$121,MATCH($A7,'Six-Factor Calc'!$A$5:$A$121,0)),"")</x:f>
        <x:v>The Travelers Cos. Inc.</x:v>
      </x:c>
      <x:c r="D7" s="49" t="str">
        <x:f>IFERROR(INDEX('Six-Factor Calc'!$D$5:$D$121,MATCH($A7,'Six-Factor Calc'!$A$5:$A$121,0)),"")</x:f>
        <x:v>Long</x:v>
      </x:c>
      <x:c r="E7" s="49" t="n">
        <x:f>IFERROR(INDEX('Six-Factor Calc'!$E$5:$E$121,MATCH($A7,'Six-Factor Calc'!$A$5:$A$121,0)),"")</x:f>
        <x:v>0.004662</x:v>
      </x:c>
      <x:c r="F7" s="50" t="n">
        <x:f>IFERROR(INDEX('Six-Factor Calc'!$F$5:$F$121,MATCH($A7,'Six-Factor Calc'!$A$5:$A$121,0)),"")</x:f>
        <x:v>0.3653732834408291</x:v>
      </x:c>
      <x:c r="G7" s="50" t="n">
        <x:f>IFERROR(INDEX('Six-Factor Calc'!$G$5:$G$121,MATCH($A7,'Six-Factor Calc'!$A$5:$A$121,0)),"")</x:f>
        <x:v>0.07620243007834783</x:v>
      </x:c>
      <x:c r="H7" s="329" t="n">
        <x:f>IFERROR(INDEX('Six-Factor Calc'!$H$5:$H$121,MATCH($A7,'Six-Factor Calc'!$A$5:$A$121,0)),"")</x:f>
        <x:v>7.892080482486029</x:v>
      </x:c>
      <x:c r="I7" s="47" t="n">
        <x:f>IFERROR(INDEX('Six-Factor Calc'!$I$5:$I$121,MATCH($A7,'Six-Factor Calc'!$A$5:$A$121,0)),"")</x:f>
        <x:v>6</x:v>
      </x:c>
      <x:c r="J7" s="52" t="n">
        <x:f>IFERROR(INDEX('Six-Factor Calc'!$J$5:$J$121,MATCH($A7,'Six-Factor Calc'!$A$5:$A$121,0)),"")</x:f>
        <x:v>8.913793103448276</x:v>
      </x:c>
      <x:c r="K7" s="47" t="n">
        <x:f>IFERROR(INDEX('Six-Factor Calc'!$K$5:$K$121,MATCH($A7,'Six-Factor Calc'!$A$5:$A$121,0)),"")</x:f>
        <x:v>15</x:v>
      </x:c>
      <x:c r="L7" s="52" t="n">
        <x:f>IFERROR(INDEX('Six-Factor Calc'!$L$5:$L$121,MATCH($A7,'Six-Factor Calc'!$A$5:$A$121,0)),"")</x:f>
        <x:v>7.362252964426878</x:v>
      </x:c>
      <x:c r="M7" s="47" t="n">
        <x:f>IFERROR(INDEX('Six-Factor Calc'!$M$5:$M$121,MATCH($A7,'Six-Factor Calc'!$A$5:$A$121,0)),"")</x:f>
        <x:v>21</x:v>
      </x:c>
      <x:c r="N7" s="47" t="str">
        <x:f>IFERROR(INDEX('Six-Factor Calc'!$N$5:$N$121,MATCH($A7,'Six-Factor Calc'!$A$5:$A$121,0)),"")</x:f>
        <x:v>SUE + CAR3</x:v>
      </x:c>
      <x:c r="O7" s="52" t="n">
        <x:f>IFERROR(INDEX('Six-Factor Calc'!$O$5:$O$121,MATCH($A7,'Six-Factor Calc'!$A$5:$A$121,0)),"")</x:f>
        <x:v>9.766</x:v>
      </x:c>
      <x:c r="P7" s="47" t="n">
        <x:f>IFERROR(INDEX('Six-Factor Calc'!$P$5:$P$121,MATCH($A7,'Six-Factor Calc'!$A$5:$A$121,0)),"")</x:f>
        <x:v>4</x:v>
      </x:c>
      <x:c r="Q7" s="50" t="n">
        <x:f>IFERROR(INDEX('Six-Factor Calc'!$Q$5:$Q$121,MATCH($A7,'Six-Factor Calc'!$A$5:$A$121,0)),"")</x:f>
        <x:v>6.80782</x:v>
      </x:c>
      <x:c r="R7" s="50" t="n">
        <x:f>IFERROR(INDEX('Six-Factor Calc'!$R$5:$R$121,MATCH($A7,'Six-Factor Calc'!$A$5:$A$121,0)),"")</x:f>
        <x:v>6.36583</x:v>
      </x:c>
      <x:c r="S7" s="317" t="n">
        <x:f>IFERROR(INDEX('Six-Factor Calc'!$S$5:$S$121,MATCH($A7,'Six-Factor Calc'!$A$5:$A$121,0)),"")</x:f>
        <x:v>0.069431637351296</x:v>
      </x:c>
      <x:c r="T7" s="47" t="str">
        <x:f>IFERROR(INDEX('Six-Factor Calc'!$T$5:$T$121,MATCH($A7,'Six-Factor Calc'!$A$5:$A$121,0)),"")</x:f>
        <x:v>OK</x:v>
      </x:c>
      <x:c r="U7" s="52" t="n">
        <x:f>IFERROR(INDEX('Six-Factor Calc'!$U$5:$U$121,MATCH($A7,'Six-Factor Calc'!$A$5:$A$121,0)),"")</x:f>
        <x:v>7.75</x:v>
      </x:c>
      <x:c r="V7" s="47" t="n">
        <x:f>IFERROR(INDEX('Six-Factor Calc'!$V$5:$V$121,MATCH($A7,'Six-Factor Calc'!$A$5:$A$121,0)),"")</x:f>
        <x:v>25</x:v>
      </x:c>
      <x:c r="W7" s="52" t="n">
        <x:f>IFERROR(INDEX('Six-Factor Calc'!$W$5:$W$121,MATCH($A7,'Six-Factor Calc'!$A$5:$A$121,0)),"")</x:f>
        <x:v>4.568965517241379</x:v>
      </x:c>
      <x:c r="X7" s="47" t="n">
        <x:f>IFERROR(INDEX('Six-Factor Calc'!$X$5:$X$121,MATCH($A7,'Six-Factor Calc'!$A$5:$A$121,0)),"")</x:f>
        <x:v>67</x:v>
      </x:c>
      <x:c r="Y7" s="52" t="n">
        <x:f>IFERROR(INDEX('Six-Factor Calc'!$Y$5:$Y$121,MATCH($A7,'Six-Factor Calc'!$A$5:$A$121,0)),"")</x:f>
        <x:v>7.439655172413794</x:v>
      </x:c>
      <x:c r="Z7" s="47" t="n">
        <x:f>IFERROR(INDEX('Six-Factor Calc'!$Z$5:$Z$121,MATCH($A7,'Six-Factor Calc'!$A$5:$A$121,0)),"")</x:f>
        <x:v>34</x:v>
      </x:c>
      <x:c r="AA7" s="47" t="str">
        <x:f>IFERROR(INDEX('Six-Factor Calc'!$AA$5:$AA$121,MATCH($A7,'Six-Factor Calc'!$A$5:$A$121,0)),"")</x:f>
        <x:v>Finance</x:v>
      </x:c>
      <x:c r="AB7" s="54" t="n">
        <x:f>IFERROR(INDEX('Six-Factor Calc'!$AB$5:$AB$121,MATCH($A7,'Six-Factor Calc'!$A$5:$A$121,0)),"")</x:f>
        <x:v>46213</x:v>
      </x:c>
      <x:c r="AC7" s="54" t="n">
        <x:f>IFERROR(INDEX('Six-Factor Calc'!$AC$5:$AC$121,MATCH($A7,'Six-Factor Calc'!$A$5:$A$121,0)),"")</x:f>
        <x:v>46112</x:v>
      </x:c>
      <x:c r="AD7" s="54" t="n">
        <x:f>IFERROR(INDEX('Six-Factor Calc'!$AD$5:$AD$121,MATCH($A7,'Six-Factor Calc'!$A$5:$A$121,0)),"")</x:f>
        <x:v>46022</x:v>
      </x:c>
      <x:c r="AE7" s="47" t="str">
        <x:f>IFERROR(INDEX('Six-Factor Calc'!$AE$5:$AE$121,MATCH($A7,'Six-Factor Calc'!$A$5:$A$121,0)),"")</x:f>
        <x:v>OK</x:v>
      </x:c>
    </x:row>
    <x:row r="8">
      <x:c r="A8" s="12" t="n">
        <x:v>4</x:v>
      </x:c>
      <x:c r="B8" s="47" t="str">
        <x:f>IFERROR(INDEX('Six-Factor Calc'!$B$5:$B$121,MATCH($A8,'Six-Factor Calc'!$A$5:$A$121,0)),"")</x:f>
        <x:v>RNR</x:v>
      </x:c>
      <x:c r="C8" s="47" t="str">
        <x:f>IFERROR(INDEX('Six-Factor Calc'!$C$5:$C$121,MATCH($A8,'Six-Factor Calc'!$A$5:$A$121,0)),"")</x:f>
        <x:v>RenaissanceRe Holdings Ltd.</x:v>
      </x:c>
      <x:c r="D8" s="49" t="str">
        <x:f>IFERROR(INDEX('Six-Factor Calc'!$D$5:$D$121,MATCH($A8,'Six-Factor Calc'!$A$5:$A$121,0)),"")</x:f>
        <x:v>Long</x:v>
      </x:c>
      <x:c r="E8" s="49" t="n">
        <x:f>IFERROR(INDEX('Six-Factor Calc'!$E$5:$E$121,MATCH($A8,'Six-Factor Calc'!$A$5:$A$121,0)),"")</x:f>
        <x:v>0.004333</x:v>
      </x:c>
      <x:c r="F8" s="50" t="n">
        <x:f>IFERROR(INDEX('Six-Factor Calc'!$F$5:$F$121,MATCH($A8,'Six-Factor Calc'!$A$5:$A$121,0)),"")</x:f>
        <x:v>-0.11603347691244012</x:v>
      </x:c>
      <x:c r="G8" s="50" t="n">
        <x:f>IFERROR(INDEX('Six-Factor Calc'!$G$5:$G$121,MATCH($A8,'Six-Factor Calc'!$A$5:$A$121,0)),"")</x:f>
        <x:v>-0.10951693535765034</x:v>
      </x:c>
      <x:c r="H8" s="329" t="n">
        <x:f>IFERROR(INDEX('Six-Factor Calc'!$H$5:$H$121,MATCH($A8,'Six-Factor Calc'!$A$5:$A$121,0)),"")</x:f>
        <x:v>7.8556590568352185</x:v>
      </x:c>
      <x:c r="I8" s="47" t="n">
        <x:f>IFERROR(INDEX('Six-Factor Calc'!$I$5:$I$121,MATCH($A8,'Six-Factor Calc'!$A$5:$A$121,0)),"")</x:f>
        <x:v>6</x:v>
      </x:c>
      <x:c r="J8" s="52" t="n">
        <x:f>IFERROR(INDEX('Six-Factor Calc'!$J$5:$J$121,MATCH($A8,'Six-Factor Calc'!$A$5:$A$121,0)),"")</x:f>
        <x:v>8.681034482758621</x:v>
      </x:c>
      <x:c r="K8" s="47" t="n">
        <x:f>IFERROR(INDEX('Six-Factor Calc'!$K$5:$K$121,MATCH($A8,'Six-Factor Calc'!$A$5:$A$121,0)),"")</x:f>
        <x:v>18</x:v>
      </x:c>
      <x:c r="L8" s="52" t="n">
        <x:f>IFERROR(INDEX('Six-Factor Calc'!$L$5:$L$121,MATCH($A8,'Six-Factor Calc'!$A$5:$A$121,0)),"")</x:f>
        <x:v>5.345256916996047</x:v>
      </x:c>
      <x:c r="M8" s="47" t="n">
        <x:f>IFERROR(INDEX('Six-Factor Calc'!$M$5:$M$121,MATCH($A8,'Six-Factor Calc'!$A$5:$A$121,0)),"")</x:f>
        <x:v>67</x:v>
      </x:c>
      <x:c r="N8" s="47" t="str">
        <x:f>IFERROR(INDEX('Six-Factor Calc'!$N$5:$N$121,MATCH($A8,'Six-Factor Calc'!$A$5:$A$121,0)),"")</x:f>
        <x:v>SUE + CAR3</x:v>
      </x:c>
      <x:c r="O8" s="52" t="n">
        <x:f>IFERROR(INDEX('Six-Factor Calc'!$O$5:$O$121,MATCH($A8,'Six-Factor Calc'!$A$5:$A$121,0)),"")</x:f>
        <x:v>9.379000000000001</x:v>
      </x:c>
      <x:c r="P8" s="47" t="n">
        <x:f>IFERROR(INDEX('Six-Factor Calc'!$P$5:$P$121,MATCH($A8,'Six-Factor Calc'!$A$5:$A$121,0)),"")</x:f>
        <x:v>9</x:v>
      </x:c>
      <x:c r="Q8" s="50" t="n">
        <x:f>IFERROR(INDEX('Six-Factor Calc'!$Q$5:$Q$121,MATCH($A8,'Six-Factor Calc'!$A$5:$A$121,0)),"")</x:f>
        <x:v>6.73745</x:v>
      </x:c>
      <x:c r="R8" s="50" t="n">
        <x:f>IFERROR(INDEX('Six-Factor Calc'!$R$5:$R$121,MATCH($A8,'Six-Factor Calc'!$A$5:$A$121,0)),"")</x:f>
        <x:v>6.42601</x:v>
      </x:c>
      <x:c r="S8" s="317" t="n">
        <x:f>IFERROR(INDEX('Six-Factor Calc'!$S$5:$S$121,MATCH($A8,'Six-Factor Calc'!$A$5:$A$121,0)),"")</x:f>
        <x:v>0.04846553304461091</x:v>
      </x:c>
      <x:c r="T8" s="47" t="str">
        <x:f>IFERROR(INDEX('Six-Factor Calc'!$T$5:$T$121,MATCH($A8,'Six-Factor Calc'!$A$5:$A$121,0)),"")</x:f>
        <x:v>OK</x:v>
      </x:c>
      <x:c r="U8" s="52" t="n">
        <x:f>IFERROR(INDEX('Six-Factor Calc'!$U$5:$U$121,MATCH($A8,'Six-Factor Calc'!$A$5:$A$121,0)),"")</x:f>
        <x:v>9.72844827586207</x:v>
      </x:c>
      <x:c r="V8" s="47" t="n">
        <x:f>IFERROR(INDEX('Six-Factor Calc'!$V$5:$V$121,MATCH($A8,'Six-Factor Calc'!$A$5:$A$121,0)),"")</x:f>
        <x:v>3</x:v>
      </x:c>
      <x:c r="W8" s="52" t="n">
        <x:f>IFERROR(INDEX('Six-Factor Calc'!$W$5:$W$121,MATCH($A8,'Six-Factor Calc'!$A$5:$A$121,0)),"")</x:f>
        <x:v>5.887931034482759</x:v>
      </x:c>
      <x:c r="X8" s="47" t="n">
        <x:f>IFERROR(INDEX('Six-Factor Calc'!$X$5:$X$121,MATCH($A8,'Six-Factor Calc'!$A$5:$A$121,0)),"")</x:f>
        <x:v>46</x:v>
      </x:c>
      <x:c r="Y8" s="52" t="n">
        <x:f>IFERROR(INDEX('Six-Factor Calc'!$Y$5:$Y$121,MATCH($A8,'Six-Factor Calc'!$A$5:$A$121,0)),"")</x:f>
        <x:v>9.456896551724139</x:v>
      </x:c>
      <x:c r="Z8" s="47" t="n">
        <x:f>IFERROR(INDEX('Six-Factor Calc'!$Z$5:$Z$121,MATCH($A8,'Six-Factor Calc'!$A$5:$A$121,0)),"")</x:f>
        <x:v>8</x:v>
      </x:c>
      <x:c r="AA8" s="47" t="str">
        <x:f>IFERROR(INDEX('Six-Factor Calc'!$AA$5:$AA$121,MATCH($A8,'Six-Factor Calc'!$A$5:$A$121,0)),"")</x:f>
        <x:v>Finance</x:v>
      </x:c>
      <x:c r="AB8" s="54" t="n">
        <x:f>IFERROR(INDEX('Six-Factor Calc'!$AB$5:$AB$121,MATCH($A8,'Six-Factor Calc'!$A$5:$A$121,0)),"")</x:f>
        <x:v>46213</x:v>
      </x:c>
      <x:c r="AC8" s="54" t="n">
        <x:f>IFERROR(INDEX('Six-Factor Calc'!$AC$5:$AC$121,MATCH($A8,'Six-Factor Calc'!$A$5:$A$121,0)),"")</x:f>
        <x:v>46112</x:v>
      </x:c>
      <x:c r="AD8" s="54" t="n">
        <x:f>IFERROR(INDEX('Six-Factor Calc'!$AD$5:$AD$121,MATCH($A8,'Six-Factor Calc'!$A$5:$A$121,0)),"")</x:f>
        <x:v>46022</x:v>
      </x:c>
      <x:c r="AE8" s="47" t="str">
        <x:f>IFERROR(INDEX('Six-Factor Calc'!$AE$5:$AE$121,MATCH($A8,'Six-Factor Calc'!$A$5:$A$121,0)),"")</x:f>
        <x:v>OK</x:v>
      </x:c>
    </x:row>
    <x:row r="9">
      <x:c r="A9" s="12" t="n">
        <x:v>5</x:v>
      </x:c>
      <x:c r="B9" s="47" t="str">
        <x:f>IFERROR(INDEX('Six-Factor Calc'!$B$5:$B$121,MATCH($A9,'Six-Factor Calc'!$A$5:$A$121,0)),"")</x:f>
        <x:v>FTI</x:v>
      </x:c>
      <x:c r="C9" s="47" t="str">
        <x:f>IFERROR(INDEX('Six-Factor Calc'!$C$5:$C$121,MATCH($A9,'Six-Factor Calc'!$A$5:$A$121,0)),"")</x:f>
        <x:v>TechnipFMC PLC</x:v>
      </x:c>
      <x:c r="D9" s="49" t="str">
        <x:f>IFERROR(INDEX('Six-Factor Calc'!$D$5:$D$121,MATCH($A9,'Six-Factor Calc'!$A$5:$A$121,0)),"")</x:f>
        <x:v>Short</x:v>
      </x:c>
      <x:c r="E9" s="49" t="n">
        <x:f>IFERROR(INDEX('Six-Factor Calc'!$E$5:$E$121,MATCH($A9,'Six-Factor Calc'!$A$5:$A$121,0)),"")</x:f>
        <x:v>-0.003583</x:v>
      </x:c>
      <x:c r="F9" s="50" t="n">
        <x:f>IFERROR(INDEX('Six-Factor Calc'!$F$5:$F$121,MATCH($A9,'Six-Factor Calc'!$A$5:$A$121,0)),"")</x:f>
        <x:v>0.34049164933344184</x:v>
      </x:c>
      <x:c r="G9" s="50" t="n">
        <x:f>IFERROR(INDEX('Six-Factor Calc'!$G$5:$G$121,MATCH($A9,'Six-Factor Calc'!$A$5:$A$121,0)),"")</x:f>
        <x:v>-0.08781656685977221</x:v>
      </x:c>
      <x:c r="H9" s="329" t="n">
        <x:f>IFERROR(INDEX('Six-Factor Calc'!$H$5:$H$121,MATCH($A9,'Six-Factor Calc'!$A$5:$A$121,0)),"")</x:f>
        <x:v>7.575827041024942</x:v>
      </x:c>
      <x:c r="I9" s="47" t="n">
        <x:f>IFERROR(INDEX('Six-Factor Calc'!$I$5:$I$121,MATCH($A9,'Six-Factor Calc'!$A$5:$A$121,0)),"")</x:f>
        <x:v>6</x:v>
      </x:c>
      <x:c r="J9" s="52" t="n">
        <x:f>IFERROR(INDEX('Six-Factor Calc'!$J$5:$J$121,MATCH($A9,'Six-Factor Calc'!$A$5:$A$121,0)),"")</x:f>
        <x:v>9.224137931034484</x:v>
      </x:c>
      <x:c r="K9" s="47" t="n">
        <x:f>IFERROR(INDEX('Six-Factor Calc'!$K$5:$K$121,MATCH($A9,'Six-Factor Calc'!$A$5:$A$121,0)),"")</x:f>
        <x:v>11</x:v>
      </x:c>
      <x:c r="L9" s="52" t="n">
        <x:f>IFERROR(INDEX('Six-Factor Calc'!$L$5:$L$121,MATCH($A9,'Six-Factor Calc'!$A$5:$A$121,0)),"")</x:f>
        <x:v>6.979841897233201</x:v>
      </x:c>
      <x:c r="M9" s="47" t="n">
        <x:f>IFERROR(INDEX('Six-Factor Calc'!$M$5:$M$121,MATCH($A9,'Six-Factor Calc'!$A$5:$A$121,0)),"")</x:f>
        <x:v>25</x:v>
      </x:c>
      <x:c r="N9" s="47" t="str">
        <x:f>IFERROR(INDEX('Six-Factor Calc'!$N$5:$N$121,MATCH($A9,'Six-Factor Calc'!$A$5:$A$121,0)),"")</x:f>
        <x:v>SUE + CAR3</x:v>
      </x:c>
      <x:c r="O9" s="52" t="n">
        <x:f>IFERROR(INDEX('Six-Factor Calc'!$O$5:$O$121,MATCH($A9,'Six-Factor Calc'!$A$5:$A$121,0)),"")</x:f>
        <x:v>9.064</x:v>
      </x:c>
      <x:c r="P9" s="47" t="n">
        <x:f>IFERROR(INDEX('Six-Factor Calc'!$P$5:$P$121,MATCH($A9,'Six-Factor Calc'!$A$5:$A$121,0)),"")</x:f>
        <x:v>13</x:v>
      </x:c>
      <x:c r="Q9" s="50" t="n">
        <x:f>IFERROR(INDEX('Six-Factor Calc'!$Q$5:$Q$121,MATCH($A9,'Six-Factor Calc'!$A$5:$A$121,0)),"")</x:f>
        <x:v>0.87386</x:v>
      </x:c>
      <x:c r="R9" s="50" t="n">
        <x:f>IFERROR(INDEX('Six-Factor Calc'!$R$5:$R$121,MATCH($A9,'Six-Factor Calc'!$A$5:$A$121,0)),"")</x:f>
        <x:v>0.84262</x:v>
      </x:c>
      <x:c r="S9" s="317" t="n">
        <x:f>IFERROR(INDEX('Six-Factor Calc'!$S$5:$S$121,MATCH($A9,'Six-Factor Calc'!$A$5:$A$121,0)),"")</x:f>
        <x:v>0.0370748380052692</x:v>
      </x:c>
      <x:c r="T9" s="47" t="str">
        <x:f>IFERROR(INDEX('Six-Factor Calc'!$T$5:$T$121,MATCH($A9,'Six-Factor Calc'!$A$5:$A$121,0)),"")</x:f>
        <x:v>OK</x:v>
      </x:c>
      <x:c r="U9" s="52" t="n">
        <x:f>IFERROR(INDEX('Six-Factor Calc'!$U$5:$U$121,MATCH($A9,'Six-Factor Calc'!$A$5:$A$121,0)),"")</x:f>
        <x:v>4.4430059970014995</x:v>
      </x:c>
      <x:c r="V9" s="47" t="n">
        <x:f>IFERROR(INDEX('Six-Factor Calc'!$V$5:$V$121,MATCH($A9,'Six-Factor Calc'!$A$5:$A$121,0)),"")</x:f>
        <x:v>82</x:v>
      </x:c>
      <x:c r="W9" s="52" t="n">
        <x:f>IFERROR(INDEX('Six-Factor Calc'!$W$5:$W$121,MATCH($A9,'Six-Factor Calc'!$A$5:$A$121,0)),"")</x:f>
        <x:v>6.477586206896552</x:v>
      </x:c>
      <x:c r="X9" s="47" t="n">
        <x:f>IFERROR(INDEX('Six-Factor Calc'!$X$5:$X$121,MATCH($A9,'Six-Factor Calc'!$A$5:$A$121,0)),"")</x:f>
        <x:v>32</x:v>
      </x:c>
      <x:c r="Y9" s="52" t="n">
        <x:f>IFERROR(INDEX('Six-Factor Calc'!$Y$5:$Y$121,MATCH($A9,'Six-Factor Calc'!$A$5:$A$121,0)),"")</x:f>
        <x:v>7.206896551724139</x:v>
      </x:c>
      <x:c r="Z9" s="47" t="n">
        <x:f>IFERROR(INDEX('Six-Factor Calc'!$Z$5:$Z$121,MATCH($A9,'Six-Factor Calc'!$A$5:$A$121,0)),"")</x:f>
        <x:v>37</x:v>
      </x:c>
      <x:c r="AA9" s="47" t="str">
        <x:f>IFERROR(INDEX('Six-Factor Calc'!$AA$5:$AA$121,MATCH($A9,'Six-Factor Calc'!$A$5:$A$121,0)),"")</x:f>
        <x:v>Consumer Discretionary</x:v>
      </x:c>
      <x:c r="AB9" s="54" t="n">
        <x:f>IFERROR(INDEX('Six-Factor Calc'!$AB$5:$AB$121,MATCH($A9,'Six-Factor Calc'!$A$5:$A$121,0)),"")</x:f>
        <x:v>46213</x:v>
      </x:c>
      <x:c r="AC9" s="54" t="n">
        <x:f>IFERROR(INDEX('Six-Factor Calc'!$AC$5:$AC$121,MATCH($A9,'Six-Factor Calc'!$A$5:$A$121,0)),"")</x:f>
        <x:v>46112</x:v>
      </x:c>
      <x:c r="AD9" s="54" t="n">
        <x:f>IFERROR(INDEX('Six-Factor Calc'!$AD$5:$AD$121,MATCH($A9,'Six-Factor Calc'!$A$5:$A$121,0)),"")</x:f>
        <x:v>46022</x:v>
      </x:c>
      <x:c r="AE9" s="47" t="str">
        <x:f>IFERROR(INDEX('Six-Factor Calc'!$AE$5:$AE$121,MATCH($A9,'Six-Factor Calc'!$A$5:$A$121,0)),"")</x:f>
        <x:v>OK</x:v>
      </x:c>
    </x:row>
    <x:row r="10">
      <x:c r="A10" s="12" t="n">
        <x:v>6</x:v>
      </x:c>
      <x:c r="B10" s="47" t="str">
        <x:f>IFERROR(INDEX('Six-Factor Calc'!$B$5:$B$121,MATCH($A10,'Six-Factor Calc'!$A$5:$A$121,0)),"")</x:f>
        <x:v>AFL</x:v>
      </x:c>
      <x:c r="C10" s="47" t="str">
        <x:f>IFERROR(INDEX('Six-Factor Calc'!$C$5:$C$121,MATCH($A10,'Six-Factor Calc'!$A$5:$A$121,0)),"")</x:f>
        <x:v>Aflac Inc.</x:v>
      </x:c>
      <x:c r="D10" s="49" t="str">
        <x:f>IFERROR(INDEX('Six-Factor Calc'!$D$5:$D$121,MATCH($A10,'Six-Factor Calc'!$A$5:$A$121,0)),"")</x:f>
        <x:v>Long</x:v>
      </x:c>
      <x:c r="E10" s="49" t="n">
        <x:f>IFERROR(INDEX('Six-Factor Calc'!$E$5:$E$121,MATCH($A10,'Six-Factor Calc'!$A$5:$A$121,0)),"")</x:f>
        <x:v>0.004193</x:v>
      </x:c>
      <x:c r="F10" s="50" t="n">
        <x:f>IFERROR(INDEX('Six-Factor Calc'!$F$5:$F$121,MATCH($A10,'Six-Factor Calc'!$A$5:$A$121,0)),"")</x:f>
        <x:v>0.328714212645773</x:v>
      </x:c>
      <x:c r="G10" s="50" t="n">
        <x:f>IFERROR(INDEX('Six-Factor Calc'!$G$5:$G$121,MATCH($A10,'Six-Factor Calc'!$A$5:$A$121,0)),"")</x:f>
        <x:v>0.16481188672578836</x:v>
      </x:c>
      <x:c r="H10" s="329" t="n">
        <x:f>IFERROR(INDEX('Six-Factor Calc'!$H$5:$H$121,MATCH($A10,'Six-Factor Calc'!$A$5:$A$121,0)),"")</x:f>
        <x:v>7.4741115578574355</x:v>
      </x:c>
      <x:c r="I10" s="47" t="n">
        <x:f>IFERROR(INDEX('Six-Factor Calc'!$I$5:$I$121,MATCH($A10,'Six-Factor Calc'!$A$5:$A$121,0)),"")</x:f>
        <x:v>6</x:v>
      </x:c>
      <x:c r="J10" s="52" t="n">
        <x:f>IFERROR(INDEX('Six-Factor Calc'!$J$5:$J$121,MATCH($A10,'Six-Factor Calc'!$A$5:$A$121,0)),"")</x:f>
        <x:v>7.362068965517241</x:v>
      </x:c>
      <x:c r="K10" s="47" t="n">
        <x:f>IFERROR(INDEX('Six-Factor Calc'!$K$5:$K$121,MATCH($A10,'Six-Factor Calc'!$A$5:$A$121,0)),"")</x:f>
        <x:v>35</x:v>
      </x:c>
      <x:c r="L10" s="52" t="n">
        <x:f>IFERROR(INDEX('Six-Factor Calc'!$L$5:$L$121,MATCH($A10,'Six-Factor Calc'!$A$5:$A$121,0)),"")</x:f>
        <x:v>6.124308300395256</x:v>
      </x:c>
      <x:c r="M10" s="47" t="n">
        <x:f>IFERROR(INDEX('Six-Factor Calc'!$M$5:$M$121,MATCH($A10,'Six-Factor Calc'!$A$5:$A$121,0)),"")</x:f>
        <x:v>45</x:v>
      </x:c>
      <x:c r="N10" s="47" t="str">
        <x:f>IFERROR(INDEX('Six-Factor Calc'!$N$5:$N$121,MATCH($A10,'Six-Factor Calc'!$A$5:$A$121,0)),"")</x:f>
        <x:v>SUE + CAR3</x:v>
      </x:c>
      <x:c r="O10" s="52" t="n">
        <x:f>IFERROR(INDEX('Six-Factor Calc'!$O$5:$O$121,MATCH($A10,'Six-Factor Calc'!$A$5:$A$121,0)),"")</x:f>
        <x:v>7.822</x:v>
      </x:c>
      <x:c r="P10" s="47" t="n">
        <x:f>IFERROR(INDEX('Six-Factor Calc'!$P$5:$P$121,MATCH($A10,'Six-Factor Calc'!$A$5:$A$121,0)),"")</x:f>
        <x:v>29</x:v>
      </x:c>
      <x:c r="Q10" s="50" t="n">
        <x:f>IFERROR(INDEX('Six-Factor Calc'!$Q$5:$Q$121,MATCH($A10,'Six-Factor Calc'!$A$5:$A$121,0)),"")</x:f>
        <x:v>1.82196</x:v>
      </x:c>
      <x:c r="R10" s="50" t="n">
        <x:f>IFERROR(INDEX('Six-Factor Calc'!$R$5:$R$121,MATCH($A10,'Six-Factor Calc'!$A$5:$A$121,0)),"")</x:f>
        <x:v>1.79374</x:v>
      </x:c>
      <x:c r="S10" s="317" t="n">
        <x:f>IFERROR(INDEX('Six-Factor Calc'!$S$5:$S$121,MATCH($A10,'Six-Factor Calc'!$A$5:$A$121,0)),"")</x:f>
        <x:v>0.015732491888456598</x:v>
      </x:c>
      <x:c r="T10" s="47" t="str">
        <x:f>IFERROR(INDEX('Six-Factor Calc'!$T$5:$T$121,MATCH($A10,'Six-Factor Calc'!$A$5:$A$121,0)),"")</x:f>
        <x:v>OK</x:v>
      </x:c>
      <x:c r="U10" s="52" t="n">
        <x:f>IFERROR(INDEX('Six-Factor Calc'!$U$5:$U$121,MATCH($A10,'Six-Factor Calc'!$A$5:$A$121,0)),"")</x:f>
        <x:v>7.2844827586206895</x:v>
      </x:c>
      <x:c r="V10" s="47" t="n">
        <x:f>IFERROR(INDEX('Six-Factor Calc'!$V$5:$V$121,MATCH($A10,'Six-Factor Calc'!$A$5:$A$121,0)),"")</x:f>
        <x:v>27</x:v>
      </x:c>
      <x:c r="W10" s="52" t="n">
        <x:f>IFERROR(INDEX('Six-Factor Calc'!$W$5:$W$121,MATCH($A10,'Six-Factor Calc'!$A$5:$A$121,0)),"")</x:f>
        <x:v>9.224137931034482</x:v>
      </x:c>
      <x:c r="X10" s="47" t="n">
        <x:f>IFERROR(INDEX('Six-Factor Calc'!$X$5:$X$121,MATCH($A10,'Six-Factor Calc'!$A$5:$A$121,0)),"")</x:f>
        <x:v>3</x:v>
      </x:c>
      <x:c r="Y10" s="52" t="n">
        <x:f>IFERROR(INDEX('Six-Factor Calc'!$Y$5:$Y$121,MATCH($A10,'Six-Factor Calc'!$A$5:$A$121,0)),"")</x:f>
        <x:v>8.681034482758621</x:v>
      </x:c>
      <x:c r="Z10" s="47" t="n">
        <x:f>IFERROR(INDEX('Six-Factor Calc'!$Z$5:$Z$121,MATCH($A10,'Six-Factor Calc'!$A$5:$A$121,0)),"")</x:f>
        <x:v>18</x:v>
      </x:c>
      <x:c r="AA10" s="47" t="str">
        <x:f>IFERROR(INDEX('Six-Factor Calc'!$AA$5:$AA$121,MATCH($A10,'Six-Factor Calc'!$A$5:$A$121,0)),"")</x:f>
        <x:v>Finance</x:v>
      </x:c>
      <x:c r="AB10" s="54" t="n">
        <x:f>IFERROR(INDEX('Six-Factor Calc'!$AB$5:$AB$121,MATCH($A10,'Six-Factor Calc'!$A$5:$A$121,0)),"")</x:f>
        <x:v>46213</x:v>
      </x:c>
      <x:c r="AC10" s="54" t="n">
        <x:f>IFERROR(INDEX('Six-Factor Calc'!$AC$5:$AC$121,MATCH($A10,'Six-Factor Calc'!$A$5:$A$121,0)),"")</x:f>
        <x:v>46112</x:v>
      </x:c>
      <x:c r="AD10" s="54" t="n">
        <x:f>IFERROR(INDEX('Six-Factor Calc'!$AD$5:$AD$121,MATCH($A10,'Six-Factor Calc'!$A$5:$A$121,0)),"")</x:f>
        <x:v>46022</x:v>
      </x:c>
      <x:c r="AE10" s="47" t="str">
        <x:f>IFERROR(INDEX('Six-Factor Calc'!$AE$5:$AE$121,MATCH($A10,'Six-Factor Calc'!$A$5:$A$121,0)),"")</x:f>
        <x:v>OK</x:v>
      </x:c>
    </x:row>
    <x:row r="11">
      <x:c r="A11" s="12" t="n">
        <x:v>7</x:v>
      </x:c>
      <x:c r="B11" s="47" t="str">
        <x:f>IFERROR(INDEX('Six-Factor Calc'!$B$5:$B$121,MATCH($A11,'Six-Factor Calc'!$A$5:$A$121,0)),"")</x:f>
        <x:v>THG</x:v>
      </x:c>
      <x:c r="C11" s="47" t="str">
        <x:f>IFERROR(INDEX('Six-Factor Calc'!$C$5:$C$121,MATCH($A11,'Six-Factor Calc'!$A$5:$A$121,0)),"")</x:f>
        <x:v>The Hanover Insurance Group Inc.</x:v>
      </x:c>
      <x:c r="D11" s="49" t="str">
        <x:f>IFERROR(INDEX('Six-Factor Calc'!$D$5:$D$121,MATCH($A11,'Six-Factor Calc'!$A$5:$A$121,0)),"")</x:f>
        <x:v>Long</x:v>
      </x:c>
      <x:c r="E11" s="49" t="n">
        <x:f>IFERROR(INDEX('Six-Factor Calc'!$E$5:$E$121,MATCH($A11,'Six-Factor Calc'!$A$5:$A$121,0)),"")</x:f>
        <x:v>0.004416</x:v>
      </x:c>
      <x:c r="F11" s="50" t="n">
        <x:f>IFERROR(INDEX('Six-Factor Calc'!$F$5:$F$121,MATCH($A11,'Six-Factor Calc'!$A$5:$A$121,0)),"")</x:f>
        <x:v>0.2606331626106742</x:v>
      </x:c>
      <x:c r="G11" s="50" t="n">
        <x:f>IFERROR(INDEX('Six-Factor Calc'!$G$5:$G$121,MATCH($A11,'Six-Factor Calc'!$A$5:$A$121,0)),"")</x:f>
        <x:v>-0.01113446028315607</x:v>
      </x:c>
      <x:c r="H11" s="329" t="n">
        <x:f>IFERROR(INDEX('Six-Factor Calc'!$H$5:$H$121,MATCH($A11,'Six-Factor Calc'!$A$5:$A$121,0)),"")</x:f>
        <x:v>7.410257257734768</x:v>
      </x:c>
      <x:c r="I11" s="47" t="n">
        <x:f>IFERROR(INDEX('Six-Factor Calc'!$I$5:$I$121,MATCH($A11,'Six-Factor Calc'!$A$5:$A$121,0)),"")</x:f>
        <x:v>6</x:v>
      </x:c>
      <x:c r="J11" s="52" t="n">
        <x:f>IFERROR(INDEX('Six-Factor Calc'!$J$5:$J$121,MATCH($A11,'Six-Factor Calc'!$A$5:$A$121,0)),"")</x:f>
        <x:v>7.2844827586206895</x:v>
      </x:c>
      <x:c r="K11" s="47" t="n">
        <x:f>IFERROR(INDEX('Six-Factor Calc'!$K$5:$K$121,MATCH($A11,'Six-Factor Calc'!$A$5:$A$121,0)),"")</x:f>
        <x:v>36</x:v>
      </x:c>
      <x:c r="L11" s="52" t="n">
        <x:f>IFERROR(INDEX('Six-Factor Calc'!$L$5:$L$121,MATCH($A11,'Six-Factor Calc'!$A$5:$A$121,0)),"")</x:f>
        <x:v>8.514822134387352</x:v>
      </x:c>
      <x:c r="M11" s="47" t="n">
        <x:f>IFERROR(INDEX('Six-Factor Calc'!$M$5:$M$121,MATCH($A11,'Six-Factor Calc'!$A$5:$A$121,0)),"")</x:f>
        <x:v>9</x:v>
      </x:c>
      <x:c r="N11" s="47" t="str">
        <x:f>IFERROR(INDEX('Six-Factor Calc'!$N$5:$N$121,MATCH($A11,'Six-Factor Calc'!$A$5:$A$121,0)),"")</x:f>
        <x:v>SUE + CAR3</x:v>
      </x:c>
      <x:c r="O11" s="52" t="n">
        <x:f>IFERROR(INDEX('Six-Factor Calc'!$O$5:$O$121,MATCH($A11,'Six-Factor Calc'!$A$5:$A$121,0)),"")</x:f>
        <x:v>9.685</x:v>
      </x:c>
      <x:c r="P11" s="47" t="n">
        <x:f>IFERROR(INDEX('Six-Factor Calc'!$P$5:$P$121,MATCH($A11,'Six-Factor Calc'!$A$5:$A$121,0)),"")</x:f>
        <x:v>5</x:v>
      </x:c>
      <x:c r="Q11" s="50" t="n">
        <x:f>IFERROR(INDEX('Six-Factor Calc'!$Q$5:$Q$121,MATCH($A11,'Six-Factor Calc'!$A$5:$A$121,0)),"")</x:f>
        <x:v>4.45714</x:v>
      </x:c>
      <x:c r="R11" s="50" t="n">
        <x:f>IFERROR(INDEX('Six-Factor Calc'!$R$5:$R$121,MATCH($A11,'Six-Factor Calc'!$A$5:$A$121,0)),"")</x:f>
        <x:v>4.17429</x:v>
      </x:c>
      <x:c r="S11" s="317" t="n">
        <x:f>IFERROR(INDEX('Six-Factor Calc'!$S$5:$S$121,MATCH($A11,'Six-Factor Calc'!$A$5:$A$121,0)),"")</x:f>
        <x:v>0.06776002625596204</x:v>
      </x:c>
      <x:c r="T11" s="47" t="str">
        <x:f>IFERROR(INDEX('Six-Factor Calc'!$T$5:$T$121,MATCH($A11,'Six-Factor Calc'!$A$5:$A$121,0)),"")</x:f>
        <x:v>OK</x:v>
      </x:c>
      <x:c r="U11" s="52" t="n">
        <x:f>IFERROR(INDEX('Six-Factor Calc'!$U$5:$U$121,MATCH($A11,'Six-Factor Calc'!$A$5:$A$121,0)),"")</x:f>
        <x:v>7.788793103448276</x:v>
      </x:c>
      <x:c r="V11" s="47" t="n">
        <x:f>IFERROR(INDEX('Six-Factor Calc'!$V$5:$V$121,MATCH($A11,'Six-Factor Calc'!$A$5:$A$121,0)),"")</x:f>
        <x:v>24</x:v>
      </x:c>
      <x:c r="W11" s="52" t="n">
        <x:f>IFERROR(INDEX('Six-Factor Calc'!$W$5:$W$121,MATCH($A11,'Six-Factor Calc'!$A$5:$A$121,0)),"")</x:f>
        <x:v>3.3275862068965516</x:v>
      </x:c>
      <x:c r="X11" s="47" t="n">
        <x:f>IFERROR(INDEX('Six-Factor Calc'!$X$5:$X$121,MATCH($A11,'Six-Factor Calc'!$A$5:$A$121,0)),"")</x:f>
        <x:v>93</x:v>
      </x:c>
      <x:c r="Y11" s="52" t="n">
        <x:f>IFERROR(INDEX('Six-Factor Calc'!$Y$5:$Y$121,MATCH($A11,'Six-Factor Calc'!$A$5:$A$121,0)),"")</x:f>
        <x:v>5.5</x:v>
      </x:c>
      <x:c r="Z11" s="47" t="n">
        <x:f>IFERROR(INDEX('Six-Factor Calc'!$Z$5:$Z$121,MATCH($A11,'Six-Factor Calc'!$A$5:$A$121,0)),"")</x:f>
        <x:v>59</x:v>
      </x:c>
      <x:c r="AA11" s="47" t="str">
        <x:f>IFERROR(INDEX('Six-Factor Calc'!$AA$5:$AA$121,MATCH($A11,'Six-Factor Calc'!$A$5:$A$121,0)),"")</x:f>
        <x:v>Finance</x:v>
      </x:c>
      <x:c r="AB11" s="54" t="n">
        <x:f>IFERROR(INDEX('Six-Factor Calc'!$AB$5:$AB$121,MATCH($A11,'Six-Factor Calc'!$A$5:$A$121,0)),"")</x:f>
        <x:v>46213</x:v>
      </x:c>
      <x:c r="AC11" s="54" t="n">
        <x:f>IFERROR(INDEX('Six-Factor Calc'!$AC$5:$AC$121,MATCH($A11,'Six-Factor Calc'!$A$5:$A$121,0)),"")</x:f>
        <x:v>46112</x:v>
      </x:c>
      <x:c r="AD11" s="54" t="n">
        <x:f>IFERROR(INDEX('Six-Factor Calc'!$AD$5:$AD$121,MATCH($A11,'Six-Factor Calc'!$A$5:$A$121,0)),"")</x:f>
        <x:v>46022</x:v>
      </x:c>
      <x:c r="AE11" s="47" t="str">
        <x:f>IFERROR(INDEX('Six-Factor Calc'!$AE$5:$AE$121,MATCH($A11,'Six-Factor Calc'!$A$5:$A$121,0)),"")</x:f>
        <x:v>OK</x:v>
      </x:c>
    </x:row>
    <x:row r="12">
      <x:c r="A12" s="12" t="n">
        <x:v>8</x:v>
      </x:c>
      <x:c r="B12" s="47" t="str">
        <x:f>IFERROR(INDEX('Six-Factor Calc'!$B$5:$B$121,MATCH($A12,'Six-Factor Calc'!$A$5:$A$121,0)),"")</x:f>
        <x:v>GILD</x:v>
      </x:c>
      <x:c r="C12" s="47" t="str">
        <x:f>IFERROR(INDEX('Six-Factor Calc'!$C$5:$C$121,MATCH($A12,'Six-Factor Calc'!$A$5:$A$121,0)),"")</x:f>
        <x:v>Gilead Sciences Inc.</x:v>
      </x:c>
      <x:c r="D12" s="49" t="str">
        <x:f>IFERROR(INDEX('Six-Factor Calc'!$D$5:$D$121,MATCH($A12,'Six-Factor Calc'!$A$5:$A$121,0)),"")</x:f>
        <x:v>Long</x:v>
      </x:c>
      <x:c r="E12" s="49" t="n">
        <x:f>IFERROR(INDEX('Six-Factor Calc'!$E$5:$E$121,MATCH($A12,'Six-Factor Calc'!$A$5:$A$121,0)),"")</x:f>
        <x:v>0.004019</x:v>
      </x:c>
      <x:c r="F12" s="50" t="n">
        <x:f>IFERROR(INDEX('Six-Factor Calc'!$F$5:$F$121,MATCH($A12,'Six-Factor Calc'!$A$5:$A$121,0)),"")</x:f>
        <x:v>0.11132439474051622</x:v>
      </x:c>
      <x:c r="G12" s="50" t="n">
        <x:f>IFERROR(INDEX('Six-Factor Calc'!$G$5:$G$121,MATCH($A12,'Six-Factor Calc'!$A$5:$A$121,0)),"")</x:f>
        <x:v>-0.06572510659574582</x:v>
      </x:c>
      <x:c r="H12" s="329" t="n">
        <x:f>IFERROR(INDEX('Six-Factor Calc'!$H$5:$H$121,MATCH($A12,'Six-Factor Calc'!$A$5:$A$121,0)),"")</x:f>
        <x:v>7.167754463677252</x:v>
      </x:c>
      <x:c r="I12" s="47" t="n">
        <x:f>IFERROR(INDEX('Six-Factor Calc'!$I$5:$I$121,MATCH($A12,'Six-Factor Calc'!$A$5:$A$121,0)),"")</x:f>
        <x:v>6</x:v>
      </x:c>
      <x:c r="J12" s="52" t="n">
        <x:f>IFERROR(INDEX('Six-Factor Calc'!$J$5:$J$121,MATCH($A12,'Six-Factor Calc'!$A$5:$A$121,0)),"")</x:f>
        <x:v>8.525862068965516</x:v>
      </x:c>
      <x:c r="K12" s="47" t="n">
        <x:f>IFERROR(INDEX('Six-Factor Calc'!$K$5:$K$121,MATCH($A12,'Six-Factor Calc'!$A$5:$A$121,0)),"")</x:f>
        <x:v>20</x:v>
      </x:c>
      <x:c r="L12" s="52" t="n">
        <x:f>IFERROR(INDEX('Six-Factor Calc'!$L$5:$L$121,MATCH($A12,'Six-Factor Calc'!$A$5:$A$121,0)),"")</x:f>
        <x:v>5.005533596837944</x:v>
      </x:c>
      <x:c r="M12" s="47" t="n">
        <x:f>IFERROR(INDEX('Six-Factor Calc'!$M$5:$M$121,MATCH($A12,'Six-Factor Calc'!$A$5:$A$121,0)),"")</x:f>
        <x:v>73</x:v>
      </x:c>
      <x:c r="N12" s="47" t="str">
        <x:f>IFERROR(INDEX('Six-Factor Calc'!$N$5:$N$121,MATCH($A12,'Six-Factor Calc'!$A$5:$A$121,0)),"")</x:f>
        <x:v>SUE + CAR3</x:v>
      </x:c>
      <x:c r="O12" s="52" t="n">
        <x:f>IFERROR(INDEX('Six-Factor Calc'!$O$5:$O$121,MATCH($A12,'Six-Factor Calc'!$A$5:$A$121,0)),"")</x:f>
        <x:v>9.450999999999999</x:v>
      </x:c>
      <x:c r="P12" s="47" t="n">
        <x:f>IFERROR(INDEX('Six-Factor Calc'!$P$5:$P$121,MATCH($A12,'Six-Factor Calc'!$A$5:$A$121,0)),"")</x:f>
        <x:v>8</x:v>
      </x:c>
      <x:c r="Q12" s="50" t="n">
        <x:f>IFERROR(INDEX('Six-Factor Calc'!$Q$5:$Q$121,MATCH($A12,'Six-Factor Calc'!$A$5:$A$121,0)),"")</x:f>
        <x:v>2.16316</x:v>
      </x:c>
      <x:c r="R12" s="50" t="n">
        <x:f>IFERROR(INDEX('Six-Factor Calc'!$R$5:$R$121,MATCH($A12,'Six-Factor Calc'!$A$5:$A$121,0)),"")</x:f>
        <x:v>2.05989</x:v>
      </x:c>
      <x:c r="S12" s="317" t="n">
        <x:f>IFERROR(INDEX('Six-Factor Calc'!$S$5:$S$121,MATCH($A12,'Six-Factor Calc'!$A$5:$A$121,0)),"")</x:f>
        <x:v>0.05013374500580115</x:v>
      </x:c>
      <x:c r="T12" s="47" t="str">
        <x:f>IFERROR(INDEX('Six-Factor Calc'!$T$5:$T$121,MATCH($A12,'Six-Factor Calc'!$A$5:$A$121,0)),"")</x:f>
        <x:v>OK</x:v>
      </x:c>
      <x:c r="U12" s="52" t="n">
        <x:f>IFERROR(INDEX('Six-Factor Calc'!$U$5:$U$121,MATCH($A12,'Six-Factor Calc'!$A$5:$A$121,0)),"")</x:f>
        <x:v>4.8531671664167915</x:v>
      </x:c>
      <x:c r="V12" s="47" t="n">
        <x:f>IFERROR(INDEX('Six-Factor Calc'!$V$5:$V$121,MATCH($A12,'Six-Factor Calc'!$A$5:$A$121,0)),"")</x:f>
        <x:v>75</x:v>
      </x:c>
      <x:c r="W12" s="52" t="n">
        <x:f>IFERROR(INDEX('Six-Factor Calc'!$W$5:$W$121,MATCH($A12,'Six-Factor Calc'!$A$5:$A$121,0)),"")</x:f>
        <x:v>8.21551724137931</x:v>
      </x:c>
      <x:c r="X12" s="47" t="n">
        <x:f>IFERROR(INDEX('Six-Factor Calc'!$X$5:$X$121,MATCH($A12,'Six-Factor Calc'!$A$5:$A$121,0)),"")</x:f>
        <x:v>13</x:v>
      </x:c>
      <x:c r="Y12" s="52" t="n">
        <x:f>IFERROR(INDEX('Six-Factor Calc'!$Y$5:$Y$121,MATCH($A12,'Six-Factor Calc'!$A$5:$A$121,0)),"")</x:f>
        <x:v>6.818965517241379</x:v>
      </x:c>
      <x:c r="Z12" s="47" t="n">
        <x:f>IFERROR(INDEX('Six-Factor Calc'!$Z$5:$Z$121,MATCH($A12,'Six-Factor Calc'!$A$5:$A$121,0)),"")</x:f>
        <x:v>42</x:v>
      </x:c>
      <x:c r="AA12" s="47" t="str">
        <x:f>IFERROR(INDEX('Six-Factor Calc'!$AA$5:$AA$121,MATCH($A12,'Six-Factor Calc'!$A$5:$A$121,0)),"")</x:f>
        <x:v>Health Care</x:v>
      </x:c>
      <x:c r="AB12" s="54" t="n">
        <x:f>IFERROR(INDEX('Six-Factor Calc'!$AB$5:$AB$121,MATCH($A12,'Six-Factor Calc'!$A$5:$A$121,0)),"")</x:f>
        <x:v>46213</x:v>
      </x:c>
      <x:c r="AC12" s="54" t="n">
        <x:f>IFERROR(INDEX('Six-Factor Calc'!$AC$5:$AC$121,MATCH($A12,'Six-Factor Calc'!$A$5:$A$121,0)),"")</x:f>
        <x:v>46112</x:v>
      </x:c>
      <x:c r="AD12" s="54" t="n">
        <x:f>IFERROR(INDEX('Six-Factor Calc'!$AD$5:$AD$121,MATCH($A12,'Six-Factor Calc'!$A$5:$A$121,0)),"")</x:f>
        <x:v>46022</x:v>
      </x:c>
      <x:c r="AE12" s="47" t="str">
        <x:f>IFERROR(INDEX('Six-Factor Calc'!$AE$5:$AE$121,MATCH($A12,'Six-Factor Calc'!$A$5:$A$121,0)),"")</x:f>
        <x:v>OK</x:v>
      </x:c>
    </x:row>
    <x:row r="13">
      <x:c r="A13" s="12" t="n">
        <x:v>9</x:v>
      </x:c>
      <x:c r="B13" s="47" t="str">
        <x:f>IFERROR(INDEX('Six-Factor Calc'!$B$5:$B$121,MATCH($A13,'Six-Factor Calc'!$A$5:$A$121,0)),"")</x:f>
        <x:v>GD</x:v>
      </x:c>
      <x:c r="C13" s="47" t="str">
        <x:f>IFERROR(INDEX('Six-Factor Calc'!$C$5:$C$121,MATCH($A13,'Six-Factor Calc'!$A$5:$A$121,0)),"")</x:f>
        <x:v>General Dynamics Corp.</x:v>
      </x:c>
      <x:c r="D13" s="49" t="str">
        <x:f>IFERROR(INDEX('Six-Factor Calc'!$D$5:$D$121,MATCH($A13,'Six-Factor Calc'!$A$5:$A$121,0)),"")</x:f>
        <x:v>Long</x:v>
      </x:c>
      <x:c r="E13" s="49" t="n">
        <x:f>IFERROR(INDEX('Six-Factor Calc'!$E$5:$E$121,MATCH($A13,'Six-Factor Calc'!$A$5:$A$121,0)),"")</x:f>
        <x:v>0.004515</x:v>
      </x:c>
      <x:c r="F13" s="50" t="n">
        <x:f>IFERROR(INDEX('Six-Factor Calc'!$F$5:$F$121,MATCH($A13,'Six-Factor Calc'!$A$5:$A$121,0)),"")</x:f>
        <x:v>0.10481431251629507</x:v>
      </x:c>
      <x:c r="G13" s="50" t="n">
        <x:f>IFERROR(INDEX('Six-Factor Calc'!$G$5:$G$121,MATCH($A13,'Six-Factor Calc'!$A$5:$A$121,0)),"")</x:f>
        <x:v>0.034009374445236884</x:v>
      </x:c>
      <x:c r="H13" s="329" t="n">
        <x:f>IFERROR(INDEX('Six-Factor Calc'!$H$5:$H$121,MATCH($A13,'Six-Factor Calc'!$A$5:$A$121,0)),"")</x:f>
        <x:v>7.153814024805778</x:v>
      </x:c>
      <x:c r="I13" s="47" t="n">
        <x:f>IFERROR(INDEX('Six-Factor Calc'!$I$5:$I$121,MATCH($A13,'Six-Factor Calc'!$A$5:$A$121,0)),"")</x:f>
        <x:v>6</x:v>
      </x:c>
      <x:c r="J13" s="52" t="n">
        <x:f>IFERROR(INDEX('Six-Factor Calc'!$J$5:$J$121,MATCH($A13,'Six-Factor Calc'!$A$5:$A$121,0)),"")</x:f>
        <x:v>5.810344827586206</x:v>
      </x:c>
      <x:c r="K13" s="47" t="n">
        <x:f>IFERROR(INDEX('Six-Factor Calc'!$K$5:$K$121,MATCH($A13,'Six-Factor Calc'!$A$5:$A$121,0)),"")</x:f>
        <x:v>55</x:v>
      </x:c>
      <x:c r="L13" s="52" t="n">
        <x:f>IFERROR(INDEX('Six-Factor Calc'!$L$5:$L$121,MATCH($A13,'Six-Factor Calc'!$A$5:$A$121,0)),"")</x:f>
        <x:v>9.598023715415021</x:v>
      </x:c>
      <x:c r="M13" s="47" t="n">
        <x:f>IFERROR(INDEX('Six-Factor Calc'!$M$5:$M$121,MATCH($A13,'Six-Factor Calc'!$A$5:$A$121,0)),"")</x:f>
        <x:v>2</x:v>
      </x:c>
      <x:c r="N13" s="47" t="str">
        <x:f>IFERROR(INDEX('Six-Factor Calc'!$N$5:$N$121,MATCH($A13,'Six-Factor Calc'!$A$5:$A$121,0)),"")</x:f>
        <x:v>SUE + CAR3</x:v>
      </x:c>
      <x:c r="O13" s="52" t="n">
        <x:f>IFERROR(INDEX('Six-Factor Calc'!$O$5:$O$121,MATCH($A13,'Six-Factor Calc'!$A$5:$A$121,0)),"")</x:f>
        <x:v>7.9030000000000005</x:v>
      </x:c>
      <x:c r="P13" s="47" t="n">
        <x:f>IFERROR(INDEX('Six-Factor Calc'!$P$5:$P$121,MATCH($A13,'Six-Factor Calc'!$A$5:$A$121,0)),"")</x:f>
        <x:v>28</x:v>
      </x:c>
      <x:c r="Q13" s="50" t="n">
        <x:f>IFERROR(INDEX('Six-Factor Calc'!$Q$5:$Q$121,MATCH($A13,'Six-Factor Calc'!$A$5:$A$121,0)),"")</x:f>
        <x:v>4.13535</x:v>
      </x:c>
      <x:c r="R13" s="50" t="n">
        <x:f>IFERROR(INDEX('Six-Factor Calc'!$R$5:$R$121,MATCH($A13,'Six-Factor Calc'!$A$5:$A$121,0)),"")</x:f>
        <x:v>4.07078</x:v>
      </x:c>
      <x:c r="S13" s="317" t="n">
        <x:f>IFERROR(INDEX('Six-Factor Calc'!$S$5:$S$121,MATCH($A13,'Six-Factor Calc'!$A$5:$A$121,0)),"")</x:f>
        <x:v>0.015861825006509758</x:v>
      </x:c>
      <x:c r="T13" s="47" t="str">
        <x:f>IFERROR(INDEX('Six-Factor Calc'!$T$5:$T$121,MATCH($A13,'Six-Factor Calc'!$A$5:$A$121,0)),"")</x:f>
        <x:v>OK</x:v>
      </x:c>
      <x:c r="U13" s="52" t="n">
        <x:f>IFERROR(INDEX('Six-Factor Calc'!$U$5:$U$121,MATCH($A13,'Six-Factor Calc'!$A$5:$A$121,0)),"")</x:f>
        <x:v>5.892721139430285</x:v>
      </x:c>
      <x:c r="V13" s="47" t="n">
        <x:f>IFERROR(INDEX('Six-Factor Calc'!$V$5:$V$121,MATCH($A13,'Six-Factor Calc'!$A$5:$A$121,0)),"")</x:f>
        <x:v>47</x:v>
      </x:c>
      <x:c r="W13" s="52" t="n">
        <x:f>IFERROR(INDEX('Six-Factor Calc'!$W$5:$W$121,MATCH($A13,'Six-Factor Calc'!$A$5:$A$121,0)),"")</x:f>
        <x:v>7.011379310344829</x:v>
      </x:c>
      <x:c r="X13" s="47" t="n">
        <x:f>IFERROR(INDEX('Six-Factor Calc'!$X$5:$X$121,MATCH($A13,'Six-Factor Calc'!$A$5:$A$121,0)),"")</x:f>
        <x:v>22</x:v>
      </x:c>
      <x:c r="Y13" s="52" t="n">
        <x:f>IFERROR(INDEX('Six-Factor Calc'!$Y$5:$Y$121,MATCH($A13,'Six-Factor Calc'!$A$5:$A$121,0)),"")</x:f>
        <x:v>4.956896551724138</x:v>
      </x:c>
      <x:c r="Z13" s="47" t="n">
        <x:f>IFERROR(INDEX('Six-Factor Calc'!$Z$5:$Z$121,MATCH($A13,'Six-Factor Calc'!$A$5:$A$121,0)),"")</x:f>
        <x:v>66</x:v>
      </x:c>
      <x:c r="AA13" s="47" t="str">
        <x:f>IFERROR(INDEX('Six-Factor Calc'!$AA$5:$AA$121,MATCH($A13,'Six-Factor Calc'!$A$5:$A$121,0)),"")</x:f>
        <x:v>Industrials</x:v>
      </x:c>
      <x:c r="AB13" s="54" t="n">
        <x:f>IFERROR(INDEX('Six-Factor Calc'!$AB$5:$AB$121,MATCH($A13,'Six-Factor Calc'!$A$5:$A$121,0)),"")</x:f>
        <x:v>46213</x:v>
      </x:c>
      <x:c r="AC13" s="54" t="n">
        <x:f>IFERROR(INDEX('Six-Factor Calc'!$AC$5:$AC$121,MATCH($A13,'Six-Factor Calc'!$A$5:$A$121,0)),"")</x:f>
        <x:v>43830</x:v>
      </x:c>
      <x:c r="AD13" s="54" t="n">
        <x:f>IFERROR(INDEX('Six-Factor Calc'!$AD$5:$AD$121,MATCH($A13,'Six-Factor Calc'!$A$5:$A$121,0)),"")</x:f>
        <x:v>46022</x:v>
      </x:c>
      <x:c r="AE13" s="47" t="str">
        <x:f>IFERROR(INDEX('Six-Factor Calc'!$AE$5:$AE$121,MATCH($A13,'Six-Factor Calc'!$A$5:$A$121,0)),"")</x:f>
        <x:v>OK</x:v>
      </x:c>
    </x:row>
    <x:row r="14">
      <x:c r="A14" s="12" t="n">
        <x:v>10</x:v>
      </x:c>
      <x:c r="B14" s="47" t="str">
        <x:f>IFERROR(INDEX('Six-Factor Calc'!$B$5:$B$121,MATCH($A14,'Six-Factor Calc'!$A$5:$A$121,0)),"")</x:f>
        <x:v>RTX</x:v>
      </x:c>
      <x:c r="C14" s="47" t="str">
        <x:f>IFERROR(INDEX('Six-Factor Calc'!$C$5:$C$121,MATCH($A14,'Six-Factor Calc'!$A$5:$A$121,0)),"")</x:f>
        <x:v>RTX Corp.</x:v>
      </x:c>
      <x:c r="D14" s="49" t="str">
        <x:f>IFERROR(INDEX('Six-Factor Calc'!$D$5:$D$121,MATCH($A14,'Six-Factor Calc'!$A$5:$A$121,0)),"")</x:f>
        <x:v>Long</x:v>
      </x:c>
      <x:c r="E14" s="49" t="n">
        <x:f>IFERROR(INDEX('Six-Factor Calc'!$E$5:$E$121,MATCH($A14,'Six-Factor Calc'!$A$5:$A$121,0)),"")</x:f>
        <x:v>0.00438</x:v>
      </x:c>
      <x:c r="F14" s="50" t="n">
        <x:f>IFERROR(INDEX('Six-Factor Calc'!$F$5:$F$121,MATCH($A14,'Six-Factor Calc'!$A$5:$A$121,0)),"")</x:f>
        <x:v>0.29713149831694907</x:v>
      </x:c>
      <x:c r="G14" s="50" t="n">
        <x:f>IFERROR(INDEX('Six-Factor Calc'!$G$5:$G$121,MATCH($A14,'Six-Factor Calc'!$A$5:$A$121,0)),"")</x:f>
        <x:v>0.06182903360399839</x:v>
      </x:c>
      <x:c r="H14" s="329" t="n">
        <x:f>IFERROR(INDEX('Six-Factor Calc'!$H$5:$H$121,MATCH($A14,'Six-Factor Calc'!$A$5:$A$121,0)),"")</x:f>
        <x:v>7.110699809186316</x:v>
      </x:c>
      <x:c r="I14" s="47" t="n">
        <x:f>IFERROR(INDEX('Six-Factor Calc'!$I$5:$I$121,MATCH($A14,'Six-Factor Calc'!$A$5:$A$121,0)),"")</x:f>
        <x:v>6</x:v>
      </x:c>
      <x:c r="J14" s="52" t="n">
        <x:f>IFERROR(INDEX('Six-Factor Calc'!$J$5:$J$121,MATCH($A14,'Six-Factor Calc'!$A$5:$A$121,0)),"")</x:f>
        <x:v>9.844827586206897</x:v>
      </x:c>
      <x:c r="K14" s="47" t="n">
        <x:f>IFERROR(INDEX('Six-Factor Calc'!$K$5:$K$121,MATCH($A14,'Six-Factor Calc'!$A$5:$A$121,0)),"")</x:f>
        <x:v>3</x:v>
      </x:c>
      <x:c r="L14" s="52" t="n">
        <x:f>IFERROR(INDEX('Six-Factor Calc'!$L$5:$L$121,MATCH($A14,'Six-Factor Calc'!$A$5:$A$121,0)),"")</x:f>
        <x:v>4.077075098814229</x:v>
      </x:c>
      <x:c r="M14" s="47" t="n">
        <x:f>IFERROR(INDEX('Six-Factor Calc'!$M$5:$M$121,MATCH($A14,'Six-Factor Calc'!$A$5:$A$121,0)),"")</x:f>
        <x:v>88</x:v>
      </x:c>
      <x:c r="N14" s="47" t="str">
        <x:f>IFERROR(INDEX('Six-Factor Calc'!$N$5:$N$121,MATCH($A14,'Six-Factor Calc'!$A$5:$A$121,0)),"")</x:f>
        <x:v>SUE + CAR3</x:v>
      </x:c>
      <x:c r="O14" s="52" t="n">
        <x:f>IFERROR(INDEX('Six-Factor Calc'!$O$5:$O$121,MATCH($A14,'Six-Factor Calc'!$A$5:$A$121,0)),"")</x:f>
        <x:v>8.056000000000001</x:v>
      </x:c>
      <x:c r="P14" s="47" t="n">
        <x:f>IFERROR(INDEX('Six-Factor Calc'!$P$5:$P$121,MATCH($A14,'Six-Factor Calc'!$A$5:$A$121,0)),"")</x:f>
        <x:v>26</x:v>
      </x:c>
      <x:c r="Q14" s="50" t="n">
        <x:f>IFERROR(INDEX('Six-Factor Calc'!$Q$5:$Q$121,MATCH($A14,'Six-Factor Calc'!$A$5:$A$121,0)),"")</x:f>
        <x:v>1.76732</x:v>
      </x:c>
      <x:c r="R14" s="50" t="n">
        <x:f>IFERROR(INDEX('Six-Factor Calc'!$R$5:$R$121,MATCH($A14,'Six-Factor Calc'!$A$5:$A$121,0)),"")</x:f>
        <x:v>1.73017</x:v>
      </x:c>
      <x:c r="S14" s="317" t="n">
        <x:f>IFERROR(INDEX('Six-Factor Calc'!$S$5:$S$121,MATCH($A14,'Six-Factor Calc'!$A$5:$A$121,0)),"")</x:f>
        <x:v>0.021471878485929137</x:v>
      </x:c>
      <x:c r="T14" s="47" t="str">
        <x:f>IFERROR(INDEX('Six-Factor Calc'!$T$5:$T$121,MATCH($A14,'Six-Factor Calc'!$A$5:$A$121,0)),"")</x:f>
        <x:v>OK</x:v>
      </x:c>
      <x:c r="U14" s="52" t="n">
        <x:f>IFERROR(INDEX('Six-Factor Calc'!$U$5:$U$121,MATCH($A14,'Six-Factor Calc'!$A$5:$A$121,0)),"")</x:f>
        <x:v>3.998706896551724</x:v>
      </x:c>
      <x:c r="V14" s="47" t="n">
        <x:f>IFERROR(INDEX('Six-Factor Calc'!$V$5:$V$121,MATCH($A14,'Six-Factor Calc'!$A$5:$A$121,0)),"")</x:f>
        <x:v>91</x:v>
      </x:c>
      <x:c r="W14" s="52" t="n">
        <x:f>IFERROR(INDEX('Six-Factor Calc'!$W$5:$W$121,MATCH($A14,'Six-Factor Calc'!$A$5:$A$121,0)),"")</x:f>
        <x:v>6.7444827586206895</x:v>
      </x:c>
      <x:c r="X14" s="47" t="n">
        <x:f>IFERROR(INDEX('Six-Factor Calc'!$X$5:$X$121,MATCH($A14,'Six-Factor Calc'!$A$5:$A$121,0)),"")</x:f>
        <x:v>28</x:v>
      </x:c>
      <x:c r="Y14" s="52" t="n">
        <x:f>IFERROR(INDEX('Six-Factor Calc'!$Y$5:$Y$121,MATCH($A14,'Six-Factor Calc'!$A$5:$A$121,0)),"")</x:f>
        <x:v>9.844827586206897</x:v>
      </x:c>
      <x:c r="Z14" s="47" t="n">
        <x:f>IFERROR(INDEX('Six-Factor Calc'!$Z$5:$Z$121,MATCH($A14,'Six-Factor Calc'!$A$5:$A$121,0)),"")</x:f>
        <x:v>3</x:v>
      </x:c>
      <x:c r="AA14" s="47" t="str">
        <x:f>IFERROR(INDEX('Six-Factor Calc'!$AA$5:$AA$121,MATCH($A14,'Six-Factor Calc'!$A$5:$A$121,0)),"")</x:f>
        <x:v>Industrials</x:v>
      </x:c>
      <x:c r="AB14" s="54" t="n">
        <x:f>IFERROR(INDEX('Six-Factor Calc'!$AB$5:$AB$121,MATCH($A14,'Six-Factor Calc'!$A$5:$A$121,0)),"")</x:f>
        <x:v>46213</x:v>
      </x:c>
      <x:c r="AC14" s="54" t="n">
        <x:f>IFERROR(INDEX('Six-Factor Calc'!$AC$5:$AC$121,MATCH($A14,'Six-Factor Calc'!$A$5:$A$121,0)),"")</x:f>
        <x:v>46112</x:v>
      </x:c>
      <x:c r="AD14" s="54" t="n">
        <x:f>IFERROR(INDEX('Six-Factor Calc'!$AD$5:$AD$121,MATCH($A14,'Six-Factor Calc'!$A$5:$A$121,0)),"")</x:f>
        <x:v>46022</x:v>
      </x:c>
      <x:c r="AE14" s="47" t="str">
        <x:f>IFERROR(INDEX('Six-Factor Calc'!$AE$5:$AE$121,MATCH($A14,'Six-Factor Calc'!$A$5:$A$121,0)),"")</x:f>
        <x:v>OK</x:v>
      </x:c>
    </x:row>
    <x:row r="15">
      <x:c r="A15" s="12" t="n">
        <x:v>11</x:v>
      </x:c>
      <x:c r="B15" s="47" t="str">
        <x:f>IFERROR(INDEX('Six-Factor Calc'!$B$5:$B$121,MATCH($A15,'Six-Factor Calc'!$A$5:$A$121,0)),"")</x:f>
        <x:v>RRC</x:v>
      </x:c>
      <x:c r="C15" s="47" t="str">
        <x:f>IFERROR(INDEX('Six-Factor Calc'!$C$5:$C$121,MATCH($A15,'Six-Factor Calc'!$A$5:$A$121,0)),"")</x:f>
        <x:v>Range Resources Corp.</x:v>
      </x:c>
      <x:c r="D15" s="49" t="str">
        <x:f>IFERROR(INDEX('Six-Factor Calc'!$D$5:$D$121,MATCH($A15,'Six-Factor Calc'!$A$5:$A$121,0)),"")</x:f>
        <x:v>Long</x:v>
      </x:c>
      <x:c r="E15" s="49" t="n">
        <x:f>IFERROR(INDEX('Six-Factor Calc'!$E$5:$E$121,MATCH($A15,'Six-Factor Calc'!$A$5:$A$121,0)),"")</x:f>
        <x:v>0.003479</x:v>
      </x:c>
      <x:c r="F15" s="50" t="n">
        <x:f>IFERROR(INDEX('Six-Factor Calc'!$F$5:$F$121,MATCH($A15,'Six-Factor Calc'!$A$5:$A$121,0)),"")</x:f>
        <x:v>-0.21338788091285485</x:v>
      </x:c>
      <x:c r="G15" s="50" t="n">
        <x:f>IFERROR(INDEX('Six-Factor Calc'!$G$5:$G$121,MATCH($A15,'Six-Factor Calc'!$A$5:$A$121,0)),"")</x:f>
        <x:v>-0.20767088610862813</x:v>
      </x:c>
      <x:c r="H15" s="329" t="n">
        <x:f>IFERROR(INDEX('Six-Factor Calc'!$H$5:$H$121,MATCH($A15,'Six-Factor Calc'!$A$5:$A$121,0)),"")</x:f>
        <x:v>7.091795147880605</x:v>
      </x:c>
      <x:c r="I15" s="47" t="n">
        <x:f>IFERROR(INDEX('Six-Factor Calc'!$I$5:$I$121,MATCH($A15,'Six-Factor Calc'!$A$5:$A$121,0)),"")</x:f>
        <x:v>6</x:v>
      </x:c>
      <x:c r="J15" s="52" t="n">
        <x:f>IFERROR(INDEX('Six-Factor Calc'!$J$5:$J$121,MATCH($A15,'Six-Factor Calc'!$A$5:$A$121,0)),"")</x:f>
        <x:v>7.051724137931035</x:v>
      </x:c>
      <x:c r="K15" s="47" t="n">
        <x:f>IFERROR(INDEX('Six-Factor Calc'!$K$5:$K$121,MATCH($A15,'Six-Factor Calc'!$A$5:$A$121,0)),"")</x:f>
        <x:v>39</x:v>
      </x:c>
      <x:c r="L15" s="52" t="n">
        <x:f>IFERROR(INDEX('Six-Factor Calc'!$L$5:$L$121,MATCH($A15,'Six-Factor Calc'!$A$5:$A$121,0)),"")</x:f>
        <x:v>8.363636363636363</x:v>
      </x:c>
      <x:c r="M15" s="47" t="n">
        <x:f>IFERROR(INDEX('Six-Factor Calc'!$M$5:$M$121,MATCH($A15,'Six-Factor Calc'!$A$5:$A$121,0)),"")</x:f>
        <x:v>11</x:v>
      </x:c>
      <x:c r="N15" s="47" t="str">
        <x:f>IFERROR(INDEX('Six-Factor Calc'!$N$5:$N$121,MATCH($A15,'Six-Factor Calc'!$A$5:$A$121,0)),"")</x:f>
        <x:v>SUE only</x:v>
      </x:c>
      <x:c r="O15" s="52" t="n">
        <x:f>IFERROR(INDEX('Six-Factor Calc'!$O$5:$O$121,MATCH($A15,'Six-Factor Calc'!$A$5:$A$121,0)),"")</x:f>
        <x:v>2.233</x:v>
      </x:c>
      <x:c r="P15" s="47" t="n">
        <x:f>IFERROR(INDEX('Six-Factor Calc'!$P$5:$P$121,MATCH($A15,'Six-Factor Calc'!$A$5:$A$121,0)),"")</x:f>
        <x:v>99</x:v>
      </x:c>
      <x:c r="Q15" s="50" t="n">
        <x:f>IFERROR(INDEX('Six-Factor Calc'!$Q$5:$Q$121,MATCH($A15,'Six-Factor Calc'!$A$5:$A$121,0)),"")</x:f>
        <x:v>0.79558</x:v>
      </x:c>
      <x:c r="R15" s="50" t="n">
        <x:f>IFERROR(INDEX('Six-Factor Calc'!$R$5:$R$121,MATCH($A15,'Six-Factor Calc'!$A$5:$A$121,0)),"")</x:f>
        <x:v>0.85599</x:v>
      </x:c>
      <x:c r="S15" s="317" t="n">
        <x:f>IFERROR(INDEX('Six-Factor Calc'!$S$5:$S$121,MATCH($A15,'Six-Factor Calc'!$A$5:$A$121,0)),"")</x:f>
        <x:v>-0.07057325436044821</x:v>
      </x:c>
      <x:c r="T15" s="47" t="str">
        <x:f>IFERROR(INDEX('Six-Factor Calc'!$T$5:$T$121,MATCH($A15,'Six-Factor Calc'!$A$5:$A$121,0)),"")</x:f>
        <x:v>OK</x:v>
      </x:c>
      <x:c r="U15" s="52" t="n">
        <x:f>IFERROR(INDEX('Six-Factor Calc'!$U$5:$U$121,MATCH($A15,'Six-Factor Calc'!$A$5:$A$121,0)),"")</x:f>
        <x:v>7.925715892053972</x:v>
      </x:c>
      <x:c r="V15" s="47" t="n">
        <x:f>IFERROR(INDEX('Six-Factor Calc'!$V$5:$V$121,MATCH($A15,'Six-Factor Calc'!$A$5:$A$121,0)),"")</x:f>
        <x:v>23</x:v>
      </x:c>
      <x:c r="W15" s="52" t="n">
        <x:f>IFERROR(INDEX('Six-Factor Calc'!$W$5:$W$121,MATCH($A15,'Six-Factor Calc'!$A$5:$A$121,0)),"")</x:f>
        <x:v>9.262931034482758</x:v>
      </x:c>
      <x:c r="X15" s="47" t="n">
        <x:f>IFERROR(INDEX('Six-Factor Calc'!$X$5:$X$121,MATCH($A15,'Six-Factor Calc'!$A$5:$A$121,0)),"")</x:f>
        <x:v>2</x:v>
      </x:c>
      <x:c r="Y15" s="52" t="n">
        <x:f>IFERROR(INDEX('Six-Factor Calc'!$Y$5:$Y$121,MATCH($A15,'Six-Factor Calc'!$A$5:$A$121,0)),"")</x:f>
        <x:v>8.60344827586207</x:v>
      </x:c>
      <x:c r="Z15" s="47" t="n">
        <x:f>IFERROR(INDEX('Six-Factor Calc'!$Z$5:$Z$121,MATCH($A15,'Six-Factor Calc'!$A$5:$A$121,0)),"")</x:f>
        <x:v>19</x:v>
      </x:c>
      <x:c r="AA15" s="47" t="str">
        <x:f>IFERROR(INDEX('Six-Factor Calc'!$AA$5:$AA$121,MATCH($A15,'Six-Factor Calc'!$A$5:$A$121,0)),"")</x:f>
        <x:v>Energy</x:v>
      </x:c>
      <x:c r="AB15" s="54" t="n">
        <x:f>IFERROR(INDEX('Six-Factor Calc'!$AB$5:$AB$121,MATCH($A15,'Six-Factor Calc'!$A$5:$A$121,0)),"")</x:f>
        <x:v>46213</x:v>
      </x:c>
      <x:c r="AC15" s="54" t="n">
        <x:f>IFERROR(INDEX('Six-Factor Calc'!$AC$5:$AC$121,MATCH($A15,'Six-Factor Calc'!$A$5:$A$121,0)),"")</x:f>
        <x:v>46112</x:v>
      </x:c>
      <x:c r="AD15" s="54" t="n">
        <x:f>IFERROR(INDEX('Six-Factor Calc'!$AD$5:$AD$121,MATCH($A15,'Six-Factor Calc'!$A$5:$A$121,0)),"")</x:f>
        <x:v>46022</x:v>
      </x:c>
      <x:c r="AE15" s="47" t="str">
        <x:f>IFERROR(INDEX('Six-Factor Calc'!$AE$5:$AE$121,MATCH($A15,'Six-Factor Calc'!$A$5:$A$121,0)),"")</x:f>
        <x:v>OK</x:v>
      </x:c>
    </x:row>
    <x:row r="16">
      <x:c r="A16" s="12" t="n">
        <x:v>12</x:v>
      </x:c>
      <x:c r="B16" s="47" t="str">
        <x:f>IFERROR(INDEX('Six-Factor Calc'!$B$5:$B$121,MATCH($A16,'Six-Factor Calc'!$A$5:$A$121,0)),"")</x:f>
        <x:v>WRB</x:v>
      </x:c>
      <x:c r="C16" s="47" t="str">
        <x:f>IFERROR(INDEX('Six-Factor Calc'!$C$5:$C$121,MATCH($A16,'Six-Factor Calc'!$A$5:$A$121,0)),"")</x:f>
        <x:v>W. R. Berkley Corp.</x:v>
      </x:c>
      <x:c r="D16" s="49" t="str">
        <x:f>IFERROR(INDEX('Six-Factor Calc'!$D$5:$D$121,MATCH($A16,'Six-Factor Calc'!$A$5:$A$121,0)),"")</x:f>
        <x:v>Long</x:v>
      </x:c>
      <x:c r="E16" s="49" t="n">
        <x:f>IFERROR(INDEX('Six-Factor Calc'!$E$5:$E$121,MATCH($A16,'Six-Factor Calc'!$A$5:$A$121,0)),"")</x:f>
        <x:v>0.004221</x:v>
      </x:c>
      <x:c r="F16" s="50" t="n">
        <x:f>IFERROR(INDEX('Six-Factor Calc'!$F$5:$F$121,MATCH($A16,'Six-Factor Calc'!$A$5:$A$121,0)),"")</x:f>
        <x:v>0.17279496689863422</x:v>
      </x:c>
      <x:c r="G16" s="50" t="n">
        <x:f>IFERROR(INDEX('Six-Factor Calc'!$G$5:$G$121,MATCH($A16,'Six-Factor Calc'!$A$5:$A$121,0)),"")</x:f>
        <x:v>0.052246163128573685</x:v>
      </x:c>
      <x:c r="H16" s="329" t="n">
        <x:f>IFERROR(INDEX('Six-Factor Calc'!$H$5:$H$121,MATCH($A16,'Six-Factor Calc'!$A$5:$A$121,0)),"")</x:f>
        <x:v>7.057429535232384</x:v>
      </x:c>
      <x:c r="I16" s="47" t="n">
        <x:f>IFERROR(INDEX('Six-Factor Calc'!$I$5:$I$121,MATCH($A16,'Six-Factor Calc'!$A$5:$A$121,0)),"")</x:f>
        <x:v>6</x:v>
      </x:c>
      <x:c r="J16" s="52" t="n">
        <x:f>IFERROR(INDEX('Six-Factor Calc'!$J$5:$J$121,MATCH($A16,'Six-Factor Calc'!$A$5:$A$121,0)),"")</x:f>
        <x:v>8.370689655172413</x:v>
      </x:c>
      <x:c r="K16" s="47" t="n">
        <x:f>IFERROR(INDEX('Six-Factor Calc'!$K$5:$K$121,MATCH($A16,'Six-Factor Calc'!$A$5:$A$121,0)),"")</x:f>
        <x:v>22</x:v>
      </x:c>
      <x:c r="L16" s="52" t="n">
        <x:f>IFERROR(INDEX('Six-Factor Calc'!$L$5:$L$121,MATCH($A16,'Six-Factor Calc'!$A$5:$A$121,0)),"")</x:f>
        <x:v>6.791304347826087</x:v>
      </x:c>
      <x:c r="M16" s="47" t="n">
        <x:f>IFERROR(INDEX('Six-Factor Calc'!$M$5:$M$121,MATCH($A16,'Six-Factor Calc'!$A$5:$A$121,0)),"")</x:f>
        <x:v>30</x:v>
      </x:c>
      <x:c r="N16" s="47" t="str">
        <x:f>IFERROR(INDEX('Six-Factor Calc'!$N$5:$N$121,MATCH($A16,'Six-Factor Calc'!$A$5:$A$121,0)),"")</x:f>
        <x:v>SUE + CAR3</x:v>
      </x:c>
      <x:c r="O16" s="52" t="n">
        <x:f>IFERROR(INDEX('Six-Factor Calc'!$O$5:$O$121,MATCH($A16,'Six-Factor Calc'!$A$5:$A$121,0)),"")</x:f>
        <x:v>8.524000000000001</x:v>
      </x:c>
      <x:c r="P16" s="47" t="n">
        <x:f>IFERROR(INDEX('Six-Factor Calc'!$P$5:$P$121,MATCH($A16,'Six-Factor Calc'!$A$5:$A$121,0)),"")</x:f>
        <x:v>20</x:v>
      </x:c>
      <x:c r="Q16" s="50" t="n">
        <x:f>IFERROR(INDEX('Six-Factor Calc'!$Q$5:$Q$121,MATCH($A16,'Six-Factor Calc'!$A$5:$A$121,0)),"")</x:f>
        <x:v>1.11568</x:v>
      </x:c>
      <x:c r="R16" s="50" t="n">
        <x:f>IFERROR(INDEX('Six-Factor Calc'!$R$5:$R$121,MATCH($A16,'Six-Factor Calc'!$A$5:$A$121,0)),"")</x:f>
        <x:v>1.08872</x:v>
      </x:c>
      <x:c r="S16" s="317" t="n">
        <x:f>IFERROR(INDEX('Six-Factor Calc'!$S$5:$S$121,MATCH($A16,'Six-Factor Calc'!$A$5:$A$121,0)),"")</x:f>
        <x:v>0.02476302446910142</x:v>
      </x:c>
      <x:c r="T16" s="47" t="str">
        <x:f>IFERROR(INDEX('Six-Factor Calc'!$T$5:$T$121,MATCH($A16,'Six-Factor Calc'!$A$5:$A$121,0)),"")</x:f>
        <x:v>OK</x:v>
      </x:c>
      <x:c r="U16" s="52" t="n">
        <x:f>IFERROR(INDEX('Six-Factor Calc'!$U$5:$U$121,MATCH($A16,'Six-Factor Calc'!$A$5:$A$121,0)),"")</x:f>
        <x:v>6.780172413793103</x:v>
      </x:c>
      <x:c r="V16" s="47" t="n">
        <x:f>IFERROR(INDEX('Six-Factor Calc'!$V$5:$V$121,MATCH($A16,'Six-Factor Calc'!$A$5:$A$121,0)),"")</x:f>
        <x:v>30</x:v>
      </x:c>
      <x:c r="W16" s="52" t="n">
        <x:f>IFERROR(INDEX('Six-Factor Calc'!$W$5:$W$121,MATCH($A16,'Six-Factor Calc'!$A$5:$A$121,0)),"")</x:f>
        <x:v>4.025862068965517</x:v>
      </x:c>
      <x:c r="X16" s="47" t="n">
        <x:f>IFERROR(INDEX('Six-Factor Calc'!$X$5:$X$121,MATCH($A16,'Six-Factor Calc'!$A$5:$A$121,0)),"")</x:f>
        <x:v>83</x:v>
      </x:c>
      <x:c r="Y16" s="52" t="n">
        <x:f>IFERROR(INDEX('Six-Factor Calc'!$Y$5:$Y$121,MATCH($A16,'Six-Factor Calc'!$A$5:$A$121,0)),"")</x:f>
        <x:v>5.810344827586206</x:v>
      </x:c>
      <x:c r="Z16" s="47" t="n">
        <x:f>IFERROR(INDEX('Six-Factor Calc'!$Z$5:$Z$121,MATCH($A16,'Six-Factor Calc'!$A$5:$A$121,0)),"")</x:f>
        <x:v>55</x:v>
      </x:c>
      <x:c r="AA16" s="47" t="str">
        <x:f>IFERROR(INDEX('Six-Factor Calc'!$AA$5:$AA$121,MATCH($A16,'Six-Factor Calc'!$A$5:$A$121,0)),"")</x:f>
        <x:v>Finance</x:v>
      </x:c>
      <x:c r="AB16" s="54" t="n">
        <x:f>IFERROR(INDEX('Six-Factor Calc'!$AB$5:$AB$121,MATCH($A16,'Six-Factor Calc'!$A$5:$A$121,0)),"")</x:f>
        <x:v>46213</x:v>
      </x:c>
      <x:c r="AC16" s="54" t="n">
        <x:f>IFERROR(INDEX('Six-Factor Calc'!$AC$5:$AC$121,MATCH($A16,'Six-Factor Calc'!$A$5:$A$121,0)),"")</x:f>
        <x:v>46112</x:v>
      </x:c>
      <x:c r="AD16" s="54" t="n">
        <x:f>IFERROR(INDEX('Six-Factor Calc'!$AD$5:$AD$121,MATCH($A16,'Six-Factor Calc'!$A$5:$A$121,0)),"")</x:f>
        <x:v>46022</x:v>
      </x:c>
      <x:c r="AE16" s="47" t="str">
        <x:f>IFERROR(INDEX('Six-Factor Calc'!$AE$5:$AE$121,MATCH($A16,'Six-Factor Calc'!$A$5:$A$121,0)),"")</x:f>
        <x:v>OK</x:v>
      </x:c>
    </x:row>
    <x:row r="17">
      <x:c r="A17" s="12" t="n">
        <x:v>13</x:v>
      </x:c>
      <x:c r="B17" s="47" t="str">
        <x:f>IFERROR(INDEX('Six-Factor Calc'!$B$5:$B$121,MATCH($A17,'Six-Factor Calc'!$A$5:$A$121,0)),"")</x:f>
        <x:v>DOX</x:v>
      </x:c>
      <x:c r="C17" s="47" t="str">
        <x:f>IFERROR(INDEX('Six-Factor Calc'!$C$5:$C$121,MATCH($A17,'Six-Factor Calc'!$A$5:$A$121,0)),"")</x:f>
        <x:v>Amdocs Ltd.</x:v>
      </x:c>
      <x:c r="D17" s="49" t="str">
        <x:f>IFERROR(INDEX('Six-Factor Calc'!$D$5:$D$121,MATCH($A17,'Six-Factor Calc'!$A$5:$A$121,0)),"")</x:f>
        <x:v>Long</x:v>
      </x:c>
      <x:c r="E17" s="49" t="n">
        <x:f>IFERROR(INDEX('Six-Factor Calc'!$E$5:$E$121,MATCH($A17,'Six-Factor Calc'!$A$5:$A$121,0)),"")</x:f>
        <x:v>0.003303</x:v>
      </x:c>
      <x:c r="F17" s="50" t="n">
        <x:f>IFERROR(INDEX('Six-Factor Calc'!$F$5:$F$121,MATCH($A17,'Six-Factor Calc'!$A$5:$A$121,0)),"")</x:f>
        <x:v>0.35228648369974686</x:v>
      </x:c>
      <x:c r="G17" s="50" t="n">
        <x:f>IFERROR(INDEX('Six-Factor Calc'!$G$5:$G$121,MATCH($A17,'Six-Factor Calc'!$A$5:$A$121,0)),"")</x:f>
        <x:v>0.10773295420929727</x:v>
      </x:c>
      <x:c r="H17" s="329" t="n">
        <x:f>IFERROR(INDEX('Six-Factor Calc'!$H$5:$H$121,MATCH($A17,'Six-Factor Calc'!$A$5:$A$121,0)),"")</x:f>
        <x:v>6.9172646176911545</x:v>
      </x:c>
      <x:c r="I17" s="47" t="n">
        <x:f>IFERROR(INDEX('Six-Factor Calc'!$I$5:$I$121,MATCH($A17,'Six-Factor Calc'!$A$5:$A$121,0)),"")</x:f>
        <x:v>6</x:v>
      </x:c>
      <x:c r="J17" s="52" t="n">
        <x:f>IFERROR(INDEX('Six-Factor Calc'!$J$5:$J$121,MATCH($A17,'Six-Factor Calc'!$A$5:$A$121,0)),"")</x:f>
        <x:v>6.198275862068965</x:v>
      </x:c>
      <x:c r="K17" s="47" t="n">
        <x:f>IFERROR(INDEX('Six-Factor Calc'!$K$5:$K$121,MATCH($A17,'Six-Factor Calc'!$A$5:$A$121,0)),"")</x:f>
        <x:v>50</x:v>
      </x:c>
      <x:c r="L17" s="52" t="n">
        <x:f>IFERROR(INDEX('Six-Factor Calc'!$L$5:$L$121,MATCH($A17,'Six-Factor Calc'!$A$5:$A$121,0)),"")</x:f>
        <x:v>5.22608695652174</x:v>
      </x:c>
      <x:c r="M17" s="47" t="n">
        <x:f>IFERROR(INDEX('Six-Factor Calc'!$M$5:$M$121,MATCH($A17,'Six-Factor Calc'!$A$5:$A$121,0)),"")</x:f>
        <x:v>69</x:v>
      </x:c>
      <x:c r="N17" s="47" t="str">
        <x:f>IFERROR(INDEX('Six-Factor Calc'!$N$5:$N$121,MATCH($A17,'Six-Factor Calc'!$A$5:$A$121,0)),"")</x:f>
        <x:v>CAR3 only</x:v>
      </x:c>
      <x:c r="O17" s="52" t="n">
        <x:f>IFERROR(INDEX('Six-Factor Calc'!$O$5:$O$121,MATCH($A17,'Six-Factor Calc'!$A$5:$A$121,0)),"")</x:f>
        <x:v>7.1290000000000004</x:v>
      </x:c>
      <x:c r="P17" s="47" t="n">
        <x:f>IFERROR(INDEX('Six-Factor Calc'!$P$5:$P$121,MATCH($A17,'Six-Factor Calc'!$A$5:$A$121,0)),"")</x:f>
        <x:v>38</x:v>
      </x:c>
      <x:c r="Q17" s="50" t="n">
        <x:f>IFERROR(INDEX('Six-Factor Calc'!$Q$5:$Q$121,MATCH($A17,'Six-Factor Calc'!$A$5:$A$121,0)),"")</x:f>
        <x:v>1.978</x:v>
      </x:c>
      <x:c r="R17" s="50" t="n">
        <x:f>IFERROR(INDEX('Six-Factor Calc'!$R$5:$R$121,MATCH($A17,'Six-Factor Calc'!$A$5:$A$121,0)),"")</x:f>
        <x:v>1.9675</x:v>
      </x:c>
      <x:c r="S17" s="317" t="n">
        <x:f>IFERROR(INDEX('Six-Factor Calc'!$S$5:$S$121,MATCH($A17,'Six-Factor Calc'!$A$5:$A$121,0)),"")</x:f>
        <x:v>0.0053367217280812975</x:v>
      </x:c>
      <x:c r="T17" s="47" t="str">
        <x:f>IFERROR(INDEX('Six-Factor Calc'!$T$5:$T$121,MATCH($A17,'Six-Factor Calc'!$A$5:$A$121,0)),"")</x:f>
        <x:v>OK</x:v>
      </x:c>
      <x:c r="U17" s="52" t="n">
        <x:f>IFERROR(INDEX('Six-Factor Calc'!$U$5:$U$121,MATCH($A17,'Six-Factor Calc'!$A$5:$A$121,0)),"")</x:f>
        <x:v>8.420513493253374</x:v>
      </x:c>
      <x:c r="V17" s="47" t="n">
        <x:f>IFERROR(INDEX('Six-Factor Calc'!$V$5:$V$121,MATCH($A17,'Six-Factor Calc'!$A$5:$A$121,0)),"")</x:f>
        <x:v>13</x:v>
      </x:c>
      <x:c r="W17" s="52" t="n">
        <x:f>IFERROR(INDEX('Six-Factor Calc'!$W$5:$W$121,MATCH($A17,'Six-Factor Calc'!$A$5:$A$121,0)),"")</x:f>
        <x:v>7.82448275862069</x:v>
      </x:c>
      <x:c r="X17" s="47" t="n">
        <x:f>IFERROR(INDEX('Six-Factor Calc'!$X$5:$X$121,MATCH($A17,'Six-Factor Calc'!$A$5:$A$121,0)),"")</x:f>
        <x:v>15</x:v>
      </x:c>
      <x:c r="Y17" s="52" t="n">
        <x:f>IFERROR(INDEX('Six-Factor Calc'!$Y$5:$Y$121,MATCH($A17,'Six-Factor Calc'!$A$5:$A$121,0)),"")</x:f>
        <x:v>9.612068965517242</x:v>
      </x:c>
      <x:c r="Z17" s="47" t="n">
        <x:f>IFERROR(INDEX('Six-Factor Calc'!$Z$5:$Z$121,MATCH($A17,'Six-Factor Calc'!$A$5:$A$121,0)),"")</x:f>
        <x:v>6</x:v>
      </x:c>
      <x:c r="AA17" s="47" t="str">
        <x:f>IFERROR(INDEX('Six-Factor Calc'!$AA$5:$AA$121,MATCH($A17,'Six-Factor Calc'!$A$5:$A$121,0)),"")</x:f>
        <x:v>Technology</x:v>
      </x:c>
      <x:c r="AB17" s="54" t="n">
        <x:f>IFERROR(INDEX('Six-Factor Calc'!$AB$5:$AB$121,MATCH($A17,'Six-Factor Calc'!$A$5:$A$121,0)),"")</x:f>
        <x:v>46213</x:v>
      </x:c>
      <x:c r="AC17" s="54" t="str">
        <x:f>IFERROR(INDEX('Six-Factor Calc'!$AC$5:$AC$121,MATCH($A17,'Six-Factor Calc'!$A$5:$A$121,0)),"")</x:f>
      </x:c>
      <x:c r="AD17" s="54" t="n">
        <x:f>IFERROR(INDEX('Six-Factor Calc'!$AD$5:$AD$121,MATCH($A17,'Six-Factor Calc'!$A$5:$A$121,0)),"")</x:f>
        <x:v>45565</x:v>
      </x:c>
      <x:c r="AE17" s="47" t="str">
        <x:f>IFERROR(INDEX('Six-Factor Calc'!$AE$5:$AE$121,MATCH($A17,'Six-Factor Calc'!$A$5:$A$121,0)),"")</x:f>
        <x:v>OK</x:v>
      </x:c>
    </x:row>
    <x:row r="18">
      <x:c r="A18" s="12" t="n">
        <x:v>14</x:v>
      </x:c>
      <x:c r="B18" s="47" t="str">
        <x:f>IFERROR(INDEX('Six-Factor Calc'!$B$5:$B$121,MATCH($A18,'Six-Factor Calc'!$A$5:$A$121,0)),"")</x:f>
        <x:v>CBOE</x:v>
      </x:c>
      <x:c r="C18" s="47" t="str">
        <x:f>IFERROR(INDEX('Six-Factor Calc'!$C$5:$C$121,MATCH($A18,'Six-Factor Calc'!$A$5:$A$121,0)),"")</x:f>
        <x:v>CBOE Global Markets Inc.</x:v>
      </x:c>
      <x:c r="D18" s="49" t="str">
        <x:f>IFERROR(INDEX('Six-Factor Calc'!$D$5:$D$121,MATCH($A18,'Six-Factor Calc'!$A$5:$A$121,0)),"")</x:f>
        <x:v>Long</x:v>
      </x:c>
      <x:c r="E18" s="49" t="n">
        <x:f>IFERROR(INDEX('Six-Factor Calc'!$E$5:$E$121,MATCH($A18,'Six-Factor Calc'!$A$5:$A$121,0)),"")</x:f>
        <x:v>0.003227</x:v>
      </x:c>
      <x:c r="F18" s="50" t="n">
        <x:f>IFERROR(INDEX('Six-Factor Calc'!$F$5:$F$121,MATCH($A18,'Six-Factor Calc'!$A$5:$A$121,0)),"")</x:f>
        <x:v>0.24670528669925593</x:v>
      </x:c>
      <x:c r="G18" s="50" t="n">
        <x:f>IFERROR(INDEX('Six-Factor Calc'!$G$5:$G$121,MATCH($A18,'Six-Factor Calc'!$A$5:$A$121,0)),"")</x:f>
        <x:v>0.14484874831933667</x:v>
      </x:c>
      <x:c r="H18" s="329" t="n">
        <x:f>IFERROR(INDEX('Six-Factor Calc'!$H$5:$H$121,MATCH($A18,'Six-Factor Calc'!$A$5:$A$121,0)),"")</x:f>
        <x:v>6.908624437781109</x:v>
      </x:c>
      <x:c r="I18" s="47" t="n">
        <x:f>IFERROR(INDEX('Six-Factor Calc'!$I$5:$I$121,MATCH($A18,'Six-Factor Calc'!$A$5:$A$121,0)),"")</x:f>
        <x:v>6</x:v>
      </x:c>
      <x:c r="J18" s="52" t="n">
        <x:f>IFERROR(INDEX('Six-Factor Calc'!$J$5:$J$121,MATCH($A18,'Six-Factor Calc'!$A$5:$A$121,0)),"")</x:f>
        <x:v>8.21551724137931</x:v>
      </x:c>
      <x:c r="K18" s="47" t="n">
        <x:f>IFERROR(INDEX('Six-Factor Calc'!$K$5:$K$121,MATCH($A18,'Six-Factor Calc'!$A$5:$A$121,0)),"")</x:f>
        <x:v>24</x:v>
      </x:c>
      <x:c r="L18" s="52" t="n">
        <x:f>IFERROR(INDEX('Six-Factor Calc'!$L$5:$L$121,MATCH($A18,'Six-Factor Calc'!$A$5:$A$121,0)),"")</x:f>
        <x:v>9.471739130434782</x:v>
      </x:c>
      <x:c r="M18" s="47" t="n">
        <x:f>IFERROR(INDEX('Six-Factor Calc'!$M$5:$M$121,MATCH($A18,'Six-Factor Calc'!$A$5:$A$121,0)),"")</x:f>
        <x:v>3</x:v>
      </x:c>
      <x:c r="N18" s="47" t="str">
        <x:f>IFERROR(INDEX('Six-Factor Calc'!$N$5:$N$121,MATCH($A18,'Six-Factor Calc'!$A$5:$A$121,0)),"")</x:f>
        <x:v>SUE + CAR3</x:v>
      </x:c>
      <x:c r="O18" s="52" t="n">
        <x:f>IFERROR(INDEX('Six-Factor Calc'!$O$5:$O$121,MATCH($A18,'Six-Factor Calc'!$A$5:$A$121,0)),"")</x:f>
        <x:v>9.145</x:v>
      </x:c>
      <x:c r="P18" s="47" t="n">
        <x:f>IFERROR(INDEX('Six-Factor Calc'!$P$5:$P$121,MATCH($A18,'Six-Factor Calc'!$A$5:$A$121,0)),"")</x:f>
        <x:v>12</x:v>
      </x:c>
      <x:c r="Q18" s="50" t="n">
        <x:f>IFERROR(INDEX('Six-Factor Calc'!$Q$5:$Q$121,MATCH($A18,'Six-Factor Calc'!$A$5:$A$121,0)),"")</x:f>
        <x:v>3.46643</x:v>
      </x:c>
      <x:c r="R18" s="50" t="n">
        <x:f>IFERROR(INDEX('Six-Factor Calc'!$R$5:$R$121,MATCH($A18,'Six-Factor Calc'!$A$5:$A$121,0)),"")</x:f>
        <x:v>3.32986</x:v>
      </x:c>
      <x:c r="S18" s="317" t="n">
        <x:f>IFERROR(INDEX('Six-Factor Calc'!$S$5:$S$121,MATCH($A18,'Six-Factor Calc'!$A$5:$A$121,0)),"")</x:f>
        <x:v>0.041013736313238354</x:v>
      </x:c>
      <x:c r="T18" s="47" t="str">
        <x:f>IFERROR(INDEX('Six-Factor Calc'!$T$5:$T$121,MATCH($A18,'Six-Factor Calc'!$A$5:$A$121,0)),"")</x:f>
        <x:v>OK</x:v>
      </x:c>
      <x:c r="U18" s="52" t="n">
        <x:f>IFERROR(INDEX('Six-Factor Calc'!$U$5:$U$121,MATCH($A18,'Six-Factor Calc'!$A$5:$A$121,0)),"")</x:f>
        <x:v>3.7155172413793105</x:v>
      </x:c>
      <x:c r="V18" s="47" t="n">
        <x:f>IFERROR(INDEX('Six-Factor Calc'!$V$5:$V$121,MATCH($A18,'Six-Factor Calc'!$A$5:$A$121,0)),"")</x:f>
        <x:v>94</x:v>
      </x:c>
      <x:c r="W18" s="52" t="n">
        <x:f>IFERROR(INDEX('Six-Factor Calc'!$W$5:$W$121,MATCH($A18,'Six-Factor Calc'!$A$5:$A$121,0)),"")</x:f>
        <x:v>1.6982758620689653</x:v>
      </x:c>
      <x:c r="X18" s="47" t="n">
        <x:f>IFERROR(INDEX('Six-Factor Calc'!$X$5:$X$121,MATCH($A18,'Six-Factor Calc'!$A$5:$A$121,0)),"")</x:f>
        <x:v>112</x:v>
      </x:c>
      <x:c r="Y18" s="52" t="n">
        <x:f>IFERROR(INDEX('Six-Factor Calc'!$Y$5:$Y$121,MATCH($A18,'Six-Factor Calc'!$A$5:$A$121,0)),"")</x:f>
        <x:v>3.25</x:v>
      </x:c>
      <x:c r="Z18" s="47" t="n">
        <x:f>IFERROR(INDEX('Six-Factor Calc'!$Z$5:$Z$121,MATCH($A18,'Six-Factor Calc'!$A$5:$A$121,0)),"")</x:f>
        <x:v>88</x:v>
      </x:c>
      <x:c r="AA18" s="47" t="str">
        <x:f>IFERROR(INDEX('Six-Factor Calc'!$AA$5:$AA$121,MATCH($A18,'Six-Factor Calc'!$A$5:$A$121,0)),"")</x:f>
        <x:v>Finance</x:v>
      </x:c>
      <x:c r="AB18" s="54" t="n">
        <x:f>IFERROR(INDEX('Six-Factor Calc'!$AB$5:$AB$121,MATCH($A18,'Six-Factor Calc'!$A$5:$A$121,0)),"")</x:f>
        <x:v>46213</x:v>
      </x:c>
      <x:c r="AC18" s="54" t="n">
        <x:f>IFERROR(INDEX('Six-Factor Calc'!$AC$5:$AC$121,MATCH($A18,'Six-Factor Calc'!$A$5:$A$121,0)),"")</x:f>
        <x:v>46112</x:v>
      </x:c>
      <x:c r="AD18" s="54" t="n">
        <x:f>IFERROR(INDEX('Six-Factor Calc'!$AD$5:$AD$121,MATCH($A18,'Six-Factor Calc'!$A$5:$A$121,0)),"")</x:f>
        <x:v>46022</x:v>
      </x:c>
      <x:c r="AE18" s="47" t="str">
        <x:f>IFERROR(INDEX('Six-Factor Calc'!$AE$5:$AE$121,MATCH($A18,'Six-Factor Calc'!$A$5:$A$121,0)),"")</x:f>
        <x:v>OK</x:v>
      </x:c>
    </x:row>
    <x:row r="19">
      <x:c r="A19" s="12" t="n">
        <x:v>15</x:v>
      </x:c>
      <x:c r="B19" s="47" t="str">
        <x:f>IFERROR(INDEX('Six-Factor Calc'!$B$5:$B$121,MATCH($A19,'Six-Factor Calc'!$A$5:$A$121,0)),"")</x:f>
        <x:v>ACGL</x:v>
      </x:c>
      <x:c r="C19" s="47" t="str">
        <x:f>IFERROR(INDEX('Six-Factor Calc'!$C$5:$C$121,MATCH($A19,'Six-Factor Calc'!$A$5:$A$121,0)),"")</x:f>
        <x:v>Arch Capital Group Ltd.</x:v>
      </x:c>
      <x:c r="D19" s="49" t="str">
        <x:f>IFERROR(INDEX('Six-Factor Calc'!$D$5:$D$121,MATCH($A19,'Six-Factor Calc'!$A$5:$A$121,0)),"")</x:f>
        <x:v>Long</x:v>
      </x:c>
      <x:c r="E19" s="49" t="n">
        <x:f>IFERROR(INDEX('Six-Factor Calc'!$E$5:$E$121,MATCH($A19,'Six-Factor Calc'!$A$5:$A$121,0)),"")</x:f>
        <x:v>0.004171</x:v>
      </x:c>
      <x:c r="F19" s="50" t="n">
        <x:f>IFERROR(INDEX('Six-Factor Calc'!$F$5:$F$121,MATCH($A19,'Six-Factor Calc'!$A$5:$A$121,0)),"")</x:f>
        <x:v>-0.060329701783588305</x:v>
      </x:c>
      <x:c r="G19" s="50" t="n">
        <x:f>IFERROR(INDEX('Six-Factor Calc'!$G$5:$G$121,MATCH($A19,'Six-Factor Calc'!$A$5:$A$121,0)),"")</x:f>
        <x:v>-0.0601623252097205</x:v>
      </x:c>
      <x:c r="H19" s="329" t="n">
        <x:f>IFERROR(INDEX('Six-Factor Calc'!$H$5:$H$121,MATCH($A19,'Six-Factor Calc'!$A$5:$A$121,0)),"")</x:f>
        <x:v>6.825768842851302</x:v>
      </x:c>
      <x:c r="I19" s="47" t="n">
        <x:f>IFERROR(INDEX('Six-Factor Calc'!$I$5:$I$121,MATCH($A19,'Six-Factor Calc'!$A$5:$A$121,0)),"")</x:f>
        <x:v>6</x:v>
      </x:c>
      <x:c r="J19" s="52" t="n">
        <x:f>IFERROR(INDEX('Six-Factor Calc'!$J$5:$J$121,MATCH($A19,'Six-Factor Calc'!$A$5:$A$121,0)),"")</x:f>
        <x:v>8.60344827586207</x:v>
      </x:c>
      <x:c r="K19" s="47" t="n">
        <x:f>IFERROR(INDEX('Six-Factor Calc'!$K$5:$K$121,MATCH($A19,'Six-Factor Calc'!$A$5:$A$121,0)),"")</x:f>
        <x:v>19</x:v>
      </x:c>
      <x:c r="L19" s="52" t="n">
        <x:f>IFERROR(INDEX('Six-Factor Calc'!$L$5:$L$121,MATCH($A19,'Six-Factor Calc'!$A$5:$A$121,0)),"")</x:f>
        <x:v>5.613833992094861</x:v>
      </x:c>
      <x:c r="M19" s="47" t="n">
        <x:f>IFERROR(INDEX('Six-Factor Calc'!$M$5:$M$121,MATCH($A19,'Six-Factor Calc'!$A$5:$A$121,0)),"")</x:f>
        <x:v>62</x:v>
      </x:c>
      <x:c r="N19" s="47" t="str">
        <x:f>IFERROR(INDEX('Six-Factor Calc'!$N$5:$N$121,MATCH($A19,'Six-Factor Calc'!$A$5:$A$121,0)),"")</x:f>
        <x:v>SUE + CAR3</x:v>
      </x:c>
      <x:c r="O19" s="52" t="n">
        <x:f>IFERROR(INDEX('Six-Factor Calc'!$O$5:$O$121,MATCH($A19,'Six-Factor Calc'!$A$5:$A$121,0)),"")</x:f>
        <x:v>6.508</x:v>
      </x:c>
      <x:c r="P19" s="47" t="n">
        <x:f>IFERROR(INDEX('Six-Factor Calc'!$P$5:$P$121,MATCH($A19,'Six-Factor Calc'!$A$5:$A$121,0)),"")</x:f>
        <x:v>46</x:v>
      </x:c>
      <x:c r="Q19" s="50" t="n">
        <x:f>IFERROR(INDEX('Six-Factor Calc'!$Q$5:$Q$121,MATCH($A19,'Six-Factor Calc'!$A$5:$A$121,0)),"")</x:f>
        <x:v>1.84167</x:v>
      </x:c>
      <x:c r="R19" s="50" t="n">
        <x:f>IFERROR(INDEX('Six-Factor Calc'!$R$5:$R$121,MATCH($A19,'Six-Factor Calc'!$A$5:$A$121,0)),"")</x:f>
        <x:v>1.84103</x:v>
      </x:c>
      <x:c r="S19" s="317" t="n">
        <x:f>IFERROR(INDEX('Six-Factor Calc'!$S$5:$S$121,MATCH($A19,'Six-Factor Calc'!$A$5:$A$121,0)),"")</x:f>
        <x:v>0.0003476314888947893</x:v>
      </x:c>
      <x:c r="T19" s="47" t="str">
        <x:f>IFERROR(INDEX('Six-Factor Calc'!$T$5:$T$121,MATCH($A19,'Six-Factor Calc'!$A$5:$A$121,0)),"")</x:f>
        <x:v>OK</x:v>
      </x:c>
      <x:c r="U19" s="52" t="n">
        <x:f>IFERROR(INDEX('Six-Factor Calc'!$U$5:$U$121,MATCH($A19,'Six-Factor Calc'!$A$5:$A$121,0)),"")</x:f>
        <x:v>9.224137931034482</x:v>
      </x:c>
      <x:c r="V19" s="47" t="n">
        <x:f>IFERROR(INDEX('Six-Factor Calc'!$V$5:$V$121,MATCH($A19,'Six-Factor Calc'!$A$5:$A$121,0)),"")</x:f>
        <x:v>6</x:v>
      </x:c>
      <x:c r="W19" s="52" t="n">
        <x:f>IFERROR(INDEX('Six-Factor Calc'!$W$5:$W$121,MATCH($A19,'Six-Factor Calc'!$A$5:$A$121,0)),"")</x:f>
        <x:v>2.9396551724137936</x:v>
      </x:c>
      <x:c r="X19" s="47" t="n">
        <x:f>IFERROR(INDEX('Six-Factor Calc'!$X$5:$X$121,MATCH($A19,'Six-Factor Calc'!$A$5:$A$121,0)),"")</x:f>
        <x:v>99</x:v>
      </x:c>
      <x:c r="Y19" s="52" t="n">
        <x:f>IFERROR(INDEX('Six-Factor Calc'!$Y$5:$Y$121,MATCH($A19,'Six-Factor Calc'!$A$5:$A$121,0)),"")</x:f>
        <x:v>7.517241379310345</x:v>
      </x:c>
      <x:c r="Z19" s="47" t="n">
        <x:f>IFERROR(INDEX('Six-Factor Calc'!$Z$5:$Z$121,MATCH($A19,'Six-Factor Calc'!$A$5:$A$121,0)),"")</x:f>
        <x:v>33</x:v>
      </x:c>
      <x:c r="AA19" s="47" t="str">
        <x:f>IFERROR(INDEX('Six-Factor Calc'!$AA$5:$AA$121,MATCH($A19,'Six-Factor Calc'!$A$5:$A$121,0)),"")</x:f>
        <x:v>Finance</x:v>
      </x:c>
      <x:c r="AB19" s="54" t="n">
        <x:f>IFERROR(INDEX('Six-Factor Calc'!$AB$5:$AB$121,MATCH($A19,'Six-Factor Calc'!$A$5:$A$121,0)),"")</x:f>
        <x:v>46213</x:v>
      </x:c>
      <x:c r="AC19" s="54" t="n">
        <x:f>IFERROR(INDEX('Six-Factor Calc'!$AC$5:$AC$121,MATCH($A19,'Six-Factor Calc'!$A$5:$A$121,0)),"")</x:f>
        <x:v>46112</x:v>
      </x:c>
      <x:c r="AD19" s="54" t="n">
        <x:f>IFERROR(INDEX('Six-Factor Calc'!$AD$5:$AD$121,MATCH($A19,'Six-Factor Calc'!$A$5:$A$121,0)),"")</x:f>
        <x:v>46022</x:v>
      </x:c>
      <x:c r="AE19" s="47" t="str">
        <x:f>IFERROR(INDEX('Six-Factor Calc'!$AE$5:$AE$121,MATCH($A19,'Six-Factor Calc'!$A$5:$A$121,0)),"")</x:f>
        <x:v>OK</x:v>
      </x:c>
    </x:row>
    <x:row r="20">
      <x:c r="A20" s="12" t="n">
        <x:v>16</x:v>
      </x:c>
      <x:c r="B20" s="47" t="str">
        <x:f>IFERROR(INDEX('Six-Factor Calc'!$B$5:$B$121,MATCH($A20,'Six-Factor Calc'!$A$5:$A$121,0)),"")</x:f>
        <x:v>AXS</x:v>
      </x:c>
      <x:c r="C20" s="47" t="str">
        <x:f>IFERROR(INDEX('Six-Factor Calc'!$C$5:$C$121,MATCH($A20,'Six-Factor Calc'!$A$5:$A$121,0)),"")</x:f>
        <x:v>Axis Capital Holdings Ltd.</x:v>
      </x:c>
      <x:c r="D20" s="49" t="str">
        <x:f>IFERROR(INDEX('Six-Factor Calc'!$D$5:$D$121,MATCH($A20,'Six-Factor Calc'!$A$5:$A$121,0)),"")</x:f>
        <x:v>Long</x:v>
      </x:c>
      <x:c r="E20" s="49" t="n">
        <x:f>IFERROR(INDEX('Six-Factor Calc'!$E$5:$E$121,MATCH($A20,'Six-Factor Calc'!$A$5:$A$121,0)),"")</x:f>
        <x:v>0.004472</x:v>
      </x:c>
      <x:c r="F20" s="50" t="n">
        <x:f>IFERROR(INDEX('Six-Factor Calc'!$F$5:$F$121,MATCH($A20,'Six-Factor Calc'!$A$5:$A$121,0)),"")</x:f>
        <x:v>0.2108012748123158</x:v>
      </x:c>
      <x:c r="G20" s="50" t="n">
        <x:f>IFERROR(INDEX('Six-Factor Calc'!$G$5:$G$121,MATCH($A20,'Six-Factor Calc'!$A$5:$A$121,0)),"")</x:f>
        <x:v>-0.032398004123842576</x:v>
      </x:c>
      <x:c r="H20" s="329" t="n">
        <x:f>IFERROR(INDEX('Six-Factor Calc'!$H$5:$H$121,MATCH($A20,'Six-Factor Calc'!$A$5:$A$121,0)),"")</x:f>
        <x:v>6.81357700695107</x:v>
      </x:c>
      <x:c r="I20" s="47" t="n">
        <x:f>IFERROR(INDEX('Six-Factor Calc'!$I$5:$I$121,MATCH($A20,'Six-Factor Calc'!$A$5:$A$121,0)),"")</x:f>
        <x:v>6</x:v>
      </x:c>
      <x:c r="J20" s="52" t="n">
        <x:f>IFERROR(INDEX('Six-Factor Calc'!$J$5:$J$121,MATCH($A20,'Six-Factor Calc'!$A$5:$A$121,0)),"")</x:f>
        <x:v>7.905172413793104</x:v>
      </x:c>
      <x:c r="K20" s="47" t="n">
        <x:f>IFERROR(INDEX('Six-Factor Calc'!$K$5:$K$121,MATCH($A20,'Six-Factor Calc'!$A$5:$A$121,0)),"")</x:f>
        <x:v>28</x:v>
      </x:c>
      <x:c r="L20" s="52" t="n">
        <x:f>IFERROR(INDEX('Six-Factor Calc'!$L$5:$L$121,MATCH($A20,'Six-Factor Calc'!$A$5:$A$121,0)),"")</x:f>
        <x:v>6.387549407114625</x:v>
      </x:c>
      <x:c r="M20" s="47" t="n">
        <x:f>IFERROR(INDEX('Six-Factor Calc'!$M$5:$M$121,MATCH($A20,'Six-Factor Calc'!$A$5:$A$121,0)),"")</x:f>
        <x:v>38</x:v>
      </x:c>
      <x:c r="N20" s="47" t="str">
        <x:f>IFERROR(INDEX('Six-Factor Calc'!$N$5:$N$121,MATCH($A20,'Six-Factor Calc'!$A$5:$A$121,0)),"")</x:f>
        <x:v>SUE + CAR3</x:v>
      </x:c>
      <x:c r="O20" s="52" t="n">
        <x:f>IFERROR(INDEX('Six-Factor Calc'!$O$5:$O$121,MATCH($A20,'Six-Factor Calc'!$A$5:$A$121,0)),"")</x:f>
        <x:v>2.701</x:v>
      </x:c>
      <x:c r="P20" s="47" t="n">
        <x:f>IFERROR(INDEX('Six-Factor Calc'!$P$5:$P$121,MATCH($A20,'Six-Factor Calc'!$A$5:$A$121,0)),"")</x:f>
        <x:v>93</x:v>
      </x:c>
      <x:c r="Q20" s="50" t="n">
        <x:f>IFERROR(INDEX('Six-Factor Calc'!$Q$5:$Q$121,MATCH($A20,'Six-Factor Calc'!$A$5:$A$121,0)),"")</x:f>
        <x:v>2.84947</x:v>
      </x:c>
      <x:c r="R20" s="50" t="n">
        <x:f>IFERROR(INDEX('Six-Factor Calc'!$R$5:$R$121,MATCH($A20,'Six-Factor Calc'!$A$5:$A$121,0)),"")</x:f>
        <x:v>2.98368</x:v>
      </x:c>
      <x:c r="S20" s="317" t="n">
        <x:f>IFERROR(INDEX('Six-Factor Calc'!$S$5:$S$121,MATCH($A20,'Six-Factor Calc'!$A$5:$A$121,0)),"")</x:f>
        <x:v>-0.044981365293865275</x:v>
      </x:c>
      <x:c r="T20" s="47" t="str">
        <x:f>IFERROR(INDEX('Six-Factor Calc'!$T$5:$T$121,MATCH($A20,'Six-Factor Calc'!$A$5:$A$121,0)),"")</x:f>
        <x:v>OK</x:v>
      </x:c>
      <x:c r="U20" s="52" t="n">
        <x:f>IFERROR(INDEX('Six-Factor Calc'!$U$5:$U$121,MATCH($A20,'Six-Factor Calc'!$A$5:$A$121,0)),"")</x:f>
        <x:v>9.301724137931034</x:v>
      </x:c>
      <x:c r="V20" s="47" t="n">
        <x:f>IFERROR(INDEX('Six-Factor Calc'!$V$5:$V$121,MATCH($A20,'Six-Factor Calc'!$A$5:$A$121,0)),"")</x:f>
        <x:v>5</x:v>
      </x:c>
      <x:c r="W20" s="52" t="n">
        <x:f>IFERROR(INDEX('Six-Factor Calc'!$W$5:$W$121,MATCH($A20,'Six-Factor Calc'!$A$5:$A$121,0)),"")</x:f>
        <x:v>6.431034482758621</x:v>
      </x:c>
      <x:c r="X20" s="47" t="n">
        <x:f>IFERROR(INDEX('Six-Factor Calc'!$X$5:$X$121,MATCH($A20,'Six-Factor Calc'!$A$5:$A$121,0)),"")</x:f>
        <x:v>34</x:v>
      </x:c>
      <x:c r="Y20" s="52" t="n">
        <x:f>IFERROR(INDEX('Six-Factor Calc'!$Y$5:$Y$121,MATCH($A20,'Six-Factor Calc'!$A$5:$A$121,0)),"")</x:f>
        <x:v>9.379310344827585</x:v>
      </x:c>
      <x:c r="Z20" s="47" t="n">
        <x:f>IFERROR(INDEX('Six-Factor Calc'!$Z$5:$Z$121,MATCH($A20,'Six-Factor Calc'!$A$5:$A$121,0)),"")</x:f>
        <x:v>9</x:v>
      </x:c>
      <x:c r="AA20" s="47" t="str">
        <x:f>IFERROR(INDEX('Six-Factor Calc'!$AA$5:$AA$121,MATCH($A20,'Six-Factor Calc'!$A$5:$A$121,0)),"")</x:f>
        <x:v>Finance</x:v>
      </x:c>
      <x:c r="AB20" s="54" t="n">
        <x:f>IFERROR(INDEX('Six-Factor Calc'!$AB$5:$AB$121,MATCH($A20,'Six-Factor Calc'!$A$5:$A$121,0)),"")</x:f>
        <x:v>46213</x:v>
      </x:c>
      <x:c r="AC20" s="54" t="n">
        <x:f>IFERROR(INDEX('Six-Factor Calc'!$AC$5:$AC$121,MATCH($A20,'Six-Factor Calc'!$A$5:$A$121,0)),"")</x:f>
        <x:v>46112</x:v>
      </x:c>
      <x:c r="AD20" s="54" t="n">
        <x:f>IFERROR(INDEX('Six-Factor Calc'!$AD$5:$AD$121,MATCH($A20,'Six-Factor Calc'!$A$5:$A$121,0)),"")</x:f>
        <x:v>46022</x:v>
      </x:c>
      <x:c r="AE20" s="47" t="str">
        <x:f>IFERROR(INDEX('Six-Factor Calc'!$AE$5:$AE$121,MATCH($A20,'Six-Factor Calc'!$A$5:$A$121,0)),"")</x:f>
        <x:v>OK</x:v>
      </x:c>
    </x:row>
    <x:row r="21">
      <x:c r="A21" s="12" t="n">
        <x:v>17</x:v>
      </x:c>
      <x:c r="B21" s="47" t="str">
        <x:f>IFERROR(INDEX('Six-Factor Calc'!$B$5:$B$121,MATCH($A21,'Six-Factor Calc'!$A$5:$A$121,0)),"")</x:f>
        <x:v>APA</x:v>
      </x:c>
      <x:c r="C21" s="47" t="str">
        <x:f>IFERROR(INDEX('Six-Factor Calc'!$C$5:$C$121,MATCH($A21,'Six-Factor Calc'!$A$5:$A$121,0)),"")</x:f>
        <x:v>APA Corp.</x:v>
      </x:c>
      <x:c r="D21" s="49" t="str">
        <x:f>IFERROR(INDEX('Six-Factor Calc'!$D$5:$D$121,MATCH($A21,'Six-Factor Calc'!$A$5:$A$121,0)),"")</x:f>
        <x:v>Long</x:v>
      </x:c>
      <x:c r="E21" s="49" t="n">
        <x:f>IFERROR(INDEX('Six-Factor Calc'!$E$5:$E$121,MATCH($A21,'Six-Factor Calc'!$A$5:$A$121,0)),"")</x:f>
        <x:v>0.003508</x:v>
      </x:c>
      <x:c r="F21" s="50" t="n">
        <x:f>IFERROR(INDEX('Six-Factor Calc'!$F$5:$F$121,MATCH($A21,'Six-Factor Calc'!$A$5:$A$121,0)),"")</x:f>
        <x:v>-0.22899850532026103</x:v>
      </x:c>
      <x:c r="G21" s="50" t="n">
        <x:f>IFERROR(INDEX('Six-Factor Calc'!$G$5:$G$121,MATCH($A21,'Six-Factor Calc'!$A$5:$A$121,0)),"")</x:f>
        <x:v>-0.38476295014005296</x:v>
      </x:c>
      <x:c r="H21" s="329" t="n">
        <x:f>IFERROR(INDEX('Six-Factor Calc'!$H$5:$H$121,MATCH($A21,'Six-Factor Calc'!$A$5:$A$121,0)),"")</x:f>
        <x:v>6.7976895188769255</x:v>
      </x:c>
      <x:c r="I21" s="47" t="n">
        <x:f>IFERROR(INDEX('Six-Factor Calc'!$I$5:$I$121,MATCH($A21,'Six-Factor Calc'!$A$5:$A$121,0)),"")</x:f>
        <x:v>6</x:v>
      </x:c>
      <x:c r="J21" s="52" t="n">
        <x:f>IFERROR(INDEX('Six-Factor Calc'!$J$5:$J$121,MATCH($A21,'Six-Factor Calc'!$A$5:$A$121,0)),"")</x:f>
        <x:v>9.14655172413793</x:v>
      </x:c>
      <x:c r="K21" s="47" t="n">
        <x:f>IFERROR(INDEX('Six-Factor Calc'!$K$5:$K$121,MATCH($A21,'Six-Factor Calc'!$A$5:$A$121,0)),"")</x:f>
        <x:v>12</x:v>
      </x:c>
      <x:c r="L21" s="52" t="n">
        <x:f>IFERROR(INDEX('Six-Factor Calc'!$L$5:$L$121,MATCH($A21,'Six-Factor Calc'!$A$5:$A$121,0)),"")</x:f>
        <x:v>6.476482213438736</x:v>
      </x:c>
      <x:c r="M21" s="47" t="n">
        <x:f>IFERROR(INDEX('Six-Factor Calc'!$M$5:$M$121,MATCH($A21,'Six-Factor Calc'!$A$5:$A$121,0)),"")</x:f>
        <x:v>35</x:v>
      </x:c>
      <x:c r="N21" s="47" t="str">
        <x:f>IFERROR(INDEX('Six-Factor Calc'!$N$5:$N$121,MATCH($A21,'Six-Factor Calc'!$A$5:$A$121,0)),"")</x:f>
        <x:v>SUE + CAR3</x:v>
      </x:c>
      <x:c r="O21" s="52" t="n">
        <x:f>IFERROR(INDEX('Six-Factor Calc'!$O$5:$O$121,MATCH($A21,'Six-Factor Calc'!$A$5:$A$121,0)),"")</x:f>
        <x:v>1.774</x:v>
      </x:c>
      <x:c r="P21" s="47" t="n">
        <x:f>IFERROR(INDEX('Six-Factor Calc'!$P$5:$P$121,MATCH($A21,'Six-Factor Calc'!$A$5:$A$121,0)),"")</x:f>
        <x:v>105</x:v>
      </x:c>
      <x:c r="Q21" s="50" t="n">
        <x:f>IFERROR(INDEX('Six-Factor Calc'!$Q$5:$Q$121,MATCH($A21,'Six-Factor Calc'!$A$5:$A$121,0)),"")</x:f>
        <x:v>1.18139</x:v>
      </x:c>
      <x:c r="R21" s="50" t="n">
        <x:f>IFERROR(INDEX('Six-Factor Calc'!$R$5:$R$121,MATCH($A21,'Six-Factor Calc'!$A$5:$A$121,0)),"")</x:f>
        <x:v>1.41955</x:v>
      </x:c>
      <x:c r="S21" s="317" t="n">
        <x:f>IFERROR(INDEX('Six-Factor Calc'!$S$5:$S$121,MATCH($A21,'Six-Factor Calc'!$A$5:$A$121,0)),"")</x:f>
        <x:v>-0.16777147687647503</x:v>
      </x:c>
      <x:c r="T21" s="47" t="str">
        <x:f>IFERROR(INDEX('Six-Factor Calc'!$T$5:$T$121,MATCH($A21,'Six-Factor Calc'!$A$5:$A$121,0)),"")</x:f>
        <x:v>OK</x:v>
      </x:c>
      <x:c r="U21" s="52" t="n">
        <x:f>IFERROR(INDEX('Six-Factor Calc'!$U$5:$U$121,MATCH($A21,'Six-Factor Calc'!$A$5:$A$121,0)),"")</x:f>
        <x:v>8.254310344827587</x:v>
      </x:c>
      <x:c r="V21" s="47" t="n">
        <x:f>IFERROR(INDEX('Six-Factor Calc'!$V$5:$V$121,MATCH($A21,'Six-Factor Calc'!$A$5:$A$121,0)),"")</x:f>
        <x:v>19</x:v>
      </x:c>
      <x:c r="W21" s="52" t="n">
        <x:f>IFERROR(INDEX('Six-Factor Calc'!$W$5:$W$121,MATCH($A21,'Six-Factor Calc'!$A$5:$A$121,0)),"")</x:f>
        <x:v>10</x:v>
      </x:c>
      <x:c r="X21" s="47" t="n">
        <x:f>IFERROR(INDEX('Six-Factor Calc'!$X$5:$X$121,MATCH($A21,'Six-Factor Calc'!$A$5:$A$121,0)),"")</x:f>
        <x:v>1</x:v>
      </x:c>
      <x:c r="Y21" s="52" t="n">
        <x:f>IFERROR(INDEX('Six-Factor Calc'!$Y$5:$Y$121,MATCH($A21,'Six-Factor Calc'!$A$5:$A$121,0)),"")</x:f>
        <x:v>5.112068965517242</x:v>
      </x:c>
      <x:c r="Z21" s="47" t="n">
        <x:f>IFERROR(INDEX('Six-Factor Calc'!$Z$5:$Z$121,MATCH($A21,'Six-Factor Calc'!$A$5:$A$121,0)),"")</x:f>
        <x:v>64</x:v>
      </x:c>
      <x:c r="AA21" s="47" t="str">
        <x:f>IFERROR(INDEX('Six-Factor Calc'!$AA$5:$AA$121,MATCH($A21,'Six-Factor Calc'!$A$5:$A$121,0)),"")</x:f>
        <x:v>Energy</x:v>
      </x:c>
      <x:c r="AB21" s="54" t="n">
        <x:f>IFERROR(INDEX('Six-Factor Calc'!$AB$5:$AB$121,MATCH($A21,'Six-Factor Calc'!$A$5:$A$121,0)),"")</x:f>
        <x:v>46213</x:v>
      </x:c>
      <x:c r="AC21" s="54" t="n">
        <x:f>IFERROR(INDEX('Six-Factor Calc'!$AC$5:$AC$121,MATCH($A21,'Six-Factor Calc'!$A$5:$A$121,0)),"")</x:f>
        <x:v>46112</x:v>
      </x:c>
      <x:c r="AD21" s="54" t="n">
        <x:f>IFERROR(INDEX('Six-Factor Calc'!$AD$5:$AD$121,MATCH($A21,'Six-Factor Calc'!$A$5:$A$121,0)),"")</x:f>
        <x:v>46022</x:v>
      </x:c>
      <x:c r="AE21" s="47" t="str">
        <x:f>IFERROR(INDEX('Six-Factor Calc'!$AE$5:$AE$121,MATCH($A21,'Six-Factor Calc'!$A$5:$A$121,0)),"")</x:f>
        <x:v>OK</x:v>
      </x:c>
    </x:row>
    <x:row r="22">
      <x:c r="A22" s="12" t="n">
        <x:v>18</x:v>
      </x:c>
      <x:c r="B22" s="47" t="str">
        <x:f>IFERROR(INDEX('Six-Factor Calc'!$B$5:$B$121,MATCH($A22,'Six-Factor Calc'!$A$5:$A$121,0)),"")</x:f>
        <x:v>DGX</x:v>
      </x:c>
      <x:c r="C22" s="47" t="str">
        <x:f>IFERROR(INDEX('Six-Factor Calc'!$C$5:$C$121,MATCH($A22,'Six-Factor Calc'!$A$5:$A$121,0)),"")</x:f>
        <x:v>Quest Diagnostics Inc.</x:v>
      </x:c>
      <x:c r="D22" s="49" t="str">
        <x:f>IFERROR(INDEX('Six-Factor Calc'!$D$5:$D$121,MATCH($A22,'Six-Factor Calc'!$A$5:$A$121,0)),"")</x:f>
        <x:v>Long</x:v>
      </x:c>
      <x:c r="E22" s="49" t="n">
        <x:f>IFERROR(INDEX('Six-Factor Calc'!$E$5:$E$121,MATCH($A22,'Six-Factor Calc'!$A$5:$A$121,0)),"")</x:f>
        <x:v>0.00428</x:v>
      </x:c>
      <x:c r="F22" s="50" t="n">
        <x:f>IFERROR(INDEX('Six-Factor Calc'!$F$5:$F$121,MATCH($A22,'Six-Factor Calc'!$A$5:$A$121,0)),"")</x:f>
        <x:v>0.24383114136437392</x:v>
      </x:c>
      <x:c r="G22" s="50" t="n">
        <x:f>IFERROR(INDEX('Six-Factor Calc'!$G$5:$G$121,MATCH($A22,'Six-Factor Calc'!$A$5:$A$121,0)),"")</x:f>
        <x:v>0.1519470712836267</x:v>
      </x:c>
      <x:c r="H22" s="329" t="n">
        <x:f>IFERROR(INDEX('Six-Factor Calc'!$H$5:$H$121,MATCH($A22,'Six-Factor Calc'!$A$5:$A$121,0)),"")</x:f>
        <x:v>6.790407864249693</x:v>
      </x:c>
      <x:c r="I22" s="47" t="n">
        <x:f>IFERROR(INDEX('Six-Factor Calc'!$I$5:$I$121,MATCH($A22,'Six-Factor Calc'!$A$5:$A$121,0)),"")</x:f>
        <x:v>6</x:v>
      </x:c>
      <x:c r="J22" s="52" t="n">
        <x:f>IFERROR(INDEX('Six-Factor Calc'!$J$5:$J$121,MATCH($A22,'Six-Factor Calc'!$A$5:$A$121,0)),"")</x:f>
        <x:v>3.870689655172414</x:v>
      </x:c>
      <x:c r="K22" s="47" t="n">
        <x:f>IFERROR(INDEX('Six-Factor Calc'!$K$5:$K$121,MATCH($A22,'Six-Factor Calc'!$A$5:$A$121,0)),"")</x:f>
        <x:v>80</x:v>
      </x:c>
      <x:c r="L22" s="52" t="n">
        <x:f>IFERROR(INDEX('Six-Factor Calc'!$L$5:$L$121,MATCH($A22,'Six-Factor Calc'!$A$5:$A$121,0)),"")</x:f>
        <x:v>8.758498023715415</x:v>
      </x:c>
      <x:c r="M22" s="47" t="n">
        <x:f>IFERROR(INDEX('Six-Factor Calc'!$M$5:$M$121,MATCH($A22,'Six-Factor Calc'!$A$5:$A$121,0)),"")</x:f>
        <x:v>6</x:v>
      </x:c>
      <x:c r="N22" s="47" t="str">
        <x:f>IFERROR(INDEX('Six-Factor Calc'!$N$5:$N$121,MATCH($A22,'Six-Factor Calc'!$A$5:$A$121,0)),"")</x:f>
        <x:v>SUE + CAR3</x:v>
      </x:c>
      <x:c r="O22" s="52" t="n">
        <x:f>IFERROR(INDEX('Six-Factor Calc'!$O$5:$O$121,MATCH($A22,'Six-Factor Calc'!$A$5:$A$121,0)),"")</x:f>
        <x:v>8.290000000000001</x:v>
      </x:c>
      <x:c r="P22" s="47" t="n">
        <x:f>IFERROR(INDEX('Six-Factor Calc'!$P$5:$P$121,MATCH($A22,'Six-Factor Calc'!$A$5:$A$121,0)),"")</x:f>
        <x:v>23</x:v>
      </x:c>
      <x:c r="Q22" s="50" t="n">
        <x:f>IFERROR(INDEX('Six-Factor Calc'!$Q$5:$Q$121,MATCH($A22,'Six-Factor Calc'!$A$5:$A$121,0)),"")</x:f>
        <x:v>2.86335</x:v>
      </x:c>
      <x:c r="R22" s="50" t="n">
        <x:f>IFERROR(INDEX('Six-Factor Calc'!$R$5:$R$121,MATCH($A22,'Six-Factor Calc'!$A$5:$A$121,0)),"")</x:f>
        <x:v>2.80119</x:v>
      </x:c>
      <x:c r="S22" s="317" t="n">
        <x:f>IFERROR(INDEX('Six-Factor Calc'!$S$5:$S$121,MATCH($A22,'Six-Factor Calc'!$A$5:$A$121,0)),"")</x:f>
        <x:v>0.022190569008171523</x:v>
      </x:c>
      <x:c r="T22" s="47" t="str">
        <x:f>IFERROR(INDEX('Six-Factor Calc'!$T$5:$T$121,MATCH($A22,'Six-Factor Calc'!$A$5:$A$121,0)),"")</x:f>
        <x:v>OK</x:v>
      </x:c>
      <x:c r="U22" s="52" t="n">
        <x:f>IFERROR(INDEX('Six-Factor Calc'!$U$5:$U$121,MATCH($A22,'Six-Factor Calc'!$A$5:$A$121,0)),"")</x:f>
        <x:v>5.853860569715142</x:v>
      </x:c>
      <x:c r="V22" s="47" t="n">
        <x:f>IFERROR(INDEX('Six-Factor Calc'!$V$5:$V$121,MATCH($A22,'Six-Factor Calc'!$A$5:$A$121,0)),"")</x:f>
        <x:v>50</x:v>
      </x:c>
      <x:c r="W22" s="52" t="n">
        <x:f>IFERROR(INDEX('Six-Factor Calc'!$W$5:$W$121,MATCH($A22,'Six-Factor Calc'!$A$5:$A$121,0)),"")</x:f>
        <x:v>6.736724137931034</x:v>
      </x:c>
      <x:c r="X22" s="47" t="n">
        <x:f>IFERROR(INDEX('Six-Factor Calc'!$X$5:$X$121,MATCH($A22,'Six-Factor Calc'!$A$5:$A$121,0)),"")</x:f>
        <x:v>29</x:v>
      </x:c>
      <x:c r="Y22" s="52" t="n">
        <x:f>IFERROR(INDEX('Six-Factor Calc'!$Y$5:$Y$121,MATCH($A22,'Six-Factor Calc'!$A$5:$A$121,0)),"")</x:f>
        <x:v>7.672413793103448</x:v>
      </x:c>
      <x:c r="Z22" s="47" t="n">
        <x:f>IFERROR(INDEX('Six-Factor Calc'!$Z$5:$Z$121,MATCH($A22,'Six-Factor Calc'!$A$5:$A$121,0)),"")</x:f>
        <x:v>31</x:v>
      </x:c>
      <x:c r="AA22" s="47" t="str">
        <x:f>IFERROR(INDEX('Six-Factor Calc'!$AA$5:$AA$121,MATCH($A22,'Six-Factor Calc'!$A$5:$A$121,0)),"")</x:f>
        <x:v>Health Care</x:v>
      </x:c>
      <x:c r="AB22" s="54" t="n">
        <x:f>IFERROR(INDEX('Six-Factor Calc'!$AB$5:$AB$121,MATCH($A22,'Six-Factor Calc'!$A$5:$A$121,0)),"")</x:f>
        <x:v>46213</x:v>
      </x:c>
      <x:c r="AC22" s="54" t="n">
        <x:f>IFERROR(INDEX('Six-Factor Calc'!$AC$5:$AC$121,MATCH($A22,'Six-Factor Calc'!$A$5:$A$121,0)),"")</x:f>
        <x:v>46112</x:v>
      </x:c>
      <x:c r="AD22" s="54" t="n">
        <x:f>IFERROR(INDEX('Six-Factor Calc'!$AD$5:$AD$121,MATCH($A22,'Six-Factor Calc'!$A$5:$A$121,0)),"")</x:f>
        <x:v>46022</x:v>
      </x:c>
      <x:c r="AE22" s="47" t="str">
        <x:f>IFERROR(INDEX('Six-Factor Calc'!$AE$5:$AE$121,MATCH($A22,'Six-Factor Calc'!$A$5:$A$121,0)),"")</x:f>
        <x:v>OK</x:v>
      </x:c>
    </x:row>
    <x:row r="23">
      <x:c r="A23" s="12" t="n">
        <x:v>19</x:v>
      </x:c>
      <x:c r="B23" s="47" t="str">
        <x:f>IFERROR(INDEX('Six-Factor Calc'!$B$5:$B$121,MATCH($A23,'Six-Factor Calc'!$A$5:$A$121,0)),"")</x:f>
        <x:v>REGN</x:v>
      </x:c>
      <x:c r="C23" s="47" t="str">
        <x:f>IFERROR(INDEX('Six-Factor Calc'!$C$5:$C$121,MATCH($A23,'Six-Factor Calc'!$A$5:$A$121,0)),"")</x:f>
        <x:v>Regeneron Pharmaceuticals Inc.</x:v>
      </x:c>
      <x:c r="D23" s="49" t="str">
        <x:f>IFERROR(INDEX('Six-Factor Calc'!$D$5:$D$121,MATCH($A23,'Six-Factor Calc'!$A$5:$A$121,0)),"")</x:f>
        <x:v>Long</x:v>
      </x:c>
      <x:c r="E23" s="49" t="n">
        <x:f>IFERROR(INDEX('Six-Factor Calc'!$E$5:$E$121,MATCH($A23,'Six-Factor Calc'!$A$5:$A$121,0)),"")</x:f>
        <x:v>0.004571</x:v>
      </x:c>
      <x:c r="F23" s="50" t="n">
        <x:f>IFERROR(INDEX('Six-Factor Calc'!$F$5:$F$121,MATCH($A23,'Six-Factor Calc'!$A$5:$A$121,0)),"")</x:f>
        <x:v>0.049257152973599325</x:v>
      </x:c>
      <x:c r="G23" s="50" t="n">
        <x:f>IFERROR(INDEX('Six-Factor Calc'!$G$5:$G$121,MATCH($A23,'Six-Factor Calc'!$A$5:$A$121,0)),"")</x:f>
        <x:v>0.09781524218665832</x:v>
      </x:c>
      <x:c r="H23" s="329" t="n">
        <x:f>IFERROR(INDEX('Six-Factor Calc'!$H$5:$H$121,MATCH($A23,'Six-Factor Calc'!$A$5:$A$121,0)),"")</x:f>
        <x:v>6.75153509608832</x:v>
      </x:c>
      <x:c r="I23" s="47" t="n">
        <x:f>IFERROR(INDEX('Six-Factor Calc'!$I$5:$I$121,MATCH($A23,'Six-Factor Calc'!$A$5:$A$121,0)),"")</x:f>
        <x:v>6</x:v>
      </x:c>
      <x:c r="J23" s="52" t="n">
        <x:f>IFERROR(INDEX('Six-Factor Calc'!$J$5:$J$121,MATCH($A23,'Six-Factor Calc'!$A$5:$A$121,0)),"")</x:f>
        <x:v>6.043103448275861</x:v>
      </x:c>
      <x:c r="K23" s="47" t="n">
        <x:f>IFERROR(INDEX('Six-Factor Calc'!$K$5:$K$121,MATCH($A23,'Six-Factor Calc'!$A$5:$A$121,0)),"")</x:f>
        <x:v>52</x:v>
      </x:c>
      <x:c r="L23" s="52" t="n">
        <x:f>IFERROR(INDEX('Six-Factor Calc'!$L$5:$L$121,MATCH($A23,'Six-Factor Calc'!$A$5:$A$121,0)),"")</x:f>
        <x:v>6.124308300395256</x:v>
      </x:c>
      <x:c r="M23" s="47" t="n">
        <x:f>IFERROR(INDEX('Six-Factor Calc'!$M$5:$M$121,MATCH($A23,'Six-Factor Calc'!$A$5:$A$121,0)),"")</x:f>
        <x:v>45</x:v>
      </x:c>
      <x:c r="N23" s="47" t="str">
        <x:f>IFERROR(INDEX('Six-Factor Calc'!$N$5:$N$121,MATCH($A23,'Six-Factor Calc'!$A$5:$A$121,0)),"")</x:f>
        <x:v>SUE + CAR3</x:v>
      </x:c>
      <x:c r="O23" s="52" t="n">
        <x:f>IFERROR(INDEX('Six-Factor Calc'!$O$5:$O$121,MATCH($A23,'Six-Factor Calc'!$A$5:$A$121,0)),"")</x:f>
        <x:v>9.919</x:v>
      </x:c>
      <x:c r="P23" s="47" t="n">
        <x:f>IFERROR(INDEX('Six-Factor Calc'!$P$5:$P$121,MATCH($A23,'Six-Factor Calc'!$A$5:$A$121,0)),"")</x:f>
        <x:v>2</x:v>
      </x:c>
      <x:c r="Q23" s="50" t="n">
        <x:f>IFERROR(INDEX('Six-Factor Calc'!$Q$5:$Q$121,MATCH($A23,'Six-Factor Calc'!$A$5:$A$121,0)),"")</x:f>
        <x:v>16.04549</x:v>
      </x:c>
      <x:c r="R23" s="50" t="n">
        <x:f>IFERROR(INDEX('Six-Factor Calc'!$R$5:$R$121,MATCH($A23,'Six-Factor Calc'!$A$5:$A$121,0)),"")</x:f>
        <x:v>13.07491</x:v>
      </x:c>
      <x:c r="S23" s="317" t="n">
        <x:f>IFERROR(INDEX('Six-Factor Calc'!$S$5:$S$121,MATCH($A23,'Six-Factor Calc'!$A$5:$A$121,0)),"")</x:f>
        <x:v>0.22719697496961752</x:v>
      </x:c>
      <x:c r="T23" s="47" t="str">
        <x:f>IFERROR(INDEX('Six-Factor Calc'!$T$5:$T$121,MATCH($A23,'Six-Factor Calc'!$A$5:$A$121,0)),"")</x:f>
        <x:v>OK</x:v>
      </x:c>
      <x:c r="U23" s="52" t="n">
        <x:f>IFERROR(INDEX('Six-Factor Calc'!$U$5:$U$121,MATCH($A23,'Six-Factor Calc'!$A$5:$A$121,0)),"")</x:f>
        <x:v>6.126053223388306</x:v>
      </x:c>
      <x:c r="V23" s="47" t="n">
        <x:f>IFERROR(INDEX('Six-Factor Calc'!$V$5:$V$121,MATCH($A23,'Six-Factor Calc'!$A$5:$A$121,0)),"")</x:f>
        <x:v>44</x:v>
      </x:c>
      <x:c r="W23" s="52" t="n">
        <x:f>IFERROR(INDEX('Six-Factor Calc'!$W$5:$W$121,MATCH($A23,'Six-Factor Calc'!$A$5:$A$121,0)),"")</x:f>
        <x:v>5.408448275862069</x:v>
      </x:c>
      <x:c r="X23" s="47" t="n">
        <x:f>IFERROR(INDEX('Six-Factor Calc'!$X$5:$X$121,MATCH($A23,'Six-Factor Calc'!$A$5:$A$121,0)),"")</x:f>
        <x:v>52</x:v>
      </x:c>
      <x:c r="Y23" s="52" t="n">
        <x:f>IFERROR(INDEX('Six-Factor Calc'!$Y$5:$Y$121,MATCH($A23,'Six-Factor Calc'!$A$5:$A$121,0)),"")</x:f>
        <x:v>6.974137931034483</x:v>
      </x:c>
      <x:c r="Z23" s="47" t="n">
        <x:f>IFERROR(INDEX('Six-Factor Calc'!$Z$5:$Z$121,MATCH($A23,'Six-Factor Calc'!$A$5:$A$121,0)),"")</x:f>
        <x:v>40</x:v>
      </x:c>
      <x:c r="AA23" s="47" t="str">
        <x:f>IFERROR(INDEX('Six-Factor Calc'!$AA$5:$AA$121,MATCH($A23,'Six-Factor Calc'!$A$5:$A$121,0)),"")</x:f>
        <x:v>Health Care</x:v>
      </x:c>
      <x:c r="AB23" s="54" t="n">
        <x:f>IFERROR(INDEX('Six-Factor Calc'!$AB$5:$AB$121,MATCH($A23,'Six-Factor Calc'!$A$5:$A$121,0)),"")</x:f>
        <x:v>46213</x:v>
      </x:c>
      <x:c r="AC23" s="54" t="n">
        <x:f>IFERROR(INDEX('Six-Factor Calc'!$AC$5:$AC$121,MATCH($A23,'Six-Factor Calc'!$A$5:$A$121,0)),"")</x:f>
        <x:v>46112</x:v>
      </x:c>
      <x:c r="AD23" s="54" t="n">
        <x:f>IFERROR(INDEX('Six-Factor Calc'!$AD$5:$AD$121,MATCH($A23,'Six-Factor Calc'!$A$5:$A$121,0)),"")</x:f>
        <x:v>46022</x:v>
      </x:c>
      <x:c r="AE23" s="47" t="str">
        <x:f>IFERROR(INDEX('Six-Factor Calc'!$AE$5:$AE$121,MATCH($A23,'Six-Factor Calc'!$A$5:$A$121,0)),"")</x:f>
        <x:v>OK</x:v>
      </x:c>
    </x:row>
    <x:row r="24">
      <x:c r="A24" s="12" t="n">
        <x:v>20</x:v>
      </x:c>
      <x:c r="B24" s="47" t="str">
        <x:f>IFERROR(INDEX('Six-Factor Calc'!$B$5:$B$121,MATCH($A24,'Six-Factor Calc'!$A$5:$A$121,0)),"")</x:f>
        <x:v>AR</x:v>
      </x:c>
      <x:c r="C24" s="47" t="str">
        <x:f>IFERROR(INDEX('Six-Factor Calc'!$C$5:$C$121,MATCH($A24,'Six-Factor Calc'!$A$5:$A$121,0)),"")</x:f>
        <x:v>Antero Resources Corp.</x:v>
      </x:c>
      <x:c r="D24" s="49" t="str">
        <x:f>IFERROR(INDEX('Six-Factor Calc'!$D$5:$D$121,MATCH($A24,'Six-Factor Calc'!$A$5:$A$121,0)),"")</x:f>
        <x:v>Long</x:v>
      </x:c>
      <x:c r="E24" s="49" t="n">
        <x:f>IFERROR(INDEX('Six-Factor Calc'!$E$5:$E$121,MATCH($A24,'Six-Factor Calc'!$A$5:$A$121,0)),"")</x:f>
        <x:v>0.0036</x:v>
      </x:c>
      <x:c r="F24" s="50" t="n">
        <x:f>IFERROR(INDEX('Six-Factor Calc'!$F$5:$F$121,MATCH($A24,'Six-Factor Calc'!$A$5:$A$121,0)),"")</x:f>
        <x:v>-0.44097950803571684</x:v>
      </x:c>
      <x:c r="G24" s="50" t="n">
        <x:f>IFERROR(INDEX('Six-Factor Calc'!$G$5:$G$121,MATCH($A24,'Six-Factor Calc'!$A$5:$A$121,0)),"")</x:f>
        <x:v>-0.22215707183941671</x:v>
      </x:c>
      <x:c r="H24" s="329" t="n">
        <x:f>IFERROR(INDEX('Six-Factor Calc'!$H$5:$H$121,MATCH($A24,'Six-Factor Calc'!$A$5:$A$121,0)),"")</x:f>
        <x:v>6.742480577892871</x:v>
      </x:c>
      <x:c r="I24" s="47" t="n">
        <x:f>IFERROR(INDEX('Six-Factor Calc'!$I$5:$I$121,MATCH($A24,'Six-Factor Calc'!$A$5:$A$121,0)),"")</x:f>
        <x:v>6</x:v>
      </x:c>
      <x:c r="J24" s="52" t="n">
        <x:f>IFERROR(INDEX('Six-Factor Calc'!$J$5:$J$121,MATCH($A24,'Six-Factor Calc'!$A$5:$A$121,0)),"")</x:f>
        <x:v>5.577586206896552</x:v>
      </x:c>
      <x:c r="K24" s="47" t="n">
        <x:f>IFERROR(INDEX('Six-Factor Calc'!$K$5:$K$121,MATCH($A24,'Six-Factor Calc'!$A$5:$A$121,0)),"")</x:f>
        <x:v>58</x:v>
      </x:c>
      <x:c r="L24" s="52" t="n">
        <x:f>IFERROR(INDEX('Six-Factor Calc'!$L$5:$L$121,MATCH($A24,'Six-Factor Calc'!$A$5:$A$121,0)),"")</x:f>
        <x:v>8.895454545454545</x:v>
      </x:c>
      <x:c r="M24" s="47" t="n">
        <x:f>IFERROR(INDEX('Six-Factor Calc'!$M$5:$M$121,MATCH($A24,'Six-Factor Calc'!$A$5:$A$121,0)),"")</x:f>
        <x:v>5</x:v>
      </x:c>
      <x:c r="N24" s="47" t="str">
        <x:f>IFERROR(INDEX('Six-Factor Calc'!$N$5:$N$121,MATCH($A24,'Six-Factor Calc'!$A$5:$A$121,0)),"")</x:f>
        <x:v>SUE + CAR3</x:v>
      </x:c>
      <x:c r="O24" s="52" t="n">
        <x:f>IFERROR(INDEX('Six-Factor Calc'!$O$5:$O$121,MATCH($A24,'Six-Factor Calc'!$A$5:$A$121,0)),"")</x:f>
        <x:v>8.83</x:v>
      </x:c>
      <x:c r="P24" s="47" t="n">
        <x:f>IFERROR(INDEX('Six-Factor Calc'!$P$5:$P$121,MATCH($A24,'Six-Factor Calc'!$A$5:$A$121,0)),"")</x:f>
        <x:v>16</x:v>
      </x:c>
      <x:c r="Q24" s="50" t="n">
        <x:f>IFERROR(INDEX('Six-Factor Calc'!$Q$5:$Q$121,MATCH($A24,'Six-Factor Calc'!$A$5:$A$121,0)),"")</x:f>
        <x:v>1.04479</x:v>
      </x:c>
      <x:c r="R24" s="50" t="n">
        <x:f>IFERROR(INDEX('Six-Factor Calc'!$R$5:$R$121,MATCH($A24,'Six-Factor Calc'!$A$5:$A$121,0)),"")</x:f>
        <x:v>1.01639</x:v>
      </x:c>
      <x:c r="S24" s="317" t="n">
        <x:f>IFERROR(INDEX('Six-Factor Calc'!$S$5:$S$121,MATCH($A24,'Six-Factor Calc'!$A$5:$A$121,0)),"")</x:f>
        <x:v>0.027942030126231275</x:v>
      </x:c>
      <x:c r="T24" s="47" t="str">
        <x:f>IFERROR(INDEX('Six-Factor Calc'!$T$5:$T$121,MATCH($A24,'Six-Factor Calc'!$A$5:$A$121,0)),"")</x:f>
        <x:v>OK</x:v>
      </x:c>
      <x:c r="U24" s="52" t="n">
        <x:f>IFERROR(INDEX('Six-Factor Calc'!$U$5:$U$121,MATCH($A24,'Six-Factor Calc'!$A$5:$A$121,0)),"")</x:f>
        <x:v>8.292293853073463</x:v>
      </x:c>
      <x:c r="V24" s="47" t="n">
        <x:f>IFERROR(INDEX('Six-Factor Calc'!$V$5:$V$121,MATCH($A24,'Six-Factor Calc'!$A$5:$A$121,0)),"")</x:f>
        <x:v>18</x:v>
      </x:c>
      <x:c r="W24" s="52" t="n">
        <x:f>IFERROR(INDEX('Six-Factor Calc'!$W$5:$W$121,MATCH($A24,'Six-Factor Calc'!$A$5:$A$121,0)),"")</x:f>
        <x:v>5.192758620689655</x:v>
      </x:c>
      <x:c r="X24" s="47" t="n">
        <x:f>IFERROR(INDEX('Six-Factor Calc'!$X$5:$X$121,MATCH($A24,'Six-Factor Calc'!$A$5:$A$121,0)),"")</x:f>
        <x:v>56</x:v>
      </x:c>
      <x:c r="Y24" s="52" t="n">
        <x:f>IFERROR(INDEX('Six-Factor Calc'!$Y$5:$Y$121,MATCH($A24,'Six-Factor Calc'!$A$5:$A$121,0)),"")</x:f>
        <x:v>1.3879310344827587</x:v>
      </x:c>
      <x:c r="Z24" s="47" t="n">
        <x:f>IFERROR(INDEX('Six-Factor Calc'!$Z$5:$Z$121,MATCH($A24,'Six-Factor Calc'!$A$5:$A$121,0)),"")</x:f>
        <x:v>112</x:v>
      </x:c>
      <x:c r="AA24" s="47" t="str">
        <x:f>IFERROR(INDEX('Six-Factor Calc'!$AA$5:$AA$121,MATCH($A24,'Six-Factor Calc'!$A$5:$A$121,0)),"")</x:f>
        <x:v>Energy</x:v>
      </x:c>
      <x:c r="AB24" s="54" t="n">
        <x:f>IFERROR(INDEX('Six-Factor Calc'!$AB$5:$AB$121,MATCH($A24,'Six-Factor Calc'!$A$5:$A$121,0)),"")</x:f>
        <x:v>46213</x:v>
      </x:c>
      <x:c r="AC24" s="54" t="n">
        <x:f>IFERROR(INDEX('Six-Factor Calc'!$AC$5:$AC$121,MATCH($A24,'Six-Factor Calc'!$A$5:$A$121,0)),"")</x:f>
        <x:v>46112</x:v>
      </x:c>
      <x:c r="AD24" s="54" t="n">
        <x:f>IFERROR(INDEX('Six-Factor Calc'!$AD$5:$AD$121,MATCH($A24,'Six-Factor Calc'!$A$5:$A$121,0)),"")</x:f>
        <x:v>46022</x:v>
      </x:c>
      <x:c r="AE24" s="47" t="str">
        <x:f>IFERROR(INDEX('Six-Factor Calc'!$AE$5:$AE$121,MATCH($A24,'Six-Factor Calc'!$A$5:$A$121,0)),"")</x:f>
        <x:v>OK</x:v>
      </x:c>
    </x:row>
    <x:row r="25">
      <x:c r="A25" s="12" t="n">
        <x:v>21</x:v>
      </x:c>
      <x:c r="B25" s="47" t="str">
        <x:f>IFERROR(INDEX('Six-Factor Calc'!$B$5:$B$121,MATCH($A25,'Six-Factor Calc'!$A$5:$A$121,0)),"")</x:f>
        <x:v>DG</x:v>
      </x:c>
      <x:c r="C25" s="47" t="str">
        <x:f>IFERROR(INDEX('Six-Factor Calc'!$C$5:$C$121,MATCH($A25,'Six-Factor Calc'!$A$5:$A$121,0)),"")</x:f>
        <x:v>Dollar General Corp.</x:v>
      </x:c>
      <x:c r="D25" s="49" t="str">
        <x:f>IFERROR(INDEX('Six-Factor Calc'!$D$5:$D$121,MATCH($A25,'Six-Factor Calc'!$A$5:$A$121,0)),"")</x:f>
        <x:v>Short</x:v>
      </x:c>
      <x:c r="E25" s="49" t="n">
        <x:f>IFERROR(INDEX('Six-Factor Calc'!$E$5:$E$121,MATCH($A25,'Six-Factor Calc'!$A$5:$A$121,0)),"")</x:f>
        <x:v>-0.00409</x:v>
      </x:c>
      <x:c r="F25" s="50" t="n">
        <x:f>IFERROR(INDEX('Six-Factor Calc'!$F$5:$F$121,MATCH($A25,'Six-Factor Calc'!$A$5:$A$121,0)),"")</x:f>
        <x:v>0.3848630386001466</x:v>
      </x:c>
      <x:c r="G25" s="50" t="n">
        <x:f>IFERROR(INDEX('Six-Factor Calc'!$G$5:$G$121,MATCH($A25,'Six-Factor Calc'!$A$5:$A$121,0)),"")</x:f>
        <x:v>0.10803784964404088</x:v>
      </x:c>
      <x:c r="H25" s="329" t="n">
        <x:f>IFERROR(INDEX('Six-Factor Calc'!$H$5:$H$121,MATCH($A25,'Six-Factor Calc'!$A$5:$A$121,0)),"")</x:f>
        <x:v>6.679154286493118</x:v>
      </x:c>
      <x:c r="I25" s="47" t="n">
        <x:f>IFERROR(INDEX('Six-Factor Calc'!$I$5:$I$121,MATCH($A25,'Six-Factor Calc'!$A$5:$A$121,0)),"")</x:f>
        <x:v>6</x:v>
      </x:c>
      <x:c r="J25" s="52" t="n">
        <x:f>IFERROR(INDEX('Six-Factor Calc'!$J$5:$J$121,MATCH($A25,'Six-Factor Calc'!$A$5:$A$121,0)),"")</x:f>
        <x:v>7.206896551724139</x:v>
      </x:c>
      <x:c r="K25" s="47" t="n">
        <x:f>IFERROR(INDEX('Six-Factor Calc'!$K$5:$K$121,MATCH($A25,'Six-Factor Calc'!$A$5:$A$121,0)),"")</x:f>
        <x:v>37</x:v>
      </x:c>
      <x:c r="L25" s="52" t="n">
        <x:f>IFERROR(INDEX('Six-Factor Calc'!$L$5:$L$121,MATCH($A25,'Six-Factor Calc'!$A$5:$A$121,0)),"")</x:f>
        <x:v>4.500395256916995</x:v>
      </x:c>
      <x:c r="M25" s="47" t="n">
        <x:f>IFERROR(INDEX('Six-Factor Calc'!$M$5:$M$121,MATCH($A25,'Six-Factor Calc'!$A$5:$A$121,0)),"")</x:f>
        <x:v>80</x:v>
      </x:c>
      <x:c r="N25" s="47" t="str">
        <x:f>IFERROR(INDEX('Six-Factor Calc'!$N$5:$N$121,MATCH($A25,'Six-Factor Calc'!$A$5:$A$121,0)),"")</x:f>
        <x:v>SUE + CAR3</x:v>
      </x:c>
      <x:c r="O25" s="52" t="n">
        <x:f>IFERROR(INDEX('Six-Factor Calc'!$O$5:$O$121,MATCH($A25,'Six-Factor Calc'!$A$5:$A$121,0)),"")</x:f>
        <x:v>6.8950000000000005</x:v>
      </x:c>
      <x:c r="P25" s="47" t="n">
        <x:f>IFERROR(INDEX('Six-Factor Calc'!$P$5:$P$121,MATCH($A25,'Six-Factor Calc'!$A$5:$A$121,0)),"")</x:f>
        <x:v>41</x:v>
      </x:c>
      <x:c r="Q25" s="50" t="n">
        <x:f>IFERROR(INDEX('Six-Factor Calc'!$Q$5:$Q$121,MATCH($A25,'Six-Factor Calc'!$A$5:$A$121,0)),"")</x:f>
        <x:v>2.00281</x:v>
      </x:c>
      <x:c r="R25" s="50" t="n">
        <x:f>IFERROR(INDEX('Six-Factor Calc'!$R$5:$R$121,MATCH($A25,'Six-Factor Calc'!$A$5:$A$121,0)),"")</x:f>
        <x:v>1.99483</x:v>
      </x:c>
      <x:c r="S25" s="317" t="n">
        <x:f>IFERROR(INDEX('Six-Factor Calc'!$S$5:$S$121,MATCH($A25,'Six-Factor Calc'!$A$5:$A$121,0)),"")</x:f>
        <x:v>0.0040003408811778935</x:v>
      </x:c>
      <x:c r="T25" s="47" t="str">
        <x:f>IFERROR(INDEX('Six-Factor Calc'!$T$5:$T$121,MATCH($A25,'Six-Factor Calc'!$A$5:$A$121,0)),"")</x:f>
        <x:v>OK</x:v>
      </x:c>
      <x:c r="U25" s="52" t="n">
        <x:f>IFERROR(INDEX('Six-Factor Calc'!$U$5:$U$121,MATCH($A25,'Six-Factor Calc'!$A$5:$A$121,0)),"")</x:f>
        <x:v>7.331068215892054</x:v>
      </x:c>
      <x:c r="V25" s="47" t="n">
        <x:f>IFERROR(INDEX('Six-Factor Calc'!$V$5:$V$121,MATCH($A25,'Six-Factor Calc'!$A$5:$A$121,0)),"")</x:f>
        <x:v>26</x:v>
      </x:c>
      <x:c r="W25" s="52" t="n">
        <x:f>IFERROR(INDEX('Six-Factor Calc'!$W$5:$W$121,MATCH($A25,'Six-Factor Calc'!$A$5:$A$121,0)),"")</x:f>
        <x:v>6.795689655172414</x:v>
      </x:c>
      <x:c r="X25" s="47" t="n">
        <x:f>IFERROR(INDEX('Six-Factor Calc'!$X$5:$X$121,MATCH($A25,'Six-Factor Calc'!$A$5:$A$121,0)),"")</x:f>
        <x:v>26</x:v>
      </x:c>
      <x:c r="Y25" s="52" t="n">
        <x:f>IFERROR(INDEX('Six-Factor Calc'!$Y$5:$Y$121,MATCH($A25,'Six-Factor Calc'!$A$5:$A$121,0)),"")</x:f>
        <x:v>9.301724137931034</x:v>
      </x:c>
      <x:c r="Z25" s="47" t="n">
        <x:f>IFERROR(INDEX('Six-Factor Calc'!$Z$5:$Z$121,MATCH($A25,'Six-Factor Calc'!$A$5:$A$121,0)),"")</x:f>
        <x:v>10</x:v>
      </x:c>
      <x:c r="AA25" s="47" t="str">
        <x:f>IFERROR(INDEX('Six-Factor Calc'!$AA$5:$AA$121,MATCH($A25,'Six-Factor Calc'!$A$5:$A$121,0)),"")</x:f>
        <x:v>Consumer Discretionary</x:v>
      </x:c>
      <x:c r="AB25" s="54" t="n">
        <x:f>IFERROR(INDEX('Six-Factor Calc'!$AB$5:$AB$121,MATCH($A25,'Six-Factor Calc'!$A$5:$A$121,0)),"")</x:f>
        <x:v>46213</x:v>
      </x:c>
      <x:c r="AC25" s="54" t="n">
        <x:f>IFERROR(INDEX('Six-Factor Calc'!$AC$5:$AC$121,MATCH($A25,'Six-Factor Calc'!$A$5:$A$121,0)),"")</x:f>
        <x:v>46143</x:v>
      </x:c>
      <x:c r="AD25" s="54" t="n">
        <x:f>IFERROR(INDEX('Six-Factor Calc'!$AD$5:$AD$121,MATCH($A25,'Six-Factor Calc'!$A$5:$A$121,0)),"")</x:f>
        <x:v>46052</x:v>
      </x:c>
      <x:c r="AE25" s="47" t="str">
        <x:f>IFERROR(INDEX('Six-Factor Calc'!$AE$5:$AE$121,MATCH($A25,'Six-Factor Calc'!$A$5:$A$121,0)),"")</x:f>
        <x:v>OK</x:v>
      </x:c>
    </x:row>
    <x:row r="26">
      <x:c r="A26" s="12" t="n">
        <x:v>22</x:v>
      </x:c>
      <x:c r="B26" s="47" t="str">
        <x:f>IFERROR(INDEX('Six-Factor Calc'!$B$5:$B$121,MATCH($A26,'Six-Factor Calc'!$A$5:$A$121,0)),"")</x:f>
        <x:v>MKTX</x:v>
      </x:c>
      <x:c r="C26" s="47" t="str">
        <x:f>IFERROR(INDEX('Six-Factor Calc'!$C$5:$C$121,MATCH($A26,'Six-Factor Calc'!$A$5:$A$121,0)),"")</x:f>
        <x:v>MarketAxess Holdings Inc.</x:v>
      </x:c>
      <x:c r="D26" s="49" t="str">
        <x:f>IFERROR(INDEX('Six-Factor Calc'!$D$5:$D$121,MATCH($A26,'Six-Factor Calc'!$A$5:$A$121,0)),"")</x:f>
        <x:v>Long</x:v>
      </x:c>
      <x:c r="E26" s="49" t="n">
        <x:f>IFERROR(INDEX('Six-Factor Calc'!$E$5:$E$121,MATCH($A26,'Six-Factor Calc'!$A$5:$A$121,0)),"")</x:f>
        <x:v>0.003328</x:v>
      </x:c>
      <x:c r="F26" s="50" t="n">
        <x:f>IFERROR(INDEX('Six-Factor Calc'!$F$5:$F$121,MATCH($A26,'Six-Factor Calc'!$A$5:$A$121,0)),"")</x:f>
        <x:v>0.2501981189783589</x:v>
      </x:c>
      <x:c r="G26" s="50" t="n">
        <x:f>IFERROR(INDEX('Six-Factor Calc'!$G$5:$G$121,MATCH($A26,'Six-Factor Calc'!$A$5:$A$121,0)),"")</x:f>
        <x:v>0.0022505783818832096</x:v>
      </x:c>
      <x:c r="H26" s="329" t="n">
        <x:f>IFERROR(INDEX('Six-Factor Calc'!$H$5:$H$121,MATCH($A26,'Six-Factor Calc'!$A$5:$A$121,0)),"")</x:f>
        <x:v>6.631129889600655</x:v>
      </x:c>
      <x:c r="I26" s="47" t="n">
        <x:f>IFERROR(INDEX('Six-Factor Calc'!$I$5:$I$121,MATCH($A26,'Six-Factor Calc'!$A$5:$A$121,0)),"")</x:f>
        <x:v>6</x:v>
      </x:c>
      <x:c r="J26" s="52" t="n">
        <x:f>IFERROR(INDEX('Six-Factor Calc'!$J$5:$J$121,MATCH($A26,'Six-Factor Calc'!$A$5:$A$121,0)),"")</x:f>
        <x:v>8.99137931034483</x:v>
      </x:c>
      <x:c r="K26" s="47" t="n">
        <x:f>IFERROR(INDEX('Six-Factor Calc'!$K$5:$K$121,MATCH($A26,'Six-Factor Calc'!$A$5:$A$121,0)),"")</x:f>
        <x:v>14</x:v>
      </x:c>
      <x:c r="L26" s="52" t="n">
        <x:f>IFERROR(INDEX('Six-Factor Calc'!$L$5:$L$121,MATCH($A26,'Six-Factor Calc'!$A$5:$A$121,0)),"")</x:f>
        <x:v>6.412450592885375</x:v>
      </x:c>
      <x:c r="M26" s="47" t="n">
        <x:f>IFERROR(INDEX('Six-Factor Calc'!$M$5:$M$121,MATCH($A26,'Six-Factor Calc'!$A$5:$A$121,0)),"")</x:f>
        <x:v>37</x:v>
      </x:c>
      <x:c r="N26" s="47" t="str">
        <x:f>IFERROR(INDEX('Six-Factor Calc'!$N$5:$N$121,MATCH($A26,'Six-Factor Calc'!$A$5:$A$121,0)),"")</x:f>
        <x:v>SUE + CAR3</x:v>
      </x:c>
      <x:c r="O26" s="52" t="n">
        <x:f>IFERROR(INDEX('Six-Factor Calc'!$O$5:$O$121,MATCH($A26,'Six-Factor Calc'!$A$5:$A$121,0)),"")</x:f>
        <x:v>3.25</x:v>
      </x:c>
      <x:c r="P26" s="47" t="n">
        <x:f>IFERROR(INDEX('Six-Factor Calc'!$P$5:$P$121,MATCH($A26,'Six-Factor Calc'!$A$5:$A$121,0)),"")</x:f>
        <x:v>86</x:v>
      </x:c>
      <x:c r="Q26" s="50" t="n">
        <x:f>IFERROR(INDEX('Six-Factor Calc'!$Q$5:$Q$121,MATCH($A26,'Six-Factor Calc'!$A$5:$A$121,0)),"")</x:f>
        <x:v>1.96738</x:v>
      </x:c>
      <x:c r="R26" s="50" t="n">
        <x:f>IFERROR(INDEX('Six-Factor Calc'!$R$5:$R$121,MATCH($A26,'Six-Factor Calc'!$A$5:$A$121,0)),"")</x:f>
        <x:v>2.01392</x:v>
      </x:c>
      <x:c r="S26" s="317" t="n">
        <x:f>IFERROR(INDEX('Six-Factor Calc'!$S$5:$S$121,MATCH($A26,'Six-Factor Calc'!$A$5:$A$121,0)),"")</x:f>
        <x:v>-0.02310916024469703</x:v>
      </x:c>
      <x:c r="T26" s="47" t="str">
        <x:f>IFERROR(INDEX('Six-Factor Calc'!$T$5:$T$121,MATCH($A26,'Six-Factor Calc'!$A$5:$A$121,0)),"")</x:f>
        <x:v>OK</x:v>
      </x:c>
      <x:c r="U26" s="52" t="n">
        <x:f>IFERROR(INDEX('Six-Factor Calc'!$U$5:$U$121,MATCH($A26,'Six-Factor Calc'!$A$5:$A$121,0)),"")</x:f>
        <x:v>6.353448275862069</x:v>
      </x:c>
      <x:c r="V26" s="47" t="n">
        <x:f>IFERROR(INDEX('Six-Factor Calc'!$V$5:$V$121,MATCH($A26,'Six-Factor Calc'!$A$5:$A$121,0)),"")</x:f>
        <x:v>38</x:v>
      </x:c>
      <x:c r="W26" s="52" t="n">
        <x:f>IFERROR(INDEX('Six-Factor Calc'!$W$5:$W$121,MATCH($A26,'Six-Factor Calc'!$A$5:$A$121,0)),"")</x:f>
        <x:v>4.258620689655172</x:v>
      </x:c>
      <x:c r="X26" s="47" t="n">
        <x:f>IFERROR(INDEX('Six-Factor Calc'!$X$5:$X$121,MATCH($A26,'Six-Factor Calc'!$A$5:$A$121,0)),"")</x:f>
        <x:v>79</x:v>
      </x:c>
      <x:c r="Y26" s="52" t="n">
        <x:f>IFERROR(INDEX('Six-Factor Calc'!$Y$5:$Y$121,MATCH($A26,'Six-Factor Calc'!$A$5:$A$121,0)),"")</x:f>
        <x:v>9.53448275862069</x:v>
      </x:c>
      <x:c r="Z26" s="47" t="n">
        <x:f>IFERROR(INDEX('Six-Factor Calc'!$Z$5:$Z$121,MATCH($A26,'Six-Factor Calc'!$A$5:$A$121,0)),"")</x:f>
        <x:v>7</x:v>
      </x:c>
      <x:c r="AA26" s="47" t="str">
        <x:f>IFERROR(INDEX('Six-Factor Calc'!$AA$5:$AA$121,MATCH($A26,'Six-Factor Calc'!$A$5:$A$121,0)),"")</x:f>
        <x:v>Finance</x:v>
      </x:c>
      <x:c r="AB26" s="54" t="n">
        <x:f>IFERROR(INDEX('Six-Factor Calc'!$AB$5:$AB$121,MATCH($A26,'Six-Factor Calc'!$A$5:$A$121,0)),"")</x:f>
        <x:v>46213</x:v>
      </x:c>
      <x:c r="AC26" s="54" t="n">
        <x:f>IFERROR(INDEX('Six-Factor Calc'!$AC$5:$AC$121,MATCH($A26,'Six-Factor Calc'!$A$5:$A$121,0)),"")</x:f>
        <x:v>46112</x:v>
      </x:c>
      <x:c r="AD26" s="54" t="n">
        <x:f>IFERROR(INDEX('Six-Factor Calc'!$AD$5:$AD$121,MATCH($A26,'Six-Factor Calc'!$A$5:$A$121,0)),"")</x:f>
        <x:v>46022</x:v>
      </x:c>
      <x:c r="AE26" s="47" t="str">
        <x:f>IFERROR(INDEX('Six-Factor Calc'!$AE$5:$AE$121,MATCH($A26,'Six-Factor Calc'!$A$5:$A$121,0)),"")</x:f>
        <x:v>OK</x:v>
      </x:c>
    </x:row>
    <x:row r="27">
      <x:c r="A27" s="12" t="n">
        <x:v>23</x:v>
      </x:c>
      <x:c r="B27" s="47" t="str">
        <x:f>IFERROR(INDEX('Six-Factor Calc'!$B$5:$B$121,MATCH($A27,'Six-Factor Calc'!$A$5:$A$121,0)),"")</x:f>
        <x:v>AIG</x:v>
      </x:c>
      <x:c r="C27" s="47" t="str">
        <x:f>IFERROR(INDEX('Six-Factor Calc'!$C$5:$C$121,MATCH($A27,'Six-Factor Calc'!$A$5:$A$121,0)),"")</x:f>
        <x:v>American International Group Inc.</x:v>
      </x:c>
      <x:c r="D27" s="49" t="str">
        <x:f>IFERROR(INDEX('Six-Factor Calc'!$D$5:$D$121,MATCH($A27,'Six-Factor Calc'!$A$5:$A$121,0)),"")</x:f>
        <x:v>Long</x:v>
      </x:c>
      <x:c r="E27" s="49" t="n">
        <x:f>IFERROR(INDEX('Six-Factor Calc'!$E$5:$E$121,MATCH($A27,'Six-Factor Calc'!$A$5:$A$121,0)),"")</x:f>
        <x:v>0.004084</x:v>
      </x:c>
      <x:c r="F27" s="50" t="n">
        <x:f>IFERROR(INDEX('Six-Factor Calc'!$F$5:$F$121,MATCH($A27,'Six-Factor Calc'!$A$5:$A$121,0)),"")</x:f>
        <x:v>0.12996000382650574</x:v>
      </x:c>
      <x:c r="G27" s="50" t="n">
        <x:f>IFERROR(INDEX('Six-Factor Calc'!$G$5:$G$121,MATCH($A27,'Six-Factor Calc'!$A$5:$A$121,0)),"")</x:f>
        <x:v>-0.10806174081467458</x:v>
      </x:c>
      <x:c r="H27" s="329" t="n">
        <x:f>IFERROR(INDEX('Six-Factor Calc'!$H$5:$H$121,MATCH($A27,'Six-Factor Calc'!$A$5:$A$121,0)),"")</x:f>
        <x:v>6.617624982963064</x:v>
      </x:c>
      <x:c r="I27" s="47" t="n">
        <x:f>IFERROR(INDEX('Six-Factor Calc'!$I$5:$I$121,MATCH($A27,'Six-Factor Calc'!$A$5:$A$121,0)),"")</x:f>
        <x:v>6</x:v>
      </x:c>
      <x:c r="J27" s="52" t="n">
        <x:f>IFERROR(INDEX('Six-Factor Calc'!$J$5:$J$121,MATCH($A27,'Six-Factor Calc'!$A$5:$A$121,0)),"")</x:f>
        <x:v>4.491379310344827</x:v>
      </x:c>
      <x:c r="K27" s="47" t="n">
        <x:f>IFERROR(INDEX('Six-Factor Calc'!$K$5:$K$121,MATCH($A27,'Six-Factor Calc'!$A$5:$A$121,0)),"")</x:f>
        <x:v>72</x:v>
      </x:c>
      <x:c r="L27" s="52" t="n">
        <x:f>IFERROR(INDEX('Six-Factor Calc'!$L$5:$L$121,MATCH($A27,'Six-Factor Calc'!$A$5:$A$121,0)),"")</x:f>
        <x:v>6.465810276679842</x:v>
      </x:c>
      <x:c r="M27" s="47" t="n">
        <x:f>IFERROR(INDEX('Six-Factor Calc'!$M$5:$M$121,MATCH($A27,'Six-Factor Calc'!$A$5:$A$121,0)),"")</x:f>
        <x:v>36</x:v>
      </x:c>
      <x:c r="N27" s="47" t="str">
        <x:f>IFERROR(INDEX('Six-Factor Calc'!$N$5:$N$121,MATCH($A27,'Six-Factor Calc'!$A$5:$A$121,0)),"")</x:f>
        <x:v>SUE + CAR3</x:v>
      </x:c>
      <x:c r="O27" s="52" t="n">
        <x:f>IFERROR(INDEX('Six-Factor Calc'!$O$5:$O$121,MATCH($A27,'Six-Factor Calc'!$A$5:$A$121,0)),"")</x:f>
        <x:v>4.9510000000000005</x:v>
      </x:c>
      <x:c r="P27" s="47" t="n">
        <x:f>IFERROR(INDEX('Six-Factor Calc'!$P$5:$P$121,MATCH($A27,'Six-Factor Calc'!$A$5:$A$121,0)),"")</x:f>
        <x:v>64</x:v>
      </x:c>
      <x:c r="Q27" s="50" t="n">
        <x:f>IFERROR(INDEX('Six-Factor Calc'!$Q$5:$Q$121,MATCH($A27,'Six-Factor Calc'!$A$5:$A$121,0)),"")</x:f>
        <x:v>1.8173</x:v>
      </x:c>
      <x:c r="R27" s="50" t="n">
        <x:f>IFERROR(INDEX('Six-Factor Calc'!$R$5:$R$121,MATCH($A27,'Six-Factor Calc'!$A$5:$A$121,0)),"")</x:f>
        <x:v>1.82927</x:v>
      </x:c>
      <x:c r="S27" s="317" t="n">
        <x:f>IFERROR(INDEX('Six-Factor Calc'!$S$5:$S$121,MATCH($A27,'Six-Factor Calc'!$A$5:$A$121,0)),"")</x:f>
        <x:v>-0.00654359389264572</x:v>
      </x:c>
      <x:c r="T27" s="47" t="str">
        <x:f>IFERROR(INDEX('Six-Factor Calc'!$T$5:$T$121,MATCH($A27,'Six-Factor Calc'!$A$5:$A$121,0)),"")</x:f>
        <x:v>OK</x:v>
      </x:c>
      <x:c r="U27" s="52" t="n">
        <x:f>IFERROR(INDEX('Six-Factor Calc'!$U$5:$U$121,MATCH($A27,'Six-Factor Calc'!$A$5:$A$121,0)),"")</x:f>
        <x:v>8.875</x:v>
      </x:c>
      <x:c r="V27" s="47" t="n">
        <x:f>IFERROR(INDEX('Six-Factor Calc'!$V$5:$V$121,MATCH($A27,'Six-Factor Calc'!$A$5:$A$121,0)),"")</x:f>
        <x:v>8</x:v>
      </x:c>
      <x:c r="W27" s="52" t="n">
        <x:f>IFERROR(INDEX('Six-Factor Calc'!$W$5:$W$121,MATCH($A27,'Six-Factor Calc'!$A$5:$A$121,0)),"")</x:f>
        <x:v>8.836206896551724</x:v>
      </x:c>
      <x:c r="X27" s="47" t="n">
        <x:f>IFERROR(INDEX('Six-Factor Calc'!$X$5:$X$121,MATCH($A27,'Six-Factor Calc'!$A$5:$A$121,0)),"")</x:f>
        <x:v>4</x:v>
      </x:c>
      <x:c r="Y27" s="52" t="n">
        <x:f>IFERROR(INDEX('Six-Factor Calc'!$Y$5:$Y$121,MATCH($A27,'Six-Factor Calc'!$A$5:$A$121,0)),"")</x:f>
        <x:v>9.767241379310345</x:v>
      </x:c>
      <x:c r="Z27" s="47" t="n">
        <x:f>IFERROR(INDEX('Six-Factor Calc'!$Z$5:$Z$121,MATCH($A27,'Six-Factor Calc'!$A$5:$A$121,0)),"")</x:f>
        <x:v>4</x:v>
      </x:c>
      <x:c r="AA27" s="47" t="str">
        <x:f>IFERROR(INDEX('Six-Factor Calc'!$AA$5:$AA$121,MATCH($A27,'Six-Factor Calc'!$A$5:$A$121,0)),"")</x:f>
        <x:v>Finance</x:v>
      </x:c>
      <x:c r="AB27" s="54" t="n">
        <x:f>IFERROR(INDEX('Six-Factor Calc'!$AB$5:$AB$121,MATCH($A27,'Six-Factor Calc'!$A$5:$A$121,0)),"")</x:f>
        <x:v>46213</x:v>
      </x:c>
      <x:c r="AC27" s="54" t="n">
        <x:f>IFERROR(INDEX('Six-Factor Calc'!$AC$5:$AC$121,MATCH($A27,'Six-Factor Calc'!$A$5:$A$121,0)),"")</x:f>
        <x:v>46112</x:v>
      </x:c>
      <x:c r="AD27" s="54" t="n">
        <x:f>IFERROR(INDEX('Six-Factor Calc'!$AD$5:$AD$121,MATCH($A27,'Six-Factor Calc'!$A$5:$A$121,0)),"")</x:f>
        <x:v>46022</x:v>
      </x:c>
      <x:c r="AE27" s="47" t="str">
        <x:f>IFERROR(INDEX('Six-Factor Calc'!$AE$5:$AE$121,MATCH($A27,'Six-Factor Calc'!$A$5:$A$121,0)),"")</x:f>
        <x:v>OK</x:v>
      </x:c>
    </x:row>
    <x:row r="28">
      <x:c r="A28" s="12" t="n">
        <x:v>24</x:v>
      </x:c>
      <x:c r="B28" s="47" t="str">
        <x:f>IFERROR(INDEX('Six-Factor Calc'!$B$5:$B$121,MATCH($A28,'Six-Factor Calc'!$A$5:$A$121,0)),"")</x:f>
        <x:v>HIG</x:v>
      </x:c>
      <x:c r="C28" s="47" t="str">
        <x:f>IFERROR(INDEX('Six-Factor Calc'!$C$5:$C$121,MATCH($A28,'Six-Factor Calc'!$A$5:$A$121,0)),"")</x:f>
        <x:v>The Hartford Insurance Group Inc.</x:v>
      </x:c>
      <x:c r="D28" s="49" t="str">
        <x:f>IFERROR(INDEX('Six-Factor Calc'!$D$5:$D$121,MATCH($A28,'Six-Factor Calc'!$A$5:$A$121,0)),"")</x:f>
        <x:v>Long</x:v>
      </x:c>
      <x:c r="E28" s="49" t="n">
        <x:f>IFERROR(INDEX('Six-Factor Calc'!$E$5:$E$121,MATCH($A28,'Six-Factor Calc'!$A$5:$A$121,0)),"")</x:f>
        <x:v>0.004057</x:v>
      </x:c>
      <x:c r="F28" s="50" t="n">
        <x:f>IFERROR(INDEX('Six-Factor Calc'!$F$5:$F$121,MATCH($A28,'Six-Factor Calc'!$A$5:$A$121,0)),"")</x:f>
        <x:v>0.33558431649839665</x:v>
      </x:c>
      <x:c r="G28" s="50" t="n">
        <x:f>IFERROR(INDEX('Six-Factor Calc'!$G$5:$G$121,MATCH($A28,'Six-Factor Calc'!$A$5:$A$121,0)),"")</x:f>
        <x:v>0.06299913447400146</x:v>
      </x:c>
      <x:c r="H28" s="329" t="n">
        <x:f>IFERROR(INDEX('Six-Factor Calc'!$H$5:$H$121,MATCH($A28,'Six-Factor Calc'!$A$5:$A$121,0)),"")</x:f>
        <x:v>6.598824996592612</x:v>
      </x:c>
      <x:c r="I28" s="47" t="n">
        <x:f>IFERROR(INDEX('Six-Factor Calc'!$I$5:$I$121,MATCH($A28,'Six-Factor Calc'!$A$5:$A$121,0)),"")</x:f>
        <x:v>6</x:v>
      </x:c>
      <x:c r="J28" s="52" t="n">
        <x:f>IFERROR(INDEX('Six-Factor Calc'!$J$5:$J$121,MATCH($A28,'Six-Factor Calc'!$A$5:$A$121,0)),"")</x:f>
        <x:v>7.982758620689655</x:v>
      </x:c>
      <x:c r="K28" s="47" t="n">
        <x:f>IFERROR(INDEX('Six-Factor Calc'!$K$5:$K$121,MATCH($A28,'Six-Factor Calc'!$A$5:$A$121,0)),"")</x:f>
        <x:v>27</x:v>
      </x:c>
      <x:c r="L28" s="52" t="n">
        <x:f>IFERROR(INDEX('Six-Factor Calc'!$L$5:$L$121,MATCH($A28,'Six-Factor Calc'!$A$5:$A$121,0)),"")</x:f>
        <x:v>6.053162055335968</x:v>
      </x:c>
      <x:c r="M28" s="47" t="n">
        <x:f>IFERROR(INDEX('Six-Factor Calc'!$M$5:$M$121,MATCH($A28,'Six-Factor Calc'!$A$5:$A$121,0)),"")</x:f>
        <x:v>49</x:v>
      </x:c>
      <x:c r="N28" s="47" t="str">
        <x:f>IFERROR(INDEX('Six-Factor Calc'!$N$5:$N$121,MATCH($A28,'Six-Factor Calc'!$A$5:$A$121,0)),"")</x:f>
        <x:v>SUE + CAR3</x:v>
      </x:c>
      <x:c r="O28" s="52" t="n">
        <x:f>IFERROR(INDEX('Six-Factor Calc'!$O$5:$O$121,MATCH($A28,'Six-Factor Calc'!$A$5:$A$121,0)),"")</x:f>
        <x:v>4.177</x:v>
      </x:c>
      <x:c r="P28" s="47" t="n">
        <x:f>IFERROR(INDEX('Six-Factor Calc'!$P$5:$P$121,MATCH($A28,'Six-Factor Calc'!$A$5:$A$121,0)),"")</x:f>
        <x:v>74</x:v>
      </x:c>
      <x:c r="Q28" s="50" t="n">
        <x:f>IFERROR(INDEX('Six-Factor Calc'!$Q$5:$Q$121,MATCH($A28,'Six-Factor Calc'!$A$5:$A$121,0)),"")</x:f>
        <x:v>3.06153</x:v>
      </x:c>
      <x:c r="R28" s="50" t="n">
        <x:f>IFERROR(INDEX('Six-Factor Calc'!$R$5:$R$121,MATCH($A28,'Six-Factor Calc'!$A$5:$A$121,0)),"")</x:f>
        <x:v>3.10025</x:v>
      </x:c>
      <x:c r="S28" s="317" t="n">
        <x:f>IFERROR(INDEX('Six-Factor Calc'!$S$5:$S$121,MATCH($A28,'Six-Factor Calc'!$A$5:$A$121,0)),"")</x:f>
        <x:v>-0.012489315377792142</x:v>
      </x:c>
      <x:c r="T28" s="47" t="str">
        <x:f>IFERROR(INDEX('Six-Factor Calc'!$T$5:$T$121,MATCH($A28,'Six-Factor Calc'!$A$5:$A$121,0)),"")</x:f>
        <x:v>OK</x:v>
      </x:c>
      <x:c r="U28" s="52" t="n">
        <x:f>IFERROR(INDEX('Six-Factor Calc'!$U$5:$U$121,MATCH($A28,'Six-Factor Calc'!$A$5:$A$121,0)),"")</x:f>
        <x:v>8.060344827586206</x:v>
      </x:c>
      <x:c r="V28" s="47" t="n">
        <x:f>IFERROR(INDEX('Six-Factor Calc'!$V$5:$V$121,MATCH($A28,'Six-Factor Calc'!$A$5:$A$121,0)),"")</x:f>
        <x:v>20</x:v>
      </x:c>
      <x:c r="W28" s="52" t="n">
        <x:f>IFERROR(INDEX('Six-Factor Calc'!$W$5:$W$121,MATCH($A28,'Six-Factor Calc'!$A$5:$A$121,0)),"")</x:f>
        <x:v>5.655172413793103</x:v>
      </x:c>
      <x:c r="X28" s="47" t="n">
        <x:f>IFERROR(INDEX('Six-Factor Calc'!$X$5:$X$121,MATCH($A28,'Six-Factor Calc'!$A$5:$A$121,0)),"")</x:f>
        <x:v>48</x:v>
      </x:c>
      <x:c r="Y28" s="52" t="n">
        <x:f>IFERROR(INDEX('Six-Factor Calc'!$Y$5:$Y$121,MATCH($A28,'Six-Factor Calc'!$A$5:$A$121,0)),"")</x:f>
        <x:v>7.827586206896552</x:v>
      </x:c>
      <x:c r="Z28" s="47" t="n">
        <x:f>IFERROR(INDEX('Six-Factor Calc'!$Z$5:$Z$121,MATCH($A28,'Six-Factor Calc'!$A$5:$A$121,0)),"")</x:f>
        <x:v>29</x:v>
      </x:c>
      <x:c r="AA28" s="47" t="str">
        <x:f>IFERROR(INDEX('Six-Factor Calc'!$AA$5:$AA$121,MATCH($A28,'Six-Factor Calc'!$A$5:$A$121,0)),"")</x:f>
        <x:v>Finance</x:v>
      </x:c>
      <x:c r="AB28" s="54" t="n">
        <x:f>IFERROR(INDEX('Six-Factor Calc'!$AB$5:$AB$121,MATCH($A28,'Six-Factor Calc'!$A$5:$A$121,0)),"")</x:f>
        <x:v>46213</x:v>
      </x:c>
      <x:c r="AC28" s="54" t="n">
        <x:f>IFERROR(INDEX('Six-Factor Calc'!$AC$5:$AC$121,MATCH($A28,'Six-Factor Calc'!$A$5:$A$121,0)),"")</x:f>
        <x:v>46112</x:v>
      </x:c>
      <x:c r="AD28" s="54" t="n">
        <x:f>IFERROR(INDEX('Six-Factor Calc'!$AD$5:$AD$121,MATCH($A28,'Six-Factor Calc'!$A$5:$A$121,0)),"")</x:f>
        <x:v>46022</x:v>
      </x:c>
      <x:c r="AE28" s="47" t="str">
        <x:f>IFERROR(INDEX('Six-Factor Calc'!$AE$5:$AE$121,MATCH($A28,'Six-Factor Calc'!$A$5:$A$121,0)),"")</x:f>
        <x:v>OK</x:v>
      </x:c>
    </x:row>
    <x:row r="29">
      <x:c r="A29" s="12" t="n">
        <x:v>25</x:v>
      </x:c>
      <x:c r="B29" s="47" t="str">
        <x:f>IFERROR(INDEX('Six-Factor Calc'!$B$5:$B$121,MATCH($A29,'Six-Factor Calc'!$A$5:$A$121,0)),"")</x:f>
        <x:v>ORI</x:v>
      </x:c>
      <x:c r="C29" s="47" t="str">
        <x:f>IFERROR(INDEX('Six-Factor Calc'!$C$5:$C$121,MATCH($A29,'Six-Factor Calc'!$A$5:$A$121,0)),"")</x:f>
        <x:v>Old Republic International Corp.</x:v>
      </x:c>
      <x:c r="D29" s="49" t="str">
        <x:f>IFERROR(INDEX('Six-Factor Calc'!$D$5:$D$121,MATCH($A29,'Six-Factor Calc'!$A$5:$A$121,0)),"")</x:f>
        <x:v>Long</x:v>
      </x:c>
      <x:c r="E29" s="49" t="n">
        <x:f>IFERROR(INDEX('Six-Factor Calc'!$E$5:$E$121,MATCH($A29,'Six-Factor Calc'!$A$5:$A$121,0)),"")</x:f>
        <x:v>0.004203</x:v>
      </x:c>
      <x:c r="F29" s="50" t="n">
        <x:f>IFERROR(INDEX('Six-Factor Calc'!$F$5:$F$121,MATCH($A29,'Six-Factor Calc'!$A$5:$A$121,0)),"")</x:f>
        <x:v>0.3254570303213067</x:v>
      </x:c>
      <x:c r="G29" s="50" t="n">
        <x:f>IFERROR(INDEX('Six-Factor Calc'!$G$5:$G$121,MATCH($A29,'Six-Factor Calc'!$A$5:$A$121,0)),"")</x:f>
        <x:v>0.03553352884452829</x:v>
      </x:c>
      <x:c r="H29" s="329" t="n">
        <x:f>IFERROR(INDEX('Six-Factor Calc'!$H$5:$H$121,MATCH($A29,'Six-Factor Calc'!$A$5:$A$121,0)),"")</x:f>
        <x:v>6.532966607605287</x:v>
      </x:c>
      <x:c r="I29" s="47" t="n">
        <x:f>IFERROR(INDEX('Six-Factor Calc'!$I$5:$I$121,MATCH($A29,'Six-Factor Calc'!$A$5:$A$121,0)),"")</x:f>
        <x:v>6</x:v>
      </x:c>
      <x:c r="J29" s="52" t="n">
        <x:f>IFERROR(INDEX('Six-Factor Calc'!$J$5:$J$121,MATCH($A29,'Six-Factor Calc'!$A$5:$A$121,0)),"")</x:f>
        <x:v>8.060344827586206</x:v>
      </x:c>
      <x:c r="K29" s="47" t="n">
        <x:f>IFERROR(INDEX('Six-Factor Calc'!$K$5:$K$121,MATCH($A29,'Six-Factor Calc'!$A$5:$A$121,0)),"")</x:f>
        <x:v>26</x:v>
      </x:c>
      <x:c r="L29" s="52" t="n">
        <x:f>IFERROR(INDEX('Six-Factor Calc'!$L$5:$L$121,MATCH($A29,'Six-Factor Calc'!$A$5:$A$121,0)),"")</x:f>
        <x:v>4.438142292490118</x:v>
      </x:c>
      <x:c r="M29" s="47" t="n">
        <x:f>IFERROR(INDEX('Six-Factor Calc'!$M$5:$M$121,MATCH($A29,'Six-Factor Calc'!$A$5:$A$121,0)),"")</x:f>
        <x:v>81</x:v>
      </x:c>
      <x:c r="N29" s="47" t="str">
        <x:f>IFERROR(INDEX('Six-Factor Calc'!$N$5:$N$121,MATCH($A29,'Six-Factor Calc'!$A$5:$A$121,0)),"")</x:f>
        <x:v>SUE + CAR3</x:v>
      </x:c>
      <x:c r="O29" s="52" t="n">
        <x:f>IFERROR(INDEX('Six-Factor Calc'!$O$5:$O$121,MATCH($A29,'Six-Factor Calc'!$A$5:$A$121,0)),"")</x:f>
        <x:v>5.338</x:v>
      </x:c>
      <x:c r="P29" s="47" t="n">
        <x:f>IFERROR(INDEX('Six-Factor Calc'!$P$5:$P$121,MATCH($A29,'Six-Factor Calc'!$A$5:$A$121,0)),"")</x:f>
        <x:v>59</x:v>
      </x:c>
      <x:c r="Q29" s="50" t="n">
        <x:f>IFERROR(INDEX('Six-Factor Calc'!$Q$5:$Q$121,MATCH($A29,'Six-Factor Calc'!$A$5:$A$121,0)),"")</x:f>
        <x:v>0.79667</x:v>
      </x:c>
      <x:c r="R29" s="50" t="n">
        <x:f>IFERROR(INDEX('Six-Factor Calc'!$R$5:$R$121,MATCH($A29,'Six-Factor Calc'!$A$5:$A$121,0)),"")</x:f>
        <x:v>0.8</x:v>
      </x:c>
      <x:c r="S29" s="317" t="n">
        <x:f>IFERROR(INDEX('Six-Factor Calc'!$S$5:$S$121,MATCH($A29,'Six-Factor Calc'!$A$5:$A$121,0)),"")</x:f>
        <x:v>-0.004162500000000069</x:v>
      </x:c>
      <x:c r="T29" s="47" t="str">
        <x:f>IFERROR(INDEX('Six-Factor Calc'!$T$5:$T$121,MATCH($A29,'Six-Factor Calc'!$A$5:$A$121,0)),"")</x:f>
        <x:v>OK</x:v>
      </x:c>
      <x:c r="U29" s="52" t="n">
        <x:f>IFERROR(INDEX('Six-Factor Calc'!$U$5:$U$121,MATCH($A29,'Six-Factor Calc'!$A$5:$A$121,0)),"")</x:f>
        <x:v>8.487068965517242</x:v>
      </x:c>
      <x:c r="V29" s="47" t="n">
        <x:f>IFERROR(INDEX('Six-Factor Calc'!$V$5:$V$121,MATCH($A29,'Six-Factor Calc'!$A$5:$A$121,0)),"")</x:f>
        <x:v>11</x:v>
      </x:c>
      <x:c r="W29" s="52" t="n">
        <x:f>IFERROR(INDEX('Six-Factor Calc'!$W$5:$W$121,MATCH($A29,'Six-Factor Calc'!$A$5:$A$121,0)),"")</x:f>
        <x:v>5.189655172413794</x:v>
      </x:c>
      <x:c r="X29" s="47" t="n">
        <x:f>IFERROR(INDEX('Six-Factor Calc'!$X$5:$X$121,MATCH($A29,'Six-Factor Calc'!$A$5:$A$121,0)),"")</x:f>
        <x:v>57</x:v>
      </x:c>
      <x:c r="Y29" s="52" t="n">
        <x:f>IFERROR(INDEX('Six-Factor Calc'!$Y$5:$Y$121,MATCH($A29,'Six-Factor Calc'!$A$5:$A$121,0)),"")</x:f>
        <x:v>8.99137931034483</x:v>
      </x:c>
      <x:c r="Z29" s="47" t="n">
        <x:f>IFERROR(INDEX('Six-Factor Calc'!$Z$5:$Z$121,MATCH($A29,'Six-Factor Calc'!$A$5:$A$121,0)),"")</x:f>
        <x:v>14</x:v>
      </x:c>
      <x:c r="AA29" s="47" t="str">
        <x:f>IFERROR(INDEX('Six-Factor Calc'!$AA$5:$AA$121,MATCH($A29,'Six-Factor Calc'!$A$5:$A$121,0)),"")</x:f>
        <x:v>Finance</x:v>
      </x:c>
      <x:c r="AB29" s="54" t="n">
        <x:f>IFERROR(INDEX('Six-Factor Calc'!$AB$5:$AB$121,MATCH($A29,'Six-Factor Calc'!$A$5:$A$121,0)),"")</x:f>
        <x:v>46213</x:v>
      </x:c>
      <x:c r="AC29" s="54" t="n">
        <x:f>IFERROR(INDEX('Six-Factor Calc'!$AC$5:$AC$121,MATCH($A29,'Six-Factor Calc'!$A$5:$A$121,0)),"")</x:f>
        <x:v>46112</x:v>
      </x:c>
      <x:c r="AD29" s="54" t="n">
        <x:f>IFERROR(INDEX('Six-Factor Calc'!$AD$5:$AD$121,MATCH($A29,'Six-Factor Calc'!$A$5:$A$121,0)),"")</x:f>
        <x:v>46022</x:v>
      </x:c>
      <x:c r="AE29" s="47" t="str">
        <x:f>IFERROR(INDEX('Six-Factor Calc'!$AE$5:$AE$121,MATCH($A29,'Six-Factor Calc'!$A$5:$A$121,0)),"")</x:f>
        <x:v>OK</x:v>
      </x:c>
    </x:row>
    <x:row r="30">
      <x:c r="A30" s="12" t="n">
        <x:v>26</x:v>
      </x:c>
      <x:c r="B30" s="47" t="str">
        <x:f>IFERROR(INDEX('Six-Factor Calc'!$B$5:$B$121,MATCH($A30,'Six-Factor Calc'!$A$5:$A$121,0)),"")</x:f>
        <x:v>VZ</x:v>
      </x:c>
      <x:c r="C30" s="47" t="str">
        <x:f>IFERROR(INDEX('Six-Factor Calc'!$C$5:$C$121,MATCH($A30,'Six-Factor Calc'!$A$5:$A$121,0)),"")</x:f>
        <x:v>Verizon Communications Inc.</x:v>
      </x:c>
      <x:c r="D30" s="49" t="str">
        <x:f>IFERROR(INDEX('Six-Factor Calc'!$D$5:$D$121,MATCH($A30,'Six-Factor Calc'!$A$5:$A$121,0)),"")</x:f>
        <x:v>Long</x:v>
      </x:c>
      <x:c r="E30" s="49" t="n">
        <x:f>IFERROR(INDEX('Six-Factor Calc'!$E$5:$E$121,MATCH($A30,'Six-Factor Calc'!$A$5:$A$121,0)),"")</x:f>
        <x:v>0.003477</x:v>
      </x:c>
      <x:c r="F30" s="50" t="n">
        <x:f>IFERROR(INDEX('Six-Factor Calc'!$F$5:$F$121,MATCH($A30,'Six-Factor Calc'!$A$5:$A$121,0)),"")</x:f>
        <x:v>0.006982987901506233</x:v>
      </x:c>
      <x:c r="G30" s="50" t="n">
        <x:f>IFERROR(INDEX('Six-Factor Calc'!$G$5:$G$121,MATCH($A30,'Six-Factor Calc'!$A$5:$A$121,0)),"")</x:f>
        <x:v>-0.03572572732825695</x:v>
      </x:c>
      <x:c r="H30" s="329" t="n">
        <x:f>IFERROR(INDEX('Six-Factor Calc'!$H$5:$H$121,MATCH($A30,'Six-Factor Calc'!$A$5:$A$121,0)),"")</x:f>
        <x:v>6.516511653264276</x:v>
      </x:c>
      <x:c r="I30" s="47" t="n">
        <x:f>IFERROR(INDEX('Six-Factor Calc'!$I$5:$I$121,MATCH($A30,'Six-Factor Calc'!$A$5:$A$121,0)),"")</x:f>
        <x:v>6</x:v>
      </x:c>
      <x:c r="J30" s="52" t="n">
        <x:f>IFERROR(INDEX('Six-Factor Calc'!$J$5:$J$121,MATCH($A30,'Six-Factor Calc'!$A$5:$A$121,0)),"")</x:f>
        <x:v>7.672413793103448</x:v>
      </x:c>
      <x:c r="K30" s="47" t="n">
        <x:f>IFERROR(INDEX('Six-Factor Calc'!$K$5:$K$121,MATCH($A30,'Six-Factor Calc'!$A$5:$A$121,0)),"")</x:f>
        <x:v>31</x:v>
      </x:c>
      <x:c r="L30" s="52" t="n">
        <x:f>IFERROR(INDEX('Six-Factor Calc'!$L$5:$L$121,MATCH($A30,'Six-Factor Calc'!$A$5:$A$121,0)),"")</x:f>
        <x:v>5.368379446640316</x:v>
      </x:c>
      <x:c r="M30" s="47" t="n">
        <x:f>IFERROR(INDEX('Six-Factor Calc'!$M$5:$M$121,MATCH($A30,'Six-Factor Calc'!$A$5:$A$121,0)),"")</x:f>
        <x:v>66</x:v>
      </x:c>
      <x:c r="N30" s="47" t="str">
        <x:f>IFERROR(INDEX('Six-Factor Calc'!$N$5:$N$121,MATCH($A30,'Six-Factor Calc'!$A$5:$A$121,0)),"")</x:f>
        <x:v>SUE + CAR3</x:v>
      </x:c>
      <x:c r="O30" s="52" t="n">
        <x:f>IFERROR(INDEX('Six-Factor Calc'!$O$5:$O$121,MATCH($A30,'Six-Factor Calc'!$A$5:$A$121,0)),"")</x:f>
        <x:v>4.798</x:v>
      </x:c>
      <x:c r="P30" s="47" t="n">
        <x:f>IFERROR(INDEX('Six-Factor Calc'!$P$5:$P$121,MATCH($A30,'Six-Factor Calc'!$A$5:$A$121,0)),"")</x:f>
        <x:v>66</x:v>
      </x:c>
      <x:c r="Q30" s="50" t="n">
        <x:f>IFERROR(INDEX('Six-Factor Calc'!$Q$5:$Q$121,MATCH($A30,'Six-Factor Calc'!$A$5:$A$121,0)),"")</x:f>
        <x:v>1.28508</x:v>
      </x:c>
      <x:c r="R30" s="50" t="n">
        <x:f>IFERROR(INDEX('Six-Factor Calc'!$R$5:$R$121,MATCH($A30,'Six-Factor Calc'!$A$5:$A$121,0)),"")</x:f>
        <x:v>1.29526</x:v>
      </x:c>
      <x:c r="S30" s="317" t="n">
        <x:f>IFERROR(INDEX('Six-Factor Calc'!$S$5:$S$121,MATCH($A30,'Six-Factor Calc'!$A$5:$A$121,0)),"")</x:f>
        <x:v>-0.007859425906767813</x:v>
      </x:c>
      <x:c r="T30" s="47" t="str">
        <x:f>IFERROR(INDEX('Six-Factor Calc'!$T$5:$T$121,MATCH($A30,'Six-Factor Calc'!$A$5:$A$121,0)),"")</x:f>
        <x:v>OK</x:v>
      </x:c>
      <x:c r="U30" s="52" t="n">
        <x:f>IFERROR(INDEX('Six-Factor Calc'!$U$5:$U$121,MATCH($A30,'Six-Factor Calc'!$A$5:$A$121,0)),"")</x:f>
        <x:v>8.423785607196402</x:v>
      </x:c>
      <x:c r="V30" s="47" t="n">
        <x:f>IFERROR(INDEX('Six-Factor Calc'!$V$5:$V$121,MATCH($A30,'Six-Factor Calc'!$A$5:$A$121,0)),"")</x:f>
        <x:v>12</x:v>
      </x:c>
      <x:c r="W30" s="52" t="n">
        <x:f>IFERROR(INDEX('Six-Factor Calc'!$W$5:$W$121,MATCH($A30,'Six-Factor Calc'!$A$5:$A$121,0)),"")</x:f>
        <x:v>5.625689655172414</x:v>
      </x:c>
      <x:c r="X30" s="47" t="n">
        <x:f>IFERROR(INDEX('Six-Factor Calc'!$X$5:$X$121,MATCH($A30,'Six-Factor Calc'!$A$5:$A$121,0)),"")</x:f>
        <x:v>49</x:v>
      </x:c>
      <x:c r="Y30" s="52" t="n">
        <x:f>IFERROR(INDEX('Six-Factor Calc'!$Y$5:$Y$121,MATCH($A30,'Six-Factor Calc'!$A$5:$A$121,0)),"")</x:f>
        <x:v>8.060344827586206</x:v>
      </x:c>
      <x:c r="Z30" s="47" t="n">
        <x:f>IFERROR(INDEX('Six-Factor Calc'!$Z$5:$Z$121,MATCH($A30,'Six-Factor Calc'!$A$5:$A$121,0)),"")</x:f>
        <x:v>26</x:v>
      </x:c>
      <x:c r="AA30" s="47" t="str">
        <x:f>IFERROR(INDEX('Six-Factor Calc'!$AA$5:$AA$121,MATCH($A30,'Six-Factor Calc'!$A$5:$A$121,0)),"")</x:f>
        <x:v>Telecommunications</x:v>
      </x:c>
      <x:c r="AB30" s="54" t="n">
        <x:f>IFERROR(INDEX('Six-Factor Calc'!$AB$5:$AB$121,MATCH($A30,'Six-Factor Calc'!$A$5:$A$121,0)),"")</x:f>
        <x:v>46213</x:v>
      </x:c>
      <x:c r="AC30" s="54" t="n">
        <x:f>IFERROR(INDEX('Six-Factor Calc'!$AC$5:$AC$121,MATCH($A30,'Six-Factor Calc'!$A$5:$A$121,0)),"")</x:f>
        <x:v>46112</x:v>
      </x:c>
      <x:c r="AD30" s="54" t="n">
        <x:f>IFERROR(INDEX('Six-Factor Calc'!$AD$5:$AD$121,MATCH($A30,'Six-Factor Calc'!$A$5:$A$121,0)),"")</x:f>
        <x:v>46022</x:v>
      </x:c>
      <x:c r="AE30" s="47" t="str">
        <x:f>IFERROR(INDEX('Six-Factor Calc'!$AE$5:$AE$121,MATCH($A30,'Six-Factor Calc'!$A$5:$A$121,0)),"")</x:f>
        <x:v>OK</x:v>
      </x:c>
    </x:row>
    <x:row r="31">
      <x:c r="A31" s="12" t="n">
        <x:v>27</x:v>
      </x:c>
      <x:c r="B31" s="47" t="str">
        <x:f>IFERROR(INDEX('Six-Factor Calc'!$B$5:$B$121,MATCH($A31,'Six-Factor Calc'!$A$5:$A$121,0)),"")</x:f>
        <x:v>CF</x:v>
      </x:c>
      <x:c r="C31" s="47" t="str">
        <x:f>IFERROR(INDEX('Six-Factor Calc'!$C$5:$C$121,MATCH($A31,'Six-Factor Calc'!$A$5:$A$121,0)),"")</x:f>
        <x:v>CF Industries Holdings Inc.</x:v>
      </x:c>
      <x:c r="D31" s="49" t="str">
        <x:f>IFERROR(INDEX('Six-Factor Calc'!$D$5:$D$121,MATCH($A31,'Six-Factor Calc'!$A$5:$A$121,0)),"")</x:f>
        <x:v>Long</x:v>
      </x:c>
      <x:c r="E31" s="49" t="n">
        <x:f>IFERROR(INDEX('Six-Factor Calc'!$E$5:$E$121,MATCH($A31,'Six-Factor Calc'!$A$5:$A$121,0)),"")</x:f>
        <x:v>0.00382</x:v>
      </x:c>
      <x:c r="F31" s="50" t="n">
        <x:f>IFERROR(INDEX('Six-Factor Calc'!$F$5:$F$121,MATCH($A31,'Six-Factor Calc'!$A$5:$A$121,0)),"")</x:f>
        <x:v>0.06281880491654097</x:v>
      </x:c>
      <x:c r="G31" s="50" t="n">
        <x:f>IFERROR(INDEX('Six-Factor Calc'!$G$5:$G$121,MATCH($A31,'Six-Factor Calc'!$A$5:$A$121,0)),"")</x:f>
        <x:v>-0.08195653959004089</x:v>
      </x:c>
      <x:c r="H31" s="329" t="n">
        <x:f>IFERROR(INDEX('Six-Factor Calc'!$H$5:$H$121,MATCH($A31,'Six-Factor Calc'!$A$5:$A$121,0)),"")</x:f>
        <x:v>6.4682821998091855</x:v>
      </x:c>
      <x:c r="I31" s="47" t="n">
        <x:f>IFERROR(INDEX('Six-Factor Calc'!$I$5:$I$121,MATCH($A31,'Six-Factor Calc'!$A$5:$A$121,0)),"")</x:f>
        <x:v>6</x:v>
      </x:c>
      <x:c r="J31" s="52" t="n">
        <x:f>IFERROR(INDEX('Six-Factor Calc'!$J$5:$J$121,MATCH($A31,'Six-Factor Calc'!$A$5:$A$121,0)),"")</x:f>
        <x:v>9.456896551724139</x:v>
      </x:c>
      <x:c r="K31" s="47" t="n">
        <x:f>IFERROR(INDEX('Six-Factor Calc'!$K$5:$K$121,MATCH($A31,'Six-Factor Calc'!$A$5:$A$121,0)),"")</x:f>
        <x:v>8</x:v>
      </x:c>
      <x:c r="L31" s="52" t="n">
        <x:f>IFERROR(INDEX('Six-Factor Calc'!$L$5:$L$121,MATCH($A31,'Six-Factor Calc'!$A$5:$A$121,0)),"")</x:f>
        <x:v>6.159881422924902</x:v>
      </x:c>
      <x:c r="M31" s="47" t="n">
        <x:f>IFERROR(INDEX('Six-Factor Calc'!$M$5:$M$121,MATCH($A31,'Six-Factor Calc'!$A$5:$A$121,0)),"")</x:f>
        <x:v>41</x:v>
      </x:c>
      <x:c r="N31" s="47" t="str">
        <x:f>IFERROR(INDEX('Six-Factor Calc'!$N$5:$N$121,MATCH($A31,'Six-Factor Calc'!$A$5:$A$121,0)),"")</x:f>
        <x:v>SUE + CAR3</x:v>
      </x:c>
      <x:c r="O31" s="52" t="n">
        <x:f>IFERROR(INDEX('Six-Factor Calc'!$O$5:$O$121,MATCH($A31,'Six-Factor Calc'!$A$5:$A$121,0)),"")</x:f>
        <x:v>1.387</x:v>
      </x:c>
      <x:c r="P31" s="47" t="n">
        <x:f>IFERROR(INDEX('Six-Factor Calc'!$P$5:$P$121,MATCH($A31,'Six-Factor Calc'!$A$5:$A$121,0)),"")</x:f>
        <x:v>110</x:v>
      </x:c>
      <x:c r="Q31" s="50" t="n">
        <x:f>IFERROR(INDEX('Six-Factor Calc'!$Q$5:$Q$121,MATCH($A31,'Six-Factor Calc'!$A$5:$A$121,0)),"")</x:f>
        <x:v>3.1895</x:v>
      </x:c>
      <x:c r="R31" s="50" t="n">
        <x:f>IFERROR(INDEX('Six-Factor Calc'!$R$5:$R$121,MATCH($A31,'Six-Factor Calc'!$A$5:$A$121,0)),"")</x:f>
        <x:v>4.43814</x:v>
      </x:c>
      <x:c r="S31" s="317" t="n">
        <x:f>IFERROR(INDEX('Six-Factor Calc'!$S$5:$S$121,MATCH($A31,'Six-Factor Calc'!$A$5:$A$121,0)),"")</x:f>
        <x:v>-0.2813430851663084</x:v>
      </x:c>
      <x:c r="T31" s="47" t="str">
        <x:f>IFERROR(INDEX('Six-Factor Calc'!$T$5:$T$121,MATCH($A31,'Six-Factor Calc'!$A$5:$A$121,0)),"")</x:f>
        <x:v>OK</x:v>
      </x:c>
      <x:c r="U31" s="52" t="n">
        <x:f>IFERROR(INDEX('Six-Factor Calc'!$U$5:$U$121,MATCH($A31,'Six-Factor Calc'!$A$5:$A$121,0)),"")</x:f>
        <x:v>7.16284107946027</x:v>
      </x:c>
      <x:c r="V31" s="47" t="n">
        <x:f>IFERROR(INDEX('Six-Factor Calc'!$V$5:$V$121,MATCH($A31,'Six-Factor Calc'!$A$5:$A$121,0)),"")</x:f>
        <x:v>28</x:v>
      </x:c>
      <x:c r="W31" s="52" t="n">
        <x:f>IFERROR(INDEX('Six-Factor Calc'!$W$5:$W$121,MATCH($A31,'Six-Factor Calc'!$A$5:$A$121,0)),"")</x:f>
        <x:v>4.919655172413792</x:v>
      </x:c>
      <x:c r="X31" s="47" t="n">
        <x:f>IFERROR(INDEX('Six-Factor Calc'!$X$5:$X$121,MATCH($A31,'Six-Factor Calc'!$A$5:$A$121,0)),"")</x:f>
        <x:v>62</x:v>
      </x:c>
      <x:c r="Y31" s="52" t="n">
        <x:f>IFERROR(INDEX('Six-Factor Calc'!$Y$5:$Y$121,MATCH($A31,'Six-Factor Calc'!$A$5:$A$121,0)),"")</x:f>
        <x:v>8.913793103448276</x:v>
      </x:c>
      <x:c r="Z31" s="47" t="n">
        <x:f>IFERROR(INDEX('Six-Factor Calc'!$Z$5:$Z$121,MATCH($A31,'Six-Factor Calc'!$A$5:$A$121,0)),"")</x:f>
        <x:v>15</x:v>
      </x:c>
      <x:c r="AA31" s="47" t="str">
        <x:f>IFERROR(INDEX('Six-Factor Calc'!$AA$5:$AA$121,MATCH($A31,'Six-Factor Calc'!$A$5:$A$121,0)),"")</x:f>
        <x:v>Industrials</x:v>
      </x:c>
      <x:c r="AB31" s="54" t="n">
        <x:f>IFERROR(INDEX('Six-Factor Calc'!$AB$5:$AB$121,MATCH($A31,'Six-Factor Calc'!$A$5:$A$121,0)),"")</x:f>
        <x:v>46213</x:v>
      </x:c>
      <x:c r="AC31" s="54" t="n">
        <x:f>IFERROR(INDEX('Six-Factor Calc'!$AC$5:$AC$121,MATCH($A31,'Six-Factor Calc'!$A$5:$A$121,0)),"")</x:f>
        <x:v>46112</x:v>
      </x:c>
      <x:c r="AD31" s="54" t="n">
        <x:f>IFERROR(INDEX('Six-Factor Calc'!$AD$5:$AD$121,MATCH($A31,'Six-Factor Calc'!$A$5:$A$121,0)),"")</x:f>
        <x:v>46022</x:v>
      </x:c>
      <x:c r="AE31" s="47" t="str">
        <x:f>IFERROR(INDEX('Six-Factor Calc'!$AE$5:$AE$121,MATCH($A31,'Six-Factor Calc'!$A$5:$A$121,0)),"")</x:f>
        <x:v>OK</x:v>
      </x:c>
    </x:row>
    <x:row r="32">
      <x:c r="A32" s="12" t="n">
        <x:v>28</x:v>
      </x:c>
      <x:c r="B32" s="47" t="str">
        <x:f>IFERROR(INDEX('Six-Factor Calc'!$B$5:$B$121,MATCH($A32,'Six-Factor Calc'!$A$5:$A$121,0)),"")</x:f>
        <x:v>APD</x:v>
      </x:c>
      <x:c r="C32" s="47" t="str">
        <x:f>IFERROR(INDEX('Six-Factor Calc'!$C$5:$C$121,MATCH($A32,'Six-Factor Calc'!$A$5:$A$121,0)),"")</x:f>
        <x:v>Air Products and Chemicals Inc.</x:v>
      </x:c>
      <x:c r="D32" s="49" t="str">
        <x:f>IFERROR(INDEX('Six-Factor Calc'!$D$5:$D$121,MATCH($A32,'Six-Factor Calc'!$A$5:$A$121,0)),"")</x:f>
        <x:v>Long</x:v>
      </x:c>
      <x:c r="E32" s="49" t="n">
        <x:f>IFERROR(INDEX('Six-Factor Calc'!$E$5:$E$121,MATCH($A32,'Six-Factor Calc'!$A$5:$A$121,0)),"")</x:f>
        <x:v>0.004121</x:v>
      </x:c>
      <x:c r="F32" s="50" t="n">
        <x:f>IFERROR(INDEX('Six-Factor Calc'!$F$5:$F$121,MATCH($A32,'Six-Factor Calc'!$A$5:$A$121,0)),"")</x:f>
        <x:v>0.42921893942143124</x:v>
      </x:c>
      <x:c r="G32" s="50" t="n">
        <x:f>IFERROR(INDEX('Six-Factor Calc'!$G$5:$G$121,MATCH($A32,'Six-Factor Calc'!$A$5:$A$121,0)),"")</x:f>
        <x:v>0.02954262837792038</x:v>
      </x:c>
      <x:c r="H32" s="329" t="n">
        <x:f>IFERROR(INDEX('Six-Factor Calc'!$H$5:$H$121,MATCH($A32,'Six-Factor Calc'!$A$5:$A$121,0)),"")</x:f>
        <x:v>6.438670028622052</x:v>
      </x:c>
      <x:c r="I32" s="47" t="n">
        <x:f>IFERROR(INDEX('Six-Factor Calc'!$I$5:$I$121,MATCH($A32,'Six-Factor Calc'!$A$5:$A$121,0)),"")</x:f>
        <x:v>6</x:v>
      </x:c>
      <x:c r="J32" s="52" t="n">
        <x:f>IFERROR(INDEX('Six-Factor Calc'!$J$5:$J$121,MATCH($A32,'Six-Factor Calc'!$A$5:$A$121,0)),"")</x:f>
        <x:v>7.827586206896552</x:v>
      </x:c>
      <x:c r="K32" s="47" t="n">
        <x:f>IFERROR(INDEX('Six-Factor Calc'!$K$5:$K$121,MATCH($A32,'Six-Factor Calc'!$A$5:$A$121,0)),"")</x:f>
        <x:v>29</x:v>
      </x:c>
      <x:c r="L32" s="52" t="n">
        <x:f>IFERROR(INDEX('Six-Factor Calc'!$L$5:$L$121,MATCH($A32,'Six-Factor Calc'!$A$5:$A$121,0)),"")</x:f>
        <x:v>6.750395256916995</x:v>
      </x:c>
      <x:c r="M32" s="47" t="n">
        <x:f>IFERROR(INDEX('Six-Factor Calc'!$M$5:$M$121,MATCH($A32,'Six-Factor Calc'!$A$5:$A$121,0)),"")</x:f>
        <x:v>33</x:v>
      </x:c>
      <x:c r="N32" s="47" t="str">
        <x:f>IFERROR(INDEX('Six-Factor Calc'!$N$5:$N$121,MATCH($A32,'Six-Factor Calc'!$A$5:$A$121,0)),"")</x:f>
        <x:v>SUE + CAR3</x:v>
      </x:c>
      <x:c r="O32" s="52" t="n">
        <x:f>IFERROR(INDEX('Six-Factor Calc'!$O$5:$O$121,MATCH($A32,'Six-Factor Calc'!$A$5:$A$121,0)),"")</x:f>
        <x:v>8.596</x:v>
      </x:c>
      <x:c r="P32" s="47" t="n">
        <x:f>IFERROR(INDEX('Six-Factor Calc'!$P$5:$P$121,MATCH($A32,'Six-Factor Calc'!$A$5:$A$121,0)),"")</x:f>
        <x:v>19</x:v>
      </x:c>
      <x:c r="Q32" s="50" t="n">
        <x:f>IFERROR(INDEX('Six-Factor Calc'!$Q$5:$Q$121,MATCH($A32,'Six-Factor Calc'!$A$5:$A$121,0)),"")</x:f>
        <x:v>3.61017</x:v>
      </x:c>
      <x:c r="R32" s="50" t="n">
        <x:f>IFERROR(INDEX('Six-Factor Calc'!$R$5:$R$121,MATCH($A32,'Six-Factor Calc'!$A$5:$A$121,0)),"")</x:f>
        <x:v>3.52008</x:v>
      </x:c>
      <x:c r="S32" s="317" t="n">
        <x:f>IFERROR(INDEX('Six-Factor Calc'!$S$5:$S$121,MATCH($A32,'Six-Factor Calc'!$A$5:$A$121,0)),"")</x:f>
        <x:v>0.02559316833708325</x:v>
      </x:c>
      <x:c r="T32" s="47" t="str">
        <x:f>IFERROR(INDEX('Six-Factor Calc'!$T$5:$T$121,MATCH($A32,'Six-Factor Calc'!$A$5:$A$121,0)),"")</x:f>
        <x:v>OK</x:v>
      </x:c>
      <x:c r="U32" s="52" t="n">
        <x:f>IFERROR(INDEX('Six-Factor Calc'!$U$5:$U$121,MATCH($A32,'Six-Factor Calc'!$A$5:$A$121,0)),"")</x:f>
        <x:v>3.1482271364317844</x:v>
      </x:c>
      <x:c r="V32" s="47" t="n">
        <x:f>IFERROR(INDEX('Six-Factor Calc'!$V$5:$V$121,MATCH($A32,'Six-Factor Calc'!$A$5:$A$121,0)),"")</x:f>
        <x:v>103</x:v>
      </x:c>
      <x:c r="W32" s="52" t="n">
        <x:f>IFERROR(INDEX('Six-Factor Calc'!$W$5:$W$121,MATCH($A32,'Six-Factor Calc'!$A$5:$A$121,0)),"")</x:f>
        <x:v>4.381206896551724</x:v>
      </x:c>
      <x:c r="X32" s="47" t="n">
        <x:f>IFERROR(INDEX('Six-Factor Calc'!$X$5:$X$121,MATCH($A32,'Six-Factor Calc'!$A$5:$A$121,0)),"")</x:f>
        <x:v>74</x:v>
      </x:c>
      <x:c r="Y32" s="52" t="n">
        <x:f>IFERROR(INDEX('Six-Factor Calc'!$Y$5:$Y$121,MATCH($A32,'Six-Factor Calc'!$A$5:$A$121,0)),"")</x:f>
        <x:v>4.724137931034482</x:v>
      </x:c>
      <x:c r="Z32" s="47" t="n">
        <x:f>IFERROR(INDEX('Six-Factor Calc'!$Z$5:$Z$121,MATCH($A32,'Six-Factor Calc'!$A$5:$A$121,0)),"")</x:f>
        <x:v>69</x:v>
      </x:c>
      <x:c r="AA32" s="47" t="str">
        <x:f>IFERROR(INDEX('Six-Factor Calc'!$AA$5:$AA$121,MATCH($A32,'Six-Factor Calc'!$A$5:$A$121,0)),"")</x:f>
        <x:v>Basic Materials</x:v>
      </x:c>
      <x:c r="AB32" s="54" t="n">
        <x:f>IFERROR(INDEX('Six-Factor Calc'!$AB$5:$AB$121,MATCH($A32,'Six-Factor Calc'!$A$5:$A$121,0)),"")</x:f>
        <x:v>46213</x:v>
      </x:c>
      <x:c r="AC32" s="54" t="n">
        <x:f>IFERROR(INDEX('Six-Factor Calc'!$AC$5:$AC$121,MATCH($A32,'Six-Factor Calc'!$A$5:$A$121,0)),"")</x:f>
        <x:v>46112</x:v>
      </x:c>
      <x:c r="AD32" s="54" t="n">
        <x:f>IFERROR(INDEX('Six-Factor Calc'!$AD$5:$AD$121,MATCH($A32,'Six-Factor Calc'!$A$5:$A$121,0)),"")</x:f>
        <x:v>45930</x:v>
      </x:c>
      <x:c r="AE32" s="47" t="str">
        <x:f>IFERROR(INDEX('Six-Factor Calc'!$AE$5:$AE$121,MATCH($A32,'Six-Factor Calc'!$A$5:$A$121,0)),"")</x:f>
        <x:v>OK</x:v>
      </x:c>
    </x:row>
    <x:row r="33">
      <x:c r="A33" s="12" t="n">
        <x:v>29</x:v>
      </x:c>
      <x:c r="B33" s="47" t="str">
        <x:f>IFERROR(INDEX('Six-Factor Calc'!$B$5:$B$121,MATCH($A33,'Six-Factor Calc'!$A$5:$A$121,0)),"")</x:f>
        <x:v>EG</x:v>
      </x:c>
      <x:c r="C33" s="47" t="str">
        <x:f>IFERROR(INDEX('Six-Factor Calc'!$C$5:$C$121,MATCH($A33,'Six-Factor Calc'!$A$5:$A$121,0)),"")</x:f>
        <x:v>Everest Group Ltd.</x:v>
      </x:c>
      <x:c r="D33" s="49" t="str">
        <x:f>IFERROR(INDEX('Six-Factor Calc'!$D$5:$D$121,MATCH($A33,'Six-Factor Calc'!$A$5:$A$121,0)),"")</x:f>
        <x:v>Long</x:v>
      </x:c>
      <x:c r="E33" s="49" t="n">
        <x:f>IFERROR(INDEX('Six-Factor Calc'!$E$5:$E$121,MATCH($A33,'Six-Factor Calc'!$A$5:$A$121,0)),"")</x:f>
        <x:v>0.003823</x:v>
      </x:c>
      <x:c r="F33" s="50" t="n">
        <x:f>IFERROR(INDEX('Six-Factor Calc'!$F$5:$F$121,MATCH($A33,'Six-Factor Calc'!$A$5:$A$121,0)),"")</x:f>
        <x:v>0.04222716363000919</x:v>
      </x:c>
      <x:c r="G33" s="50" t="n">
        <x:f>IFERROR(INDEX('Six-Factor Calc'!$G$5:$G$121,MATCH($A33,'Six-Factor Calc'!$A$5:$A$121,0)),"")</x:f>
        <x:v>-0.07710932241574243</x:v>
      </x:c>
      <x:c r="H33" s="329" t="n">
        <x:f>IFERROR(INDEX('Six-Factor Calc'!$H$5:$H$121,MATCH($A33,'Six-Factor Calc'!$A$5:$A$121,0)),"")</x:f>
        <x:v>6.432566171459724</x:v>
      </x:c>
      <x:c r="I33" s="47" t="n">
        <x:f>IFERROR(INDEX('Six-Factor Calc'!$I$5:$I$121,MATCH($A33,'Six-Factor Calc'!$A$5:$A$121,0)),"")</x:f>
        <x:v>6</x:v>
      </x:c>
      <x:c r="J33" s="52" t="n">
        <x:f>IFERROR(INDEX('Six-Factor Calc'!$J$5:$J$121,MATCH($A33,'Six-Factor Calc'!$A$5:$A$121,0)),"")</x:f>
        <x:v>6.663793103448276</x:v>
      </x:c>
      <x:c r="K33" s="47" t="n">
        <x:f>IFERROR(INDEX('Six-Factor Calc'!$K$5:$K$121,MATCH($A33,'Six-Factor Calc'!$A$5:$A$121,0)),"")</x:f>
        <x:v>44</x:v>
      </x:c>
      <x:c r="L33" s="52" t="n">
        <x:f>IFERROR(INDEX('Six-Factor Calc'!$L$5:$L$121,MATCH($A33,'Six-Factor Calc'!$A$5:$A$121,0)),"")</x:f>
        <x:v>7.292885375494071</x:v>
      </x:c>
      <x:c r="M33" s="47" t="n">
        <x:f>IFERROR(INDEX('Six-Factor Calc'!$M$5:$M$121,MATCH($A33,'Six-Factor Calc'!$A$5:$A$121,0)),"")</x:f>
        <x:v>22</x:v>
      </x:c>
      <x:c r="N33" s="47" t="str">
        <x:f>IFERROR(INDEX('Six-Factor Calc'!$N$5:$N$121,MATCH($A33,'Six-Factor Calc'!$A$5:$A$121,0)),"")</x:f>
        <x:v>SUE + CAR3</x:v>
      </x:c>
      <x:c r="O33" s="52" t="n">
        <x:f>IFERROR(INDEX('Six-Factor Calc'!$O$5:$O$121,MATCH($A33,'Six-Factor Calc'!$A$5:$A$121,0)),"")</x:f>
        <x:v>3.169</x:v>
      </x:c>
      <x:c r="P33" s="47" t="n">
        <x:f>IFERROR(INDEX('Six-Factor Calc'!$P$5:$P$121,MATCH($A33,'Six-Factor Calc'!$A$5:$A$121,0)),"")</x:f>
        <x:v>87</x:v>
      </x:c>
      <x:c r="Q33" s="50" t="n">
        <x:f>IFERROR(INDEX('Six-Factor Calc'!$Q$5:$Q$121,MATCH($A33,'Six-Factor Calc'!$A$5:$A$121,0)),"")</x:f>
        <x:v>8.13645</x:v>
      </x:c>
      <x:c r="R33" s="50" t="n">
        <x:f>IFERROR(INDEX('Six-Factor Calc'!$R$5:$R$121,MATCH($A33,'Six-Factor Calc'!$A$5:$A$121,0)),"")</x:f>
        <x:v>8.33097</x:v>
      </x:c>
      <x:c r="S33" s="317" t="n">
        <x:f>IFERROR(INDEX('Six-Factor Calc'!$S$5:$S$121,MATCH($A33,'Six-Factor Calc'!$A$5:$A$121,0)),"")</x:f>
        <x:v>-0.023349021782577622</x:v>
      </x:c>
      <x:c r="T33" s="47" t="str">
        <x:f>IFERROR(INDEX('Six-Factor Calc'!$T$5:$T$121,MATCH($A33,'Six-Factor Calc'!$A$5:$A$121,0)),"")</x:f>
        <x:v>OK</x:v>
      </x:c>
      <x:c r="U33" s="52" t="n">
        <x:f>IFERROR(INDEX('Six-Factor Calc'!$U$5:$U$121,MATCH($A33,'Six-Factor Calc'!$A$5:$A$121,0)),"")</x:f>
        <x:v>9.72844827586207</x:v>
      </x:c>
      <x:c r="V33" s="47" t="n">
        <x:f>IFERROR(INDEX('Six-Factor Calc'!$V$5:$V$121,MATCH($A33,'Six-Factor Calc'!$A$5:$A$121,0)),"")</x:f>
        <x:v>3</x:v>
      </x:c>
      <x:c r="W33" s="52" t="n">
        <x:f>IFERROR(INDEX('Six-Factor Calc'!$W$5:$W$121,MATCH($A33,'Six-Factor Calc'!$A$5:$A$121,0)),"")</x:f>
        <x:v>3.25</x:v>
      </x:c>
      <x:c r="X33" s="47" t="n">
        <x:f>IFERROR(INDEX('Six-Factor Calc'!$X$5:$X$121,MATCH($A33,'Six-Factor Calc'!$A$5:$A$121,0)),"")</x:f>
        <x:v>96</x:v>
      </x:c>
      <x:c r="Y33" s="52" t="n">
        <x:f>IFERROR(INDEX('Six-Factor Calc'!$Y$5:$Y$121,MATCH($A33,'Six-Factor Calc'!$A$5:$A$121,0)),"")</x:f>
        <x:v>8.75862068965517</x:v>
      </x:c>
      <x:c r="Z33" s="47" t="n">
        <x:f>IFERROR(INDEX('Six-Factor Calc'!$Z$5:$Z$121,MATCH($A33,'Six-Factor Calc'!$A$5:$A$121,0)),"")</x:f>
        <x:v>17</x:v>
      </x:c>
      <x:c r="AA33" s="47" t="str">
        <x:f>IFERROR(INDEX('Six-Factor Calc'!$AA$5:$AA$121,MATCH($A33,'Six-Factor Calc'!$A$5:$A$121,0)),"")</x:f>
        <x:v>Finance</x:v>
      </x:c>
      <x:c r="AB33" s="54" t="n">
        <x:f>IFERROR(INDEX('Six-Factor Calc'!$AB$5:$AB$121,MATCH($A33,'Six-Factor Calc'!$A$5:$A$121,0)),"")</x:f>
        <x:v>46213</x:v>
      </x:c>
      <x:c r="AC33" s="54" t="n">
        <x:f>IFERROR(INDEX('Six-Factor Calc'!$AC$5:$AC$121,MATCH($A33,'Six-Factor Calc'!$A$5:$A$121,0)),"")</x:f>
        <x:v>46112</x:v>
      </x:c>
      <x:c r="AD33" s="54" t="n">
        <x:f>IFERROR(INDEX('Six-Factor Calc'!$AD$5:$AD$121,MATCH($A33,'Six-Factor Calc'!$A$5:$A$121,0)),"")</x:f>
        <x:v>46022</x:v>
      </x:c>
      <x:c r="AE33" s="47" t="str">
        <x:f>IFERROR(INDEX('Six-Factor Calc'!$AE$5:$AE$121,MATCH($A33,'Six-Factor Calc'!$A$5:$A$121,0)),"")</x:f>
        <x:v>OK</x:v>
      </x:c>
    </x:row>
    <x:row r="34">
      <x:c r="A34" s="12" t="n">
        <x:v>30</x:v>
      </x:c>
      <x:c r="B34" s="47" t="str">
        <x:f>IFERROR(INDEX('Six-Factor Calc'!$B$5:$B$121,MATCH($A34,'Six-Factor Calc'!$A$5:$A$121,0)),"")</x:f>
        <x:v>CB</x:v>
      </x:c>
      <x:c r="C34" s="47" t="str">
        <x:f>IFERROR(INDEX('Six-Factor Calc'!$C$5:$C$121,MATCH($A34,'Six-Factor Calc'!$A$5:$A$121,0)),"")</x:f>
        <x:v>Chubb Ltd.</x:v>
      </x:c>
      <x:c r="D34" s="49" t="str">
        <x:f>IFERROR(INDEX('Six-Factor Calc'!$D$5:$D$121,MATCH($A34,'Six-Factor Calc'!$A$5:$A$121,0)),"")</x:f>
        <x:v>Long</x:v>
      </x:c>
      <x:c r="E34" s="49" t="n">
        <x:f>IFERROR(INDEX('Six-Factor Calc'!$E$5:$E$121,MATCH($A34,'Six-Factor Calc'!$A$5:$A$121,0)),"")</x:f>
        <x:v>0.004187</x:v>
      </x:c>
      <x:c r="F34" s="50" t="n">
        <x:f>IFERROR(INDEX('Six-Factor Calc'!$F$5:$F$121,MATCH($A34,'Six-Factor Calc'!$A$5:$A$121,0)),"")</x:f>
        <x:v>0.030786600451909982</x:v>
      </x:c>
      <x:c r="G34" s="50" t="n">
        <x:f>IFERROR(INDEX('Six-Factor Calc'!$G$5:$G$121,MATCH($A34,'Six-Factor Calc'!$A$5:$A$121,0)),"")</x:f>
        <x:v>-0.13906542056463195</x:v>
      </x:c>
      <x:c r="H34" s="329" t="n">
        <x:f>IFERROR(INDEX('Six-Factor Calc'!$H$5:$H$121,MATCH($A34,'Six-Factor Calc'!$A$5:$A$121,0)),"")</x:f>
        <x:v>6.327988483031212</x:v>
      </x:c>
      <x:c r="I34" s="47" t="n">
        <x:f>IFERROR(INDEX('Six-Factor Calc'!$I$5:$I$121,MATCH($A34,'Six-Factor Calc'!$A$5:$A$121,0)),"")</x:f>
        <x:v>6</x:v>
      </x:c>
      <x:c r="J34" s="52" t="n">
        <x:f>IFERROR(INDEX('Six-Factor Calc'!$J$5:$J$121,MATCH($A34,'Six-Factor Calc'!$A$5:$A$121,0)),"")</x:f>
        <x:v>5.887931034482759</x:v>
      </x:c>
      <x:c r="K34" s="47" t="n">
        <x:f>IFERROR(INDEX('Six-Factor Calc'!$K$5:$K$121,MATCH($A34,'Six-Factor Calc'!$A$5:$A$121,0)),"")</x:f>
        <x:v>54</x:v>
      </x:c>
      <x:c r="L34" s="52" t="n">
        <x:f>IFERROR(INDEX('Six-Factor Calc'!$L$5:$L$121,MATCH($A34,'Six-Factor Calc'!$A$5:$A$121,0)),"")</x:f>
        <x:v>6.787747035573123</x:v>
      </x:c>
      <x:c r="M34" s="47" t="n">
        <x:f>IFERROR(INDEX('Six-Factor Calc'!$M$5:$M$121,MATCH($A34,'Six-Factor Calc'!$A$5:$A$121,0)),"")</x:f>
        <x:v>31</x:v>
      </x:c>
      <x:c r="N34" s="47" t="str">
        <x:f>IFERROR(INDEX('Six-Factor Calc'!$N$5:$N$121,MATCH($A34,'Six-Factor Calc'!$A$5:$A$121,0)),"")</x:f>
        <x:v>SUE + CAR3</x:v>
      </x:c>
      <x:c r="O34" s="52" t="n">
        <x:f>IFERROR(INDEX('Six-Factor Calc'!$O$5:$O$121,MATCH($A34,'Six-Factor Calc'!$A$5:$A$121,0)),"")</x:f>
        <x:v>7.282</x:v>
      </x:c>
      <x:c r="P34" s="47" t="n">
        <x:f>IFERROR(INDEX('Six-Factor Calc'!$P$5:$P$121,MATCH($A34,'Six-Factor Calc'!$A$5:$A$121,0)),"")</x:f>
        <x:v>36</x:v>
      </x:c>
      <x:c r="Q34" s="50" t="n">
        <x:f>IFERROR(INDEX('Six-Factor Calc'!$Q$5:$Q$121,MATCH($A34,'Six-Factor Calc'!$A$5:$A$121,0)),"")</x:f>
        <x:v>6.32656</x:v>
      </x:c>
      <x:c r="R34" s="50" t="n">
        <x:f>IFERROR(INDEX('Six-Factor Calc'!$R$5:$R$121,MATCH($A34,'Six-Factor Calc'!$A$5:$A$121,0)),"")</x:f>
        <x:v>6.27568</x:v>
      </x:c>
      <x:c r="S34" s="317" t="n">
        <x:f>IFERROR(INDEX('Six-Factor Calc'!$S$5:$S$121,MATCH($A34,'Six-Factor Calc'!$A$5:$A$121,0)),"")</x:f>
        <x:v>0.008107487953496572</x:v>
      </x:c>
      <x:c r="T34" s="47" t="str">
        <x:f>IFERROR(INDEX('Six-Factor Calc'!$T$5:$T$121,MATCH($A34,'Six-Factor Calc'!$A$5:$A$121,0)),"")</x:f>
        <x:v>OK</x:v>
      </x:c>
      <x:c r="U34" s="52" t="n">
        <x:f>IFERROR(INDEX('Six-Factor Calc'!$U$5:$U$121,MATCH($A34,'Six-Factor Calc'!$A$5:$A$121,0)),"")</x:f>
        <x:v>7.982758620689655</x:v>
      </x:c>
      <x:c r="V34" s="47" t="n">
        <x:f>IFERROR(INDEX('Six-Factor Calc'!$V$5:$V$121,MATCH($A34,'Six-Factor Calc'!$A$5:$A$121,0)),"")</x:f>
        <x:v>22</x:v>
      </x:c>
      <x:c r="W34" s="52" t="n">
        <x:f>IFERROR(INDEX('Six-Factor Calc'!$W$5:$W$121,MATCH($A34,'Six-Factor Calc'!$A$5:$A$121,0)),"")</x:f>
        <x:v>3.4827586206896552</x:v>
      </x:c>
      <x:c r="X34" s="47" t="n">
        <x:f>IFERROR(INDEX('Six-Factor Calc'!$X$5:$X$121,MATCH($A34,'Six-Factor Calc'!$A$5:$A$121,0)),"")</x:f>
        <x:v>88</x:v>
      </x:c>
      <x:c r="Y34" s="52" t="n">
        <x:f>IFERROR(INDEX('Six-Factor Calc'!$Y$5:$Y$121,MATCH($A34,'Six-Factor Calc'!$A$5:$A$121,0)),"")</x:f>
        <x:v>6.043103448275861</x:v>
      </x:c>
      <x:c r="Z34" s="47" t="n">
        <x:f>IFERROR(INDEX('Six-Factor Calc'!$Z$5:$Z$121,MATCH($A34,'Six-Factor Calc'!$A$5:$A$121,0)),"")</x:f>
        <x:v>52</x:v>
      </x:c>
      <x:c r="AA34" s="47" t="str">
        <x:f>IFERROR(INDEX('Six-Factor Calc'!$AA$5:$AA$121,MATCH($A34,'Six-Factor Calc'!$A$5:$A$121,0)),"")</x:f>
        <x:v>Finance</x:v>
      </x:c>
      <x:c r="AB34" s="54" t="n">
        <x:f>IFERROR(INDEX('Six-Factor Calc'!$AB$5:$AB$121,MATCH($A34,'Six-Factor Calc'!$A$5:$A$121,0)),"")</x:f>
        <x:v>46213</x:v>
      </x:c>
      <x:c r="AC34" s="54" t="n">
        <x:f>IFERROR(INDEX('Six-Factor Calc'!$AC$5:$AC$121,MATCH($A34,'Six-Factor Calc'!$A$5:$A$121,0)),"")</x:f>
        <x:v>46112</x:v>
      </x:c>
      <x:c r="AD34" s="54" t="n">
        <x:f>IFERROR(INDEX('Six-Factor Calc'!$AD$5:$AD$121,MATCH($A34,'Six-Factor Calc'!$A$5:$A$121,0)),"")</x:f>
        <x:v>46022</x:v>
      </x:c>
      <x:c r="AE34" s="47" t="str">
        <x:f>IFERROR(INDEX('Six-Factor Calc'!$AE$5:$AE$121,MATCH($A34,'Six-Factor Calc'!$A$5:$A$121,0)),"")</x:f>
        <x:v>OK</x:v>
      </x:c>
    </x:row>
    <x:row r="35">
      <x:c r="A35" s="12" t="n">
        <x:v>31</x:v>
      </x:c>
      <x:c r="B35" s="47" t="str">
        <x:f>IFERROR(INDEX('Six-Factor Calc'!$B$5:$B$121,MATCH($A35,'Six-Factor Calc'!$A$5:$A$121,0)),"")</x:f>
        <x:v>NYT</x:v>
      </x:c>
      <x:c r="C35" s="47" t="str">
        <x:f>IFERROR(INDEX('Six-Factor Calc'!$C$5:$C$121,MATCH($A35,'Six-Factor Calc'!$A$5:$A$121,0)),"")</x:f>
        <x:v>The New York Times Co.</x:v>
      </x:c>
      <x:c r="D35" s="49" t="str">
        <x:f>IFERROR(INDEX('Six-Factor Calc'!$D$5:$D$121,MATCH($A35,'Six-Factor Calc'!$A$5:$A$121,0)),"")</x:f>
        <x:v>Long</x:v>
      </x:c>
      <x:c r="E35" s="49" t="n">
        <x:f>IFERROR(INDEX('Six-Factor Calc'!$E$5:$E$121,MATCH($A35,'Six-Factor Calc'!$A$5:$A$121,0)),"")</x:f>
        <x:v>0.003996</x:v>
      </x:c>
      <x:c r="F35" s="50" t="n">
        <x:f>IFERROR(INDEX('Six-Factor Calc'!$F$5:$F$121,MATCH($A35,'Six-Factor Calc'!$A$5:$A$121,0)),"")</x:f>
        <x:v>0.13647740685504287</x:v>
      </x:c>
      <x:c r="G35" s="50" t="n">
        <x:f>IFERROR(INDEX('Six-Factor Calc'!$G$5:$G$121,MATCH($A35,'Six-Factor Calc'!$A$5:$A$121,0)),"")</x:f>
        <x:v>-0.0835871115874492</x:v>
      </x:c>
      <x:c r="H35" s="329" t="n">
        <x:f>IFERROR(INDEX('Six-Factor Calc'!$H$5:$H$121,MATCH($A35,'Six-Factor Calc'!$A$5:$A$121,0)),"")</x:f>
        <x:v>6.321973763118441</x:v>
      </x:c>
      <x:c r="I35" s="47" t="n">
        <x:f>IFERROR(INDEX('Six-Factor Calc'!$I$5:$I$121,MATCH($A35,'Six-Factor Calc'!$A$5:$A$121,0)),"")</x:f>
        <x:v>6</x:v>
      </x:c>
      <x:c r="J35" s="52" t="n">
        <x:f>IFERROR(INDEX('Six-Factor Calc'!$J$5:$J$121,MATCH($A35,'Six-Factor Calc'!$A$5:$A$121,0)),"")</x:f>
        <x:v>8.293103448275861</x:v>
      </x:c>
      <x:c r="K35" s="47" t="n">
        <x:f>IFERROR(INDEX('Six-Factor Calc'!$K$5:$K$121,MATCH($A35,'Six-Factor Calc'!$A$5:$A$121,0)),"")</x:f>
        <x:v>23</x:v>
      </x:c>
      <x:c r="L35" s="52" t="n">
        <x:f>IFERROR(INDEX('Six-Factor Calc'!$L$5:$L$121,MATCH($A35,'Six-Factor Calc'!$A$5:$A$121,0)),"")</x:f>
        <x:v>8.747826086956522</x:v>
      </x:c>
      <x:c r="M35" s="47" t="n">
        <x:f>IFERROR(INDEX('Six-Factor Calc'!$M$5:$M$121,MATCH($A35,'Six-Factor Calc'!$A$5:$A$121,0)),"")</x:f>
        <x:v>7</x:v>
      </x:c>
      <x:c r="N35" s="47" t="str">
        <x:f>IFERROR(INDEX('Six-Factor Calc'!$N$5:$N$121,MATCH($A35,'Six-Factor Calc'!$A$5:$A$121,0)),"")</x:f>
        <x:v>SUE + CAR3</x:v>
      </x:c>
      <x:c r="O35" s="52" t="n">
        <x:f>IFERROR(INDEX('Six-Factor Calc'!$O$5:$O$121,MATCH($A35,'Six-Factor Calc'!$A$5:$A$121,0)),"")</x:f>
        <x:v>2.467</x:v>
      </x:c>
      <x:c r="P35" s="47" t="n">
        <x:f>IFERROR(INDEX('Six-Factor Calc'!$P$5:$P$121,MATCH($A35,'Six-Factor Calc'!$A$5:$A$121,0)),"")</x:f>
        <x:v>96</x:v>
      </x:c>
      <x:c r="Q35" s="50" t="n">
        <x:f>IFERROR(INDEX('Six-Factor Calc'!$Q$5:$Q$121,MATCH($A35,'Six-Factor Calc'!$A$5:$A$121,0)),"")</x:f>
        <x:v>0.63958</x:v>
      </x:c>
      <x:c r="R35" s="50" t="n">
        <x:f>IFERROR(INDEX('Six-Factor Calc'!$R$5:$R$121,MATCH($A35,'Six-Factor Calc'!$A$5:$A$121,0)),"")</x:f>
        <x:v>0.6739</x:v>
      </x:c>
      <x:c r="S35" s="317" t="n">
        <x:f>IFERROR(INDEX('Six-Factor Calc'!$S$5:$S$121,MATCH($A35,'Six-Factor Calc'!$A$5:$A$121,0)),"")</x:f>
        <x:v>-0.05092743730523819</x:v>
      </x:c>
      <x:c r="T35" s="47" t="str">
        <x:f>IFERROR(INDEX('Six-Factor Calc'!$T$5:$T$121,MATCH($A35,'Six-Factor Calc'!$A$5:$A$121,0)),"")</x:f>
        <x:v>OK</x:v>
      </x:c>
      <x:c r="U35" s="52" t="n">
        <x:f>IFERROR(INDEX('Six-Factor Calc'!$U$5:$U$121,MATCH($A35,'Six-Factor Calc'!$A$5:$A$121,0)),"")</x:f>
        <x:v>3.7698275862068966</x:v>
      </x:c>
      <x:c r="V35" s="47" t="n">
        <x:f>IFERROR(INDEX('Six-Factor Calc'!$V$5:$V$121,MATCH($A35,'Six-Factor Calc'!$A$5:$A$121,0)),"")</x:f>
        <x:v>93</x:v>
      </x:c>
      <x:c r="W35" s="52" t="n">
        <x:f>IFERROR(INDEX('Six-Factor Calc'!$W$5:$W$121,MATCH($A35,'Six-Factor Calc'!$A$5:$A$121,0)),"")</x:f>
        <x:v>6.826724137931034</x:v>
      </x:c>
      <x:c r="X35" s="47" t="n">
        <x:f>IFERROR(INDEX('Six-Factor Calc'!$X$5:$X$121,MATCH($A35,'Six-Factor Calc'!$A$5:$A$121,0)),"")</x:f>
        <x:v>25</x:v>
      </x:c>
      <x:c r="Y35" s="52" t="n">
        <x:f>IFERROR(INDEX('Six-Factor Calc'!$Y$5:$Y$121,MATCH($A35,'Six-Factor Calc'!$A$5:$A$121,0)),"")</x:f>
        <x:v>4.258620689655173</x:v>
      </x:c>
      <x:c r="Z35" s="47" t="n">
        <x:f>IFERROR(INDEX('Six-Factor Calc'!$Z$5:$Z$121,MATCH($A35,'Six-Factor Calc'!$A$5:$A$121,0)),"")</x:f>
        <x:v>75</x:v>
      </x:c>
      <x:c r="AA35" s="47" t="str">
        <x:f>IFERROR(INDEX('Six-Factor Calc'!$AA$5:$AA$121,MATCH($A35,'Six-Factor Calc'!$A$5:$A$121,0)),"")</x:f>
        <x:v>Consumer Discretionary</x:v>
      </x:c>
      <x:c r="AB35" s="54" t="n">
        <x:f>IFERROR(INDEX('Six-Factor Calc'!$AB$5:$AB$121,MATCH($A35,'Six-Factor Calc'!$A$5:$A$121,0)),"")</x:f>
        <x:v>46213</x:v>
      </x:c>
      <x:c r="AC35" s="54" t="n">
        <x:f>IFERROR(INDEX('Six-Factor Calc'!$AC$5:$AC$121,MATCH($A35,'Six-Factor Calc'!$A$5:$A$121,0)),"")</x:f>
        <x:v>46112</x:v>
      </x:c>
      <x:c r="AD35" s="54" t="n">
        <x:f>IFERROR(INDEX('Six-Factor Calc'!$AD$5:$AD$121,MATCH($A35,'Six-Factor Calc'!$A$5:$A$121,0)),"")</x:f>
        <x:v>46022</x:v>
      </x:c>
      <x:c r="AE35" s="47" t="str">
        <x:f>IFERROR(INDEX('Six-Factor Calc'!$AE$5:$AE$121,MATCH($A35,'Six-Factor Calc'!$A$5:$A$121,0)),"")</x:f>
        <x:v>OK</x:v>
      </x:c>
    </x:row>
    <x:row r="36">
      <x:c r="A36" s="12" t="n">
        <x:v>32</x:v>
      </x:c>
      <x:c r="B36" s="47" t="str">
        <x:f>IFERROR(INDEX('Six-Factor Calc'!$B$5:$B$121,MATCH($A36,'Six-Factor Calc'!$A$5:$A$121,0)),"")</x:f>
        <x:v>BRK-B</x:v>
      </x:c>
      <x:c r="C36" s="47" t="str">
        <x:f>IFERROR(INDEX('Six-Factor Calc'!$C$5:$C$121,MATCH($A36,'Six-Factor Calc'!$A$5:$A$121,0)),"")</x:f>
        <x:v>Berkshire Hathaway Inc.</x:v>
      </x:c>
      <x:c r="D36" s="49" t="str">
        <x:f>IFERROR(INDEX('Six-Factor Calc'!$D$5:$D$121,MATCH($A36,'Six-Factor Calc'!$A$5:$A$121,0)),"")</x:f>
        <x:v>Long</x:v>
      </x:c>
      <x:c r="E36" s="49" t="n">
        <x:f>IFERROR(INDEX('Six-Factor Calc'!$E$5:$E$121,MATCH($A36,'Six-Factor Calc'!$A$5:$A$121,0)),"")</x:f>
        <x:v>0.004245</x:v>
      </x:c>
      <x:c r="F36" s="50" t="n">
        <x:f>IFERROR(INDEX('Six-Factor Calc'!$F$5:$F$121,MATCH($A36,'Six-Factor Calc'!$A$5:$A$121,0)),"")</x:f>
        <x:v>0.22953482211872517</x:v>
      </x:c>
      <x:c r="G36" s="50" t="n">
        <x:f>IFERROR(INDEX('Six-Factor Calc'!$G$5:$G$121,MATCH($A36,'Six-Factor Calc'!$A$5:$A$121,0)),"")</x:f>
        <x:v>0.12928515992059625</x:v>
      </x:c>
      <x:c r="H36" s="329" t="n">
        <x:f>IFERROR(INDEX('Six-Factor Calc'!$H$5:$H$121,MATCH($A36,'Six-Factor Calc'!$A$5:$A$121,0)),"")</x:f>
        <x:v>6.314504497751125</x:v>
      </x:c>
      <x:c r="I36" s="47" t="n">
        <x:f>IFERROR(INDEX('Six-Factor Calc'!$I$5:$I$121,MATCH($A36,'Six-Factor Calc'!$A$5:$A$121,0)),"")</x:f>
        <x:v>6</x:v>
      </x:c>
      <x:c r="J36" s="52" t="n">
        <x:f>IFERROR(INDEX('Six-Factor Calc'!$J$5:$J$121,MATCH($A36,'Six-Factor Calc'!$A$5:$A$121,0)),"")</x:f>
        <x:v>5.732758620689655</x:v>
      </x:c>
      <x:c r="K36" s="47" t="n">
        <x:f>IFERROR(INDEX('Six-Factor Calc'!$K$5:$K$121,MATCH($A36,'Six-Factor Calc'!$A$5:$A$121,0)),"")</x:f>
        <x:v>56</x:v>
      </x:c>
      <x:c r="L36" s="52" t="n">
        <x:f>IFERROR(INDEX('Six-Factor Calc'!$L$5:$L$121,MATCH($A36,'Six-Factor Calc'!$A$5:$A$121,0)),"")</x:f>
        <x:v>7.026086956521739</x:v>
      </x:c>
      <x:c r="M36" s="47" t="n">
        <x:f>IFERROR(INDEX('Six-Factor Calc'!$M$5:$M$121,MATCH($A36,'Six-Factor Calc'!$A$5:$A$121,0)),"")</x:f>
        <x:v>24</x:v>
      </x:c>
      <x:c r="N36" s="47" t="str">
        <x:f>IFERROR(INDEX('Six-Factor Calc'!$N$5:$N$121,MATCH($A36,'Six-Factor Calc'!$A$5:$A$121,0)),"")</x:f>
        <x:v>CAR3 only</x:v>
      </x:c>
      <x:c r="O36" s="52" t="n">
        <x:f>IFERROR(INDEX('Six-Factor Calc'!$O$5:$O$121,MATCH($A36,'Six-Factor Calc'!$A$5:$A$121,0)),"")</x:f>
        <x:v>7.516</x:v>
      </x:c>
      <x:c r="P36" s="47" t="n">
        <x:f>IFERROR(INDEX('Six-Factor Calc'!$P$5:$P$121,MATCH($A36,'Six-Factor Calc'!$A$5:$A$121,0)),"")</x:f>
        <x:v>33</x:v>
      </x:c>
      <x:c r="Q36" s="50" t="n">
        <x:f>IFERROR(INDEX('Six-Factor Calc'!$Q$5:$Q$121,MATCH($A36,'Six-Factor Calc'!$A$5:$A$121,0)),"")</x:f>
        <x:v>5.34972</x:v>
      </x:c>
      <x:c r="R36" s="50" t="n">
        <x:f>IFERROR(INDEX('Six-Factor Calc'!$R$5:$R$121,MATCH($A36,'Six-Factor Calc'!$A$5:$A$121,0)),"")</x:f>
        <x:v>5.29866</x:v>
      </x:c>
      <x:c r="S36" s="317" t="n">
        <x:f>IFERROR(INDEX('Six-Factor Calc'!$S$5:$S$121,MATCH($A36,'Six-Factor Calc'!$A$5:$A$121,0)),"")</x:f>
        <x:v>0.00963639863663637</x:v>
      </x:c>
      <x:c r="T36" s="47" t="str">
        <x:f>IFERROR(INDEX('Six-Factor Calc'!$T$5:$T$121,MATCH($A36,'Six-Factor Calc'!$A$5:$A$121,0)),"")</x:f>
        <x:v>THIN COVERAGE</x:v>
      </x:c>
      <x:c r="U36" s="52" t="n">
        <x:f>IFERROR(INDEX('Six-Factor Calc'!$U$5:$U$121,MATCH($A36,'Six-Factor Calc'!$A$5:$A$121,0)),"")</x:f>
        <x:v>8.02155172413793</x:v>
      </x:c>
      <x:c r="V36" s="47" t="n">
        <x:f>IFERROR(INDEX('Six-Factor Calc'!$V$5:$V$121,MATCH($A36,'Six-Factor Calc'!$A$5:$A$121,0)),"")</x:f>
        <x:v>21</x:v>
      </x:c>
      <x:c r="W36" s="52" t="n">
        <x:f>IFERROR(INDEX('Six-Factor Calc'!$W$5:$W$121,MATCH($A36,'Six-Factor Calc'!$A$5:$A$121,0)),"")</x:f>
        <x:v>6.198275862068965</x:v>
      </x:c>
      <x:c r="X36" s="47" t="n">
        <x:f>IFERROR(INDEX('Six-Factor Calc'!$X$5:$X$121,MATCH($A36,'Six-Factor Calc'!$A$5:$A$121,0)),"")</x:f>
        <x:v>39</x:v>
      </x:c>
      <x:c r="Y36" s="52" t="n">
        <x:f>IFERROR(INDEX('Six-Factor Calc'!$Y$5:$Y$121,MATCH($A36,'Six-Factor Calc'!$A$5:$A$121,0)),"")</x:f>
        <x:v>2.6293103448275863</x:v>
      </x:c>
      <x:c r="Z36" s="47" t="n">
        <x:f>IFERROR(INDEX('Six-Factor Calc'!$Z$5:$Z$121,MATCH($A36,'Six-Factor Calc'!$A$5:$A$121,0)),"")</x:f>
        <x:v>96</x:v>
      </x:c>
      <x:c r="AA36" s="47" t="str">
        <x:f>IFERROR(INDEX('Six-Factor Calc'!$AA$5:$AA$121,MATCH($A36,'Six-Factor Calc'!$A$5:$A$121,0)),"")</x:f>
      </x:c>
      <x:c r="AB36" s="54" t="n">
        <x:f>IFERROR(INDEX('Six-Factor Calc'!$AB$5:$AB$121,MATCH($A36,'Six-Factor Calc'!$A$5:$A$121,0)),"")</x:f>
        <x:v>46213</x:v>
      </x:c>
      <x:c r="AC36" s="54" t="n">
        <x:f>IFERROR(INDEX('Six-Factor Calc'!$AC$5:$AC$121,MATCH($A36,'Six-Factor Calc'!$A$5:$A$121,0)),"")</x:f>
        <x:v>40451</x:v>
      </x:c>
      <x:c r="AD36" s="54" t="n">
        <x:f>IFERROR(INDEX('Six-Factor Calc'!$AD$5:$AD$121,MATCH($A36,'Six-Factor Calc'!$A$5:$A$121,0)),"")</x:f>
        <x:v>46022</x:v>
      </x:c>
      <x:c r="AE36" s="47" t="str">
        <x:f>IFERROR(INDEX('Six-Factor Calc'!$AE$5:$AE$121,MATCH($A36,'Six-Factor Calc'!$A$5:$A$121,0)),"")</x:f>
        <x:v>OK</x:v>
      </x:c>
    </x:row>
    <x:row r="37">
      <x:c r="A37" s="12" t="n">
        <x:v>33</x:v>
      </x:c>
      <x:c r="B37" s="47" t="str">
        <x:f>IFERROR(INDEX('Six-Factor Calc'!$B$5:$B$121,MATCH($A37,'Six-Factor Calc'!$A$5:$A$121,0)),"")</x:f>
        <x:v>EA</x:v>
      </x:c>
      <x:c r="C37" s="47" t="str">
        <x:f>IFERROR(INDEX('Six-Factor Calc'!$C$5:$C$121,MATCH($A37,'Six-Factor Calc'!$A$5:$A$121,0)),"")</x:f>
        <x:v>Electronic Arts Inc.</x:v>
      </x:c>
      <x:c r="D37" s="49" t="str">
        <x:f>IFERROR(INDEX('Six-Factor Calc'!$D$5:$D$121,MATCH($A37,'Six-Factor Calc'!$A$5:$A$121,0)),"")</x:f>
        <x:v>Long</x:v>
      </x:c>
      <x:c r="E37" s="49" t="n">
        <x:f>IFERROR(INDEX('Six-Factor Calc'!$E$5:$E$121,MATCH($A37,'Six-Factor Calc'!$A$5:$A$121,0)),"")</x:f>
        <x:v>0.004259</x:v>
      </x:c>
      <x:c r="F37" s="50" t="n">
        <x:f>IFERROR(INDEX('Six-Factor Calc'!$F$5:$F$121,MATCH($A37,'Six-Factor Calc'!$A$5:$A$121,0)),"")</x:f>
        <x:v>0.28364013553360456</x:v>
      </x:c>
      <x:c r="G37" s="50" t="n">
        <x:f>IFERROR(INDEX('Six-Factor Calc'!$G$5:$G$121,MATCH($A37,'Six-Factor Calc'!$A$5:$A$121,0)),"")</x:f>
        <x:v>0.06621724465537841</x:v>
      </x:c>
      <x:c r="H37" s="329" t="n">
        <x:f>IFERROR(INDEX('Six-Factor Calc'!$H$5:$H$121,MATCH($A37,'Six-Factor Calc'!$A$5:$A$121,0)),"")</x:f>
        <x:v>6.243539730134932</x:v>
      </x:c>
      <x:c r="I37" s="47" t="n">
        <x:f>IFERROR(INDEX('Six-Factor Calc'!$I$5:$I$121,MATCH($A37,'Six-Factor Calc'!$A$5:$A$121,0)),"")</x:f>
        <x:v>6</x:v>
      </x:c>
      <x:c r="J37" s="52" t="n">
        <x:f>IFERROR(INDEX('Six-Factor Calc'!$J$5:$J$121,MATCH($A37,'Six-Factor Calc'!$A$5:$A$121,0)),"")</x:f>
        <x:v>6.431034482758621</x:v>
      </x:c>
      <x:c r="K37" s="47" t="n">
        <x:f>IFERROR(INDEX('Six-Factor Calc'!$K$5:$K$121,MATCH($A37,'Six-Factor Calc'!$A$5:$A$121,0)),"")</x:f>
        <x:v>47</x:v>
      </x:c>
      <x:c r="L37" s="52" t="n">
        <x:f>IFERROR(INDEX('Six-Factor Calc'!$L$5:$L$121,MATCH($A37,'Six-Factor Calc'!$A$5:$A$121,0)),"")</x:f>
        <x:v>6.752173913043479</x:v>
      </x:c>
      <x:c r="M37" s="47" t="n">
        <x:f>IFERROR(INDEX('Six-Factor Calc'!$M$5:$M$121,MATCH($A37,'Six-Factor Calc'!$A$5:$A$121,0)),"")</x:f>
        <x:v>32</x:v>
      </x:c>
      <x:c r="N37" s="47" t="str">
        <x:f>IFERROR(INDEX('Six-Factor Calc'!$N$5:$N$121,MATCH($A37,'Six-Factor Calc'!$A$5:$A$121,0)),"")</x:f>
        <x:v>SUE + CAR3</x:v>
      </x:c>
      <x:c r="O37" s="52" t="n">
        <x:f>IFERROR(INDEX('Six-Factor Calc'!$O$5:$O$121,MATCH($A37,'Six-Factor Calc'!$A$5:$A$121,0)),"")</x:f>
        <x:v>9.838</x:v>
      </x:c>
      <x:c r="P37" s="47" t="n">
        <x:f>IFERROR(INDEX('Six-Factor Calc'!$P$5:$P$121,MATCH($A37,'Six-Factor Calc'!$A$5:$A$121,0)),"")</x:f>
        <x:v>3</x:v>
      </x:c>
      <x:c r="Q37" s="50" t="n">
        <x:f>IFERROR(INDEX('Six-Factor Calc'!$Q$5:$Q$121,MATCH($A37,'Six-Factor Calc'!$A$5:$A$121,0)),"")</x:f>
        <x:v>1.11266</x:v>
      </x:c>
      <x:c r="R37" s="50" t="n">
        <x:f>IFERROR(INDEX('Six-Factor Calc'!$R$5:$R$121,MATCH($A37,'Six-Factor Calc'!$A$5:$A$121,0)),"")</x:f>
        <x:v>1.02178</x:v>
      </x:c>
      <x:c r="S37" s="317" t="n">
        <x:f>IFERROR(INDEX('Six-Factor Calc'!$S$5:$S$121,MATCH($A37,'Six-Factor Calc'!$A$5:$A$121,0)),"")</x:f>
        <x:v>0.08894282526571286</x:v>
      </x:c>
      <x:c r="T37" s="47" t="str">
        <x:f>IFERROR(INDEX('Six-Factor Calc'!$T$5:$T$121,MATCH($A37,'Six-Factor Calc'!$A$5:$A$121,0)),"")</x:f>
        <x:v>THIN COVERAGE</x:v>
      </x:c>
      <x:c r="U37" s="52" t="n">
        <x:f>IFERROR(INDEX('Six-Factor Calc'!$U$5:$U$121,MATCH($A37,'Six-Factor Calc'!$A$5:$A$121,0)),"")</x:f>
        <x:v>2.3243628185907044</x:v>
      </x:c>
      <x:c r="V37" s="47" t="n">
        <x:f>IFERROR(INDEX('Six-Factor Calc'!$V$5:$V$121,MATCH($A37,'Six-Factor Calc'!$A$5:$A$121,0)),"")</x:f>
        <x:v>117</x:v>
      </x:c>
      <x:c r="W37" s="52" t="n">
        <x:f>IFERROR(INDEX('Six-Factor Calc'!$W$5:$W$121,MATCH($A37,'Six-Factor Calc'!$A$5:$A$121,0)),"")</x:f>
        <x:v>5.732758620689655</x:v>
      </x:c>
      <x:c r="X37" s="47" t="n">
        <x:f>IFERROR(INDEX('Six-Factor Calc'!$X$5:$X$121,MATCH($A37,'Six-Factor Calc'!$A$5:$A$121,0)),"")</x:f>
        <x:v>47</x:v>
      </x:c>
      <x:c r="Y37" s="52" t="n">
        <x:f>IFERROR(INDEX('Six-Factor Calc'!$Y$5:$Y$121,MATCH($A37,'Six-Factor Calc'!$A$5:$A$121,0)),"")</x:f>
        <x:v>3.7155172413793105</x:v>
      </x:c>
      <x:c r="Z37" s="47" t="n">
        <x:f>IFERROR(INDEX('Six-Factor Calc'!$Z$5:$Z$121,MATCH($A37,'Six-Factor Calc'!$A$5:$A$121,0)),"")</x:f>
        <x:v>82</x:v>
      </x:c>
      <x:c r="AA37" s="47" t="str">
        <x:f>IFERROR(INDEX('Six-Factor Calc'!$AA$5:$AA$121,MATCH($A37,'Six-Factor Calc'!$A$5:$A$121,0)),"")</x:f>
        <x:v>Consumer Discretionary</x:v>
      </x:c>
      <x:c r="AB37" s="54" t="n">
        <x:f>IFERROR(INDEX('Six-Factor Calc'!$AB$5:$AB$121,MATCH($A37,'Six-Factor Calc'!$A$5:$A$121,0)),"")</x:f>
        <x:v>46213</x:v>
      </x:c>
      <x:c r="AC37" s="54" t="n">
        <x:f>IFERROR(INDEX('Six-Factor Calc'!$AC$5:$AC$121,MATCH($A37,'Six-Factor Calc'!$A$5:$A$121,0)),"")</x:f>
        <x:v>46112</x:v>
      </x:c>
      <x:c r="AD37" s="54" t="n">
        <x:f>IFERROR(INDEX('Six-Factor Calc'!$AD$5:$AD$121,MATCH($A37,'Six-Factor Calc'!$A$5:$A$121,0)),"")</x:f>
        <x:v>46112</x:v>
      </x:c>
      <x:c r="AE37" s="47" t="str">
        <x:f>IFERROR(INDEX('Six-Factor Calc'!$AE$5:$AE$121,MATCH($A37,'Six-Factor Calc'!$A$5:$A$121,0)),"")</x:f>
        <x:v>OK</x:v>
      </x:c>
    </x:row>
    <x:row r="38">
      <x:c r="A38" s="12" t="n">
        <x:v>34</x:v>
      </x:c>
      <x:c r="B38" s="47" t="str">
        <x:f>IFERROR(INDEX('Six-Factor Calc'!$B$5:$B$121,MATCH($A38,'Six-Factor Calc'!$A$5:$A$121,0)),"")</x:f>
        <x:v>SFM</x:v>
      </x:c>
      <x:c r="C38" s="47" t="str">
        <x:f>IFERROR(INDEX('Six-Factor Calc'!$C$5:$C$121,MATCH($A38,'Six-Factor Calc'!$A$5:$A$121,0)),"")</x:f>
        <x:v>Sprouts Farmers Market Inc.</x:v>
      </x:c>
      <x:c r="D38" s="49" t="str">
        <x:f>IFERROR(INDEX('Six-Factor Calc'!$D$5:$D$121,MATCH($A38,'Six-Factor Calc'!$A$5:$A$121,0)),"")</x:f>
        <x:v>Long</x:v>
      </x:c>
      <x:c r="E38" s="49" t="n">
        <x:f>IFERROR(INDEX('Six-Factor Calc'!$E$5:$E$121,MATCH($A38,'Six-Factor Calc'!$A$5:$A$121,0)),"")</x:f>
        <x:v>0.003754</x:v>
      </x:c>
      <x:c r="F38" s="50" t="n">
        <x:f>IFERROR(INDEX('Six-Factor Calc'!$F$5:$F$121,MATCH($A38,'Six-Factor Calc'!$A$5:$A$121,0)),"")</x:f>
        <x:v>0.31831153534311635</x:v>
      </x:c>
      <x:c r="G38" s="50" t="n">
        <x:f>IFERROR(INDEX('Six-Factor Calc'!$G$5:$G$121,MATCH($A38,'Six-Factor Calc'!$A$5:$A$121,0)),"")</x:f>
        <x:v>0.14842046574174902</x:v>
      </x:c>
      <x:c r="H38" s="329" t="n">
        <x:f>IFERROR(INDEX('Six-Factor Calc'!$H$5:$H$121,MATCH($A38,'Six-Factor Calc'!$A$5:$A$121,0)),"")</x:f>
        <x:v>6.23603053018945</x:v>
      </x:c>
      <x:c r="I38" s="47" t="n">
        <x:f>IFERROR(INDEX('Six-Factor Calc'!$I$5:$I$121,MATCH($A38,'Six-Factor Calc'!$A$5:$A$121,0)),"")</x:f>
        <x:v>6</x:v>
      </x:c>
      <x:c r="J38" s="52" t="n">
        <x:f>IFERROR(INDEX('Six-Factor Calc'!$J$5:$J$121,MATCH($A38,'Six-Factor Calc'!$A$5:$A$121,0)),"")</x:f>
        <x:v>9.301724137931034</x:v>
      </x:c>
      <x:c r="K38" s="47" t="n">
        <x:f>IFERROR(INDEX('Six-Factor Calc'!$K$5:$K$121,MATCH($A38,'Six-Factor Calc'!$A$5:$A$121,0)),"")</x:f>
        <x:v>10</x:v>
      </x:c>
      <x:c r="L38" s="52" t="n">
        <x:f>IFERROR(INDEX('Six-Factor Calc'!$L$5:$L$121,MATCH($A38,'Six-Factor Calc'!$A$5:$A$121,0)),"")</x:f>
        <x:v>6.113636363636363</x:v>
      </x:c>
      <x:c r="M38" s="47" t="n">
        <x:f>IFERROR(INDEX('Six-Factor Calc'!$M$5:$M$121,MATCH($A38,'Six-Factor Calc'!$A$5:$A$121,0)),"")</x:f>
        <x:v>47</x:v>
      </x:c>
      <x:c r="N38" s="47" t="str">
        <x:f>IFERROR(INDEX('Six-Factor Calc'!$N$5:$N$121,MATCH($A38,'Six-Factor Calc'!$A$5:$A$121,0)),"")</x:f>
        <x:v>SUE + CAR3</x:v>
      </x:c>
      <x:c r="O38" s="52" t="n">
        <x:f>IFERROR(INDEX('Six-Factor Calc'!$O$5:$O$121,MATCH($A38,'Six-Factor Calc'!$A$5:$A$121,0)),"")</x:f>
        <x:v>2.548</x:v>
      </x:c>
      <x:c r="P38" s="47" t="n">
        <x:f>IFERROR(INDEX('Six-Factor Calc'!$P$5:$P$121,MATCH($A38,'Six-Factor Calc'!$A$5:$A$121,0)),"")</x:f>
        <x:v>95</x:v>
      </x:c>
      <x:c r="Q38" s="50" t="n">
        <x:f>IFERROR(INDEX('Six-Factor Calc'!$Q$5:$Q$121,MATCH($A38,'Six-Factor Calc'!$A$5:$A$121,0)),"")</x:f>
        <x:v>1.23869</x:v>
      </x:c>
      <x:c r="R38" s="50" t="n">
        <x:f>IFERROR(INDEX('Six-Factor Calc'!$R$5:$R$121,MATCH($A38,'Six-Factor Calc'!$A$5:$A$121,0)),"")</x:f>
        <x:v>1.30289</x:v>
      </x:c>
      <x:c r="S38" s="317" t="n">
        <x:f>IFERROR(INDEX('Six-Factor Calc'!$S$5:$S$121,MATCH($A38,'Six-Factor Calc'!$A$5:$A$121,0)),"")</x:f>
        <x:v>-0.04927507310670896</x:v>
      </x:c>
      <x:c r="T38" s="47" t="str">
        <x:f>IFERROR(INDEX('Six-Factor Calc'!$T$5:$T$121,MATCH($A38,'Six-Factor Calc'!$A$5:$A$121,0)),"")</x:f>
        <x:v>OK</x:v>
      </x:c>
      <x:c r="U38" s="52" t="n">
        <x:f>IFERROR(INDEX('Six-Factor Calc'!$U$5:$U$121,MATCH($A38,'Six-Factor Calc'!$A$5:$A$121,0)),"")</x:f>
        <x:v>6.5323688155922035</x:v>
      </x:c>
      <x:c r="V38" s="47" t="n">
        <x:f>IFERROR(INDEX('Six-Factor Calc'!$V$5:$V$121,MATCH($A38,'Six-Factor Calc'!$A$5:$A$121,0)),"")</x:f>
        <x:v>36</x:v>
      </x:c>
      <x:c r="W38" s="52" t="n">
        <x:f>IFERROR(INDEX('Six-Factor Calc'!$W$5:$W$121,MATCH($A38,'Six-Factor Calc'!$A$5:$A$121,0)),"")</x:f>
        <x:v>2.5594827586206894</x:v>
      </x:c>
      <x:c r="X38" s="47" t="n">
        <x:f>IFERROR(INDEX('Six-Factor Calc'!$X$5:$X$121,MATCH($A38,'Six-Factor Calc'!$A$5:$A$121,0)),"")</x:f>
        <x:v>105</x:v>
      </x:c>
      <x:c r="Y38" s="52" t="n">
        <x:f>IFERROR(INDEX('Six-Factor Calc'!$Y$5:$Y$121,MATCH($A38,'Six-Factor Calc'!$A$5:$A$121,0)),"")</x:f>
        <x:v>8.525862068965516</x:v>
      </x:c>
      <x:c r="Z38" s="47" t="n">
        <x:f>IFERROR(INDEX('Six-Factor Calc'!$Z$5:$Z$121,MATCH($A38,'Six-Factor Calc'!$A$5:$A$121,0)),"")</x:f>
        <x:v>20</x:v>
      </x:c>
      <x:c r="AA38" s="47" t="str">
        <x:f>IFERROR(INDEX('Six-Factor Calc'!$AA$5:$AA$121,MATCH($A38,'Six-Factor Calc'!$A$5:$A$121,0)),"")</x:f>
        <x:v>Consumer Staples</x:v>
      </x:c>
      <x:c r="AB38" s="54" t="n">
        <x:f>IFERROR(INDEX('Six-Factor Calc'!$AB$5:$AB$121,MATCH($A38,'Six-Factor Calc'!$A$5:$A$121,0)),"")</x:f>
        <x:v>46213</x:v>
      </x:c>
      <x:c r="AC38" s="54" t="n">
        <x:f>IFERROR(INDEX('Six-Factor Calc'!$AC$5:$AC$121,MATCH($A38,'Six-Factor Calc'!$A$5:$A$121,0)),"")</x:f>
        <x:v>46110</x:v>
      </x:c>
      <x:c r="AD38" s="54" t="n">
        <x:f>IFERROR(INDEX('Six-Factor Calc'!$AD$5:$AD$121,MATCH($A38,'Six-Factor Calc'!$A$5:$A$121,0)),"")</x:f>
        <x:v>46019</x:v>
      </x:c>
      <x:c r="AE38" s="47" t="str">
        <x:f>IFERROR(INDEX('Six-Factor Calc'!$AE$5:$AE$121,MATCH($A38,'Six-Factor Calc'!$A$5:$A$121,0)),"")</x:f>
        <x:v>OK</x:v>
      </x:c>
    </x:row>
    <x:row r="39">
      <x:c r="A39" s="12" t="n">
        <x:v>35</x:v>
      </x:c>
      <x:c r="B39" s="47" t="str">
        <x:f>IFERROR(INDEX('Six-Factor Calc'!$B$5:$B$121,MATCH($A39,'Six-Factor Calc'!$A$5:$A$121,0)),"")</x:f>
        <x:v>CMCSA</x:v>
      </x:c>
      <x:c r="C39" s="47" t="str">
        <x:f>IFERROR(INDEX('Six-Factor Calc'!$C$5:$C$121,MATCH($A39,'Six-Factor Calc'!$A$5:$A$121,0)),"")</x:f>
        <x:v>Comcast Corp.</x:v>
      </x:c>
      <x:c r="D39" s="49" t="str">
        <x:f>IFERROR(INDEX('Six-Factor Calc'!$D$5:$D$121,MATCH($A39,'Six-Factor Calc'!$A$5:$A$121,0)),"")</x:f>
        <x:v>Long</x:v>
      </x:c>
      <x:c r="E39" s="49" t="n">
        <x:f>IFERROR(INDEX('Six-Factor Calc'!$E$5:$E$121,MATCH($A39,'Six-Factor Calc'!$A$5:$A$121,0)),"")</x:f>
        <x:v>0.003769</x:v>
      </x:c>
      <x:c r="F39" s="50" t="n">
        <x:f>IFERROR(INDEX('Six-Factor Calc'!$F$5:$F$121,MATCH($A39,'Six-Factor Calc'!$A$5:$A$121,0)),"")</x:f>
        <x:v>0.19325854156422623</x:v>
      </x:c>
      <x:c r="G39" s="50" t="n">
        <x:f>IFERROR(INDEX('Six-Factor Calc'!$G$5:$G$121,MATCH($A39,'Six-Factor Calc'!$A$5:$A$121,0)),"")</x:f>
        <x:v>-0.14527561962653748</x:v>
      </x:c>
      <x:c r="H39" s="329" t="n">
        <x:f>IFERROR(INDEX('Six-Factor Calc'!$H$5:$H$121,MATCH($A39,'Six-Factor Calc'!$A$5:$A$121,0)),"")</x:f>
        <x:v>6.220057789287173</x:v>
      </x:c>
      <x:c r="I39" s="47" t="n">
        <x:f>IFERROR(INDEX('Six-Factor Calc'!$I$5:$I$121,MATCH($A39,'Six-Factor Calc'!$A$5:$A$121,0)),"")</x:f>
        <x:v>6</x:v>
      </x:c>
      <x:c r="J39" s="52" t="n">
        <x:f>IFERROR(INDEX('Six-Factor Calc'!$J$5:$J$121,MATCH($A39,'Six-Factor Calc'!$A$5:$A$121,0)),"")</x:f>
        <x:v>8.448275862068964</x:v>
      </x:c>
      <x:c r="K39" s="47" t="n">
        <x:f>IFERROR(INDEX('Six-Factor Calc'!$K$5:$K$121,MATCH($A39,'Six-Factor Calc'!$A$5:$A$121,0)),"")</x:f>
        <x:v>21</x:v>
      </x:c>
      <x:c r="L39" s="52" t="n">
        <x:f>IFERROR(INDEX('Six-Factor Calc'!$L$5:$L$121,MATCH($A39,'Six-Factor Calc'!$A$5:$A$121,0)),"")</x:f>
        <x:v>2.791106719367589</x:v>
      </x:c>
      <x:c r="M39" s="47" t="n">
        <x:f>IFERROR(INDEX('Six-Factor Calc'!$M$5:$M$121,MATCH($A39,'Six-Factor Calc'!$A$5:$A$121,0)),"")</x:f>
        <x:v>106</x:v>
      </x:c>
      <x:c r="N39" s="47" t="str">
        <x:f>IFERROR(INDEX('Six-Factor Calc'!$N$5:$N$121,MATCH($A39,'Six-Factor Calc'!$A$5:$A$121,0)),"")</x:f>
        <x:v>SUE + CAR3</x:v>
      </x:c>
      <x:c r="O39" s="52" t="n">
        <x:f>IFERROR(INDEX('Six-Factor Calc'!$O$5:$O$121,MATCH($A39,'Six-Factor Calc'!$A$5:$A$121,0)),"")</x:f>
        <x:v>3.322</x:v>
      </x:c>
      <x:c r="P39" s="47" t="n">
        <x:f>IFERROR(INDEX('Six-Factor Calc'!$P$5:$P$121,MATCH($A39,'Six-Factor Calc'!$A$5:$A$121,0)),"")</x:f>
        <x:v>85</x:v>
      </x:c>
      <x:c r="Q39" s="50" t="n">
        <x:f>IFERROR(INDEX('Six-Factor Calc'!$Q$5:$Q$121,MATCH($A39,'Six-Factor Calc'!$A$5:$A$121,0)),"")</x:f>
        <x:v>1.00292</x:v>
      </x:c>
      <x:c r="R39" s="50" t="n">
        <x:f>IFERROR(INDEX('Six-Factor Calc'!$R$5:$R$121,MATCH($A39,'Six-Factor Calc'!$A$5:$A$121,0)),"")</x:f>
        <x:v>1.02577</x:v>
      </x:c>
      <x:c r="S39" s="317" t="n">
        <x:f>IFERROR(INDEX('Six-Factor Calc'!$S$5:$S$121,MATCH($A39,'Six-Factor Calc'!$A$5:$A$121,0)),"")</x:f>
        <x:v>-0.022275948799438505</x:v>
      </x:c>
      <x:c r="T39" s="47" t="str">
        <x:f>IFERROR(INDEX('Six-Factor Calc'!$T$5:$T$121,MATCH($A39,'Six-Factor Calc'!$A$5:$A$121,0)),"")</x:f>
        <x:v>OK</x:v>
      </x:c>
      <x:c r="U39" s="52" t="n">
        <x:f>IFERROR(INDEX('Six-Factor Calc'!$U$5:$U$121,MATCH($A39,'Six-Factor Calc'!$A$5:$A$121,0)),"")</x:f>
        <x:v>9.824081709145428</x:v>
      </x:c>
      <x:c r="V39" s="47" t="n">
        <x:f>IFERROR(INDEX('Six-Factor Calc'!$V$5:$V$121,MATCH($A39,'Six-Factor Calc'!$A$5:$A$121,0)),"")</x:f>
        <x:v>1</x:v>
      </x:c>
      <x:c r="W39" s="52" t="n">
        <x:f>IFERROR(INDEX('Six-Factor Calc'!$W$5:$W$121,MATCH($A39,'Six-Factor Calc'!$A$5:$A$121,0)),"")</x:f>
        <x:v>6.195172413793103</x:v>
      </x:c>
      <x:c r="X39" s="47" t="n">
        <x:f>IFERROR(INDEX('Six-Factor Calc'!$X$5:$X$121,MATCH($A39,'Six-Factor Calc'!$A$5:$A$121,0)),"")</x:f>
        <x:v>40</x:v>
      </x:c>
      <x:c r="Y39" s="52" t="n">
        <x:f>IFERROR(INDEX('Six-Factor Calc'!$Y$5:$Y$121,MATCH($A39,'Six-Factor Calc'!$A$5:$A$121,0)),"")</x:f>
        <x:v>9.689655172413794</x:v>
      </x:c>
      <x:c r="Z39" s="47" t="n">
        <x:f>IFERROR(INDEX('Six-Factor Calc'!$Z$5:$Z$121,MATCH($A39,'Six-Factor Calc'!$A$5:$A$121,0)),"")</x:f>
        <x:v>5</x:v>
      </x:c>
      <x:c r="AA39" s="47" t="str">
        <x:f>IFERROR(INDEX('Six-Factor Calc'!$AA$5:$AA$121,MATCH($A39,'Six-Factor Calc'!$A$5:$A$121,0)),"")</x:f>
        <x:v>Telecommunications</x:v>
      </x:c>
      <x:c r="AB39" s="54" t="n">
        <x:f>IFERROR(INDEX('Six-Factor Calc'!$AB$5:$AB$121,MATCH($A39,'Six-Factor Calc'!$A$5:$A$121,0)),"")</x:f>
        <x:v>46213</x:v>
      </x:c>
      <x:c r="AC39" s="54" t="n">
        <x:f>IFERROR(INDEX('Six-Factor Calc'!$AC$5:$AC$121,MATCH($A39,'Six-Factor Calc'!$A$5:$A$121,0)),"")</x:f>
        <x:v>46112</x:v>
      </x:c>
      <x:c r="AD39" s="54" t="n">
        <x:f>IFERROR(INDEX('Six-Factor Calc'!$AD$5:$AD$121,MATCH($A39,'Six-Factor Calc'!$A$5:$A$121,0)),"")</x:f>
        <x:v>46022</x:v>
      </x:c>
      <x:c r="AE39" s="47" t="str">
        <x:f>IFERROR(INDEX('Six-Factor Calc'!$AE$5:$AE$121,MATCH($A39,'Six-Factor Calc'!$A$5:$A$121,0)),"")</x:f>
        <x:v>OK</x:v>
      </x:c>
    </x:row>
    <x:row r="40">
      <x:c r="A40" s="12" t="n">
        <x:v>36</x:v>
      </x:c>
      <x:c r="B40" s="47" t="str">
        <x:f>IFERROR(INDEX('Six-Factor Calc'!$B$5:$B$121,MATCH($A40,'Six-Factor Calc'!$A$5:$A$121,0)),"")</x:f>
        <x:v>FE</x:v>
      </x:c>
      <x:c r="C40" s="47" t="str">
        <x:f>IFERROR(INDEX('Six-Factor Calc'!$C$5:$C$121,MATCH($A40,'Six-Factor Calc'!$A$5:$A$121,0)),"")</x:f>
        <x:v>FirstEnergy Corp.</x:v>
      </x:c>
      <x:c r="D40" s="49" t="str">
        <x:f>IFERROR(INDEX('Six-Factor Calc'!$D$5:$D$121,MATCH($A40,'Six-Factor Calc'!$A$5:$A$121,0)),"")</x:f>
        <x:v>Long</x:v>
      </x:c>
      <x:c r="E40" s="49" t="n">
        <x:f>IFERROR(INDEX('Six-Factor Calc'!$E$5:$E$121,MATCH($A40,'Six-Factor Calc'!$A$5:$A$121,0)),"")</x:f>
        <x:v>0.004202</x:v>
      </x:c>
      <x:c r="F40" s="50" t="n">
        <x:f>IFERROR(INDEX('Six-Factor Calc'!$F$5:$F$121,MATCH($A40,'Six-Factor Calc'!$A$5:$A$121,0)),"")</x:f>
        <x:v>0.0984156002552517</x:v>
      </x:c>
      <x:c r="G40" s="50" t="n">
        <x:f>IFERROR(INDEX('Six-Factor Calc'!$G$5:$G$121,MATCH($A40,'Six-Factor Calc'!$A$5:$A$121,0)),"")</x:f>
        <x:v>0.05171476862294961</x:v>
      </x:c>
      <x:c r="H40" s="329" t="n">
        <x:f>IFERROR(INDEX('Six-Factor Calc'!$H$5:$H$121,MATCH($A40,'Six-Factor Calc'!$A$5:$A$121,0)),"")</x:f>
        <x:v>6.20964849393485</x:v>
      </x:c>
      <x:c r="I40" s="47" t="n">
        <x:f>IFERROR(INDEX('Six-Factor Calc'!$I$5:$I$121,MATCH($A40,'Six-Factor Calc'!$A$5:$A$121,0)),"")</x:f>
        <x:v>6</x:v>
      </x:c>
      <x:c r="J40" s="52" t="n">
        <x:f>IFERROR(INDEX('Six-Factor Calc'!$J$5:$J$121,MATCH($A40,'Six-Factor Calc'!$A$5:$A$121,0)),"")</x:f>
        <x:v>6.353448275862069</x:v>
      </x:c>
      <x:c r="K40" s="47" t="n">
        <x:f>IFERROR(INDEX('Six-Factor Calc'!$K$5:$K$121,MATCH($A40,'Six-Factor Calc'!$A$5:$A$121,0)),"")</x:f>
        <x:v>48</x:v>
      </x:c>
      <x:c r="L40" s="52" t="n">
        <x:f>IFERROR(INDEX('Six-Factor Calc'!$L$5:$L$121,MATCH($A40,'Six-Factor Calc'!$A$5:$A$121,0)),"")</x:f>
        <x:v>5.784584980237154</x:v>
      </x:c>
      <x:c r="M40" s="47" t="n">
        <x:f>IFERROR(INDEX('Six-Factor Calc'!$M$5:$M$121,MATCH($A40,'Six-Factor Calc'!$A$5:$A$121,0)),"")</x:f>
        <x:v>54</x:v>
      </x:c>
      <x:c r="N40" s="47" t="str">
        <x:f>IFERROR(INDEX('Six-Factor Calc'!$N$5:$N$121,MATCH($A40,'Six-Factor Calc'!$A$5:$A$121,0)),"")</x:f>
        <x:v>SUE + CAR3</x:v>
      </x:c>
      <x:c r="O40" s="52" t="n">
        <x:f>IFERROR(INDEX('Six-Factor Calc'!$O$5:$O$121,MATCH($A40,'Six-Factor Calc'!$A$5:$A$121,0)),"")</x:f>
        <x:v>9.298</x:v>
      </x:c>
      <x:c r="P40" s="47" t="n">
        <x:f>IFERROR(INDEX('Six-Factor Calc'!$P$5:$P$121,MATCH($A40,'Six-Factor Calc'!$A$5:$A$121,0)),"")</x:f>
        <x:v>10</x:v>
      </x:c>
      <x:c r="Q40" s="50" t="n">
        <x:f>IFERROR(INDEX('Six-Factor Calc'!$Q$5:$Q$121,MATCH($A40,'Six-Factor Calc'!$A$5:$A$121,0)),"")</x:f>
        <x:v>0.93526</x:v>
      </x:c>
      <x:c r="R40" s="50" t="n">
        <x:f>IFERROR(INDEX('Six-Factor Calc'!$R$5:$R$121,MATCH($A40,'Six-Factor Calc'!$A$5:$A$121,0)),"")</x:f>
        <x:v>0.89451</x:v>
      </x:c>
      <x:c r="S40" s="317" t="n">
        <x:f>IFERROR(INDEX('Six-Factor Calc'!$S$5:$S$121,MATCH($A40,'Six-Factor Calc'!$A$5:$A$121,0)),"")</x:f>
        <x:v>0.04555566734860421</x:v>
      </x:c>
      <x:c r="T40" s="47" t="str">
        <x:f>IFERROR(INDEX('Six-Factor Calc'!$T$5:$T$121,MATCH($A40,'Six-Factor Calc'!$A$5:$A$121,0)),"")</x:f>
        <x:v>OK</x:v>
      </x:c>
      <x:c r="U40" s="52" t="n">
        <x:f>IFERROR(INDEX('Six-Factor Calc'!$U$5:$U$121,MATCH($A40,'Six-Factor Calc'!$A$5:$A$121,0)),"")</x:f>
        <x:v>4.730985757121439</x:v>
      </x:c>
      <x:c r="V40" s="47" t="n">
        <x:f>IFERROR(INDEX('Six-Factor Calc'!$V$5:$V$121,MATCH($A40,'Six-Factor Calc'!$A$5:$A$121,0)),"")</x:f>
        <x:v>78</x:v>
      </x:c>
      <x:c r="W40" s="52" t="n">
        <x:f>IFERROR(INDEX('Six-Factor Calc'!$W$5:$W$121,MATCH($A40,'Six-Factor Calc'!$A$5:$A$121,0)),"")</x:f>
        <x:v>3.389655172413793</x:v>
      </x:c>
      <x:c r="X40" s="47" t="n">
        <x:f>IFERROR(INDEX('Six-Factor Calc'!$X$5:$X$121,MATCH($A40,'Six-Factor Calc'!$A$5:$A$121,0)),"")</x:f>
        <x:v>91</x:v>
      </x:c>
      <x:c r="Y40" s="52" t="n">
        <x:f>IFERROR(INDEX('Six-Factor Calc'!$Y$5:$Y$121,MATCH($A40,'Six-Factor Calc'!$A$5:$A$121,0)),"")</x:f>
        <x:v>6.508620689655172</x:v>
      </x:c>
      <x:c r="Z40" s="47" t="n">
        <x:f>IFERROR(INDEX('Six-Factor Calc'!$Z$5:$Z$121,MATCH($A40,'Six-Factor Calc'!$A$5:$A$121,0)),"")</x:f>
        <x:v>46</x:v>
      </x:c>
      <x:c r="AA40" s="47" t="str">
        <x:f>IFERROR(INDEX('Six-Factor Calc'!$AA$5:$AA$121,MATCH($A40,'Six-Factor Calc'!$A$5:$A$121,0)),"")</x:f>
        <x:v>Utilities</x:v>
      </x:c>
      <x:c r="AB40" s="54" t="n">
        <x:f>IFERROR(INDEX('Six-Factor Calc'!$AB$5:$AB$121,MATCH($A40,'Six-Factor Calc'!$A$5:$A$121,0)),"")</x:f>
        <x:v>46213</x:v>
      </x:c>
      <x:c r="AC40" s="54" t="n">
        <x:f>IFERROR(INDEX('Six-Factor Calc'!$AC$5:$AC$121,MATCH($A40,'Six-Factor Calc'!$A$5:$A$121,0)),"")</x:f>
        <x:v>46112</x:v>
      </x:c>
      <x:c r="AD40" s="54" t="n">
        <x:f>IFERROR(INDEX('Six-Factor Calc'!$AD$5:$AD$121,MATCH($A40,'Six-Factor Calc'!$A$5:$A$121,0)),"")</x:f>
        <x:v>46022</x:v>
      </x:c>
      <x:c r="AE40" s="47" t="str">
        <x:f>IFERROR(INDEX('Six-Factor Calc'!$AE$5:$AE$121,MATCH($A40,'Six-Factor Calc'!$A$5:$A$121,0)),"")</x:f>
        <x:v>OK</x:v>
      </x:c>
    </x:row>
    <x:row r="41">
      <x:c r="A41" s="12" t="n">
        <x:v>37</x:v>
      </x:c>
      <x:c r="B41" s="47" t="str">
        <x:f>IFERROR(INDEX('Six-Factor Calc'!$B$5:$B$121,MATCH($A41,'Six-Factor Calc'!$A$5:$A$121,0)),"")</x:f>
        <x:v>AMGN</x:v>
      </x:c>
      <x:c r="C41" s="47" t="str">
        <x:f>IFERROR(INDEX('Six-Factor Calc'!$C$5:$C$121,MATCH($A41,'Six-Factor Calc'!$A$5:$A$121,0)),"")</x:f>
        <x:v>Amgen Inc.</x:v>
      </x:c>
      <x:c r="D41" s="49" t="str">
        <x:f>IFERROR(INDEX('Six-Factor Calc'!$D$5:$D$121,MATCH($A41,'Six-Factor Calc'!$A$5:$A$121,0)),"")</x:f>
        <x:v>Long</x:v>
      </x:c>
      <x:c r="E41" s="49" t="n">
        <x:f>IFERROR(INDEX('Six-Factor Calc'!$E$5:$E$121,MATCH($A41,'Six-Factor Calc'!$A$5:$A$121,0)),"")</x:f>
        <x:v>0.004374</x:v>
      </x:c>
      <x:c r="F41" s="50" t="n">
        <x:f>IFERROR(INDEX('Six-Factor Calc'!$F$5:$F$121,MATCH($A41,'Six-Factor Calc'!$A$5:$A$121,0)),"")</x:f>
        <x:v>-0.0016127753963831057</x:v>
      </x:c>
      <x:c r="G41" s="50" t="n">
        <x:f>IFERROR(INDEX('Six-Factor Calc'!$G$5:$G$121,MATCH($A41,'Six-Factor Calc'!$A$5:$A$121,0)),"")</x:f>
        <x:v>-0.12994255649496325</x:v>
      </x:c>
      <x:c r="H41" s="329" t="n">
        <x:f>IFERROR(INDEX('Six-Factor Calc'!$H$5:$H$121,MATCH($A41,'Six-Factor Calc'!$A$5:$A$121,0)),"")</x:f>
        <x:v>6.1966565012948065</x:v>
      </x:c>
      <x:c r="I41" s="47" t="n">
        <x:f>IFERROR(INDEX('Six-Factor Calc'!$I$5:$I$121,MATCH($A41,'Six-Factor Calc'!$A$5:$A$121,0)),"")</x:f>
        <x:v>6</x:v>
      </x:c>
      <x:c r="J41" s="52" t="n">
        <x:f>IFERROR(INDEX('Six-Factor Calc'!$J$5:$J$121,MATCH($A41,'Six-Factor Calc'!$A$5:$A$121,0)),"")</x:f>
        <x:v>7.478448275862069</x:v>
      </x:c>
      <x:c r="K41" s="47" t="n">
        <x:f>IFERROR(INDEX('Six-Factor Calc'!$K$5:$K$121,MATCH($A41,'Six-Factor Calc'!$A$5:$A$121,0)),"")</x:f>
        <x:v>33</x:v>
      </x:c>
      <x:c r="L41" s="52" t="n">
        <x:f>IFERROR(INDEX('Six-Factor Calc'!$L$5:$L$121,MATCH($A41,'Six-Factor Calc'!$A$5:$A$121,0)),"")</x:f>
        <x:v>4.123320158102767</x:v>
      </x:c>
      <x:c r="M41" s="47" t="n">
        <x:f>IFERROR(INDEX('Six-Factor Calc'!$M$5:$M$121,MATCH($A41,'Six-Factor Calc'!$A$5:$A$121,0)),"")</x:f>
        <x:v>86</x:v>
      </x:c>
      <x:c r="N41" s="47" t="str">
        <x:f>IFERROR(INDEX('Six-Factor Calc'!$N$5:$N$121,MATCH($A41,'Six-Factor Calc'!$A$5:$A$121,0)),"")</x:f>
        <x:v>SUE + CAR3</x:v>
      </x:c>
      <x:c r="O41" s="52" t="n">
        <x:f>IFERROR(INDEX('Six-Factor Calc'!$O$5:$O$121,MATCH($A41,'Six-Factor Calc'!$A$5:$A$121,0)),"")</x:f>
        <x:v>7.435</x:v>
      </x:c>
      <x:c r="P41" s="47" t="n">
        <x:f>IFERROR(INDEX('Six-Factor Calc'!$P$5:$P$121,MATCH($A41,'Six-Factor Calc'!$A$5:$A$121,0)),"")</x:f>
        <x:v>34</x:v>
      </x:c>
      <x:c r="Q41" s="50" t="n">
        <x:f>IFERROR(INDEX('Six-Factor Calc'!$Q$5:$Q$121,MATCH($A41,'Six-Factor Calc'!$A$5:$A$121,0)),"")</x:f>
        <x:v>5.80412</x:v>
      </x:c>
      <x:c r="R41" s="50" t="n">
        <x:f>IFERROR(INDEX('Six-Factor Calc'!$R$5:$R$121,MATCH($A41,'Six-Factor Calc'!$A$5:$A$121,0)),"")</x:f>
        <x:v>5.7536</x:v>
      </x:c>
      <x:c r="S41" s="317" t="n">
        <x:f>IFERROR(INDEX('Six-Factor Calc'!$S$5:$S$121,MATCH($A41,'Six-Factor Calc'!$A$5:$A$121,0)),"")</x:f>
        <x:v>0.008780589543937808</x:v>
      </x:c>
      <x:c r="T41" s="47" t="str">
        <x:f>IFERROR(INDEX('Six-Factor Calc'!$T$5:$T$121,MATCH($A41,'Six-Factor Calc'!$A$5:$A$121,0)),"")</x:f>
        <x:v>OK</x:v>
      </x:c>
      <x:c r="U41" s="52" t="n">
        <x:f>IFERROR(INDEX('Six-Factor Calc'!$U$5:$U$121,MATCH($A41,'Six-Factor Calc'!$A$5:$A$121,0)),"")</x:f>
        <x:v>3.47273988005997</x:v>
      </x:c>
      <x:c r="V41" s="47" t="n">
        <x:f>IFERROR(INDEX('Six-Factor Calc'!$V$5:$V$121,MATCH($A41,'Six-Factor Calc'!$A$5:$A$121,0)),"")</x:f>
        <x:v>98</x:v>
      </x:c>
      <x:c r="W41" s="52" t="n">
        <x:f>IFERROR(INDEX('Six-Factor Calc'!$W$5:$W$121,MATCH($A41,'Six-Factor Calc'!$A$5:$A$121,0)),"")</x:f>
        <x:v>7.445862068965517</x:v>
      </x:c>
      <x:c r="X41" s="47" t="n">
        <x:f>IFERROR(INDEX('Six-Factor Calc'!$X$5:$X$121,MATCH($A41,'Six-Factor Calc'!$A$5:$A$121,0)),"")</x:f>
        <x:v>19</x:v>
      </x:c>
      <x:c r="Y41" s="52" t="n">
        <x:f>IFERROR(INDEX('Six-Factor Calc'!$Y$5:$Y$121,MATCH($A41,'Six-Factor Calc'!$A$5:$A$121,0)),"")</x:f>
        <x:v>7.594827586206896</x:v>
      </x:c>
      <x:c r="Z41" s="47" t="n">
        <x:f>IFERROR(INDEX('Six-Factor Calc'!$Z$5:$Z$121,MATCH($A41,'Six-Factor Calc'!$A$5:$A$121,0)),"")</x:f>
        <x:v>32</x:v>
      </x:c>
      <x:c r="AA41" s="47" t="str">
        <x:f>IFERROR(INDEX('Six-Factor Calc'!$AA$5:$AA$121,MATCH($A41,'Six-Factor Calc'!$A$5:$A$121,0)),"")</x:f>
        <x:v>Health Care</x:v>
      </x:c>
      <x:c r="AB41" s="54" t="n">
        <x:f>IFERROR(INDEX('Six-Factor Calc'!$AB$5:$AB$121,MATCH($A41,'Six-Factor Calc'!$A$5:$A$121,0)),"")</x:f>
        <x:v>46213</x:v>
      </x:c>
      <x:c r="AC41" s="54" t="n">
        <x:f>IFERROR(INDEX('Six-Factor Calc'!$AC$5:$AC$121,MATCH($A41,'Six-Factor Calc'!$A$5:$A$121,0)),"")</x:f>
        <x:v>46112</x:v>
      </x:c>
      <x:c r="AD41" s="54" t="n">
        <x:f>IFERROR(INDEX('Six-Factor Calc'!$AD$5:$AD$121,MATCH($A41,'Six-Factor Calc'!$A$5:$A$121,0)),"")</x:f>
        <x:v>46022</x:v>
      </x:c>
      <x:c r="AE41" s="47" t="str">
        <x:f>IFERROR(INDEX('Six-Factor Calc'!$AE$5:$AE$121,MATCH($A41,'Six-Factor Calc'!$A$5:$A$121,0)),"")</x:f>
        <x:v>OK</x:v>
      </x:c>
    </x:row>
    <x:row r="42">
      <x:c r="A42" s="12" t="n">
        <x:v>38</x:v>
      </x:c>
      <x:c r="B42" s="47" t="str">
        <x:f>IFERROR(INDEX('Six-Factor Calc'!$B$5:$B$121,MATCH($A42,'Six-Factor Calc'!$A$5:$A$121,0)),"")</x:f>
        <x:v>WM</x:v>
      </x:c>
      <x:c r="C42" s="47" t="str">
        <x:f>IFERROR(INDEX('Six-Factor Calc'!$C$5:$C$121,MATCH($A42,'Six-Factor Calc'!$A$5:$A$121,0)),"")</x:f>
        <x:v>Waste Management Inc.</x:v>
      </x:c>
      <x:c r="D42" s="49" t="str">
        <x:f>IFERROR(INDEX('Six-Factor Calc'!$D$5:$D$121,MATCH($A42,'Six-Factor Calc'!$A$5:$A$121,0)),"")</x:f>
        <x:v>Long</x:v>
      </x:c>
      <x:c r="E42" s="49" t="n">
        <x:f>IFERROR(INDEX('Six-Factor Calc'!$E$5:$E$121,MATCH($A42,'Six-Factor Calc'!$A$5:$A$121,0)),"")</x:f>
        <x:v>0.004414</x:v>
      </x:c>
      <x:c r="F42" s="50" t="n">
        <x:f>IFERROR(INDEX('Six-Factor Calc'!$F$5:$F$121,MATCH($A42,'Six-Factor Calc'!$A$5:$A$121,0)),"")</x:f>
        <x:v>0.17222717380919536</x:v>
      </x:c>
      <x:c r="G42" s="50" t="n">
        <x:f>IFERROR(INDEX('Six-Factor Calc'!$G$5:$G$121,MATCH($A42,'Six-Factor Calc'!$A$5:$A$121,0)),"")</x:f>
        <x:v>0.005448686567007985</x:v>
      </x:c>
      <x:c r="H42" s="329" t="n">
        <x:f>IFERROR(INDEX('Six-Factor Calc'!$H$5:$H$121,MATCH($A42,'Six-Factor Calc'!$A$5:$A$121,0)),"")</x:f>
        <x:v>6.147250783699059</x:v>
      </x:c>
      <x:c r="I42" s="47" t="n">
        <x:f>IFERROR(INDEX('Six-Factor Calc'!$I$5:$I$121,MATCH($A42,'Six-Factor Calc'!$A$5:$A$121,0)),"")</x:f>
        <x:v>6</x:v>
      </x:c>
      <x:c r="J42" s="52" t="n">
        <x:f>IFERROR(INDEX('Six-Factor Calc'!$J$5:$J$121,MATCH($A42,'Six-Factor Calc'!$A$5:$A$121,0)),"")</x:f>
        <x:v>8.75862068965517</x:v>
      </x:c>
      <x:c r="K42" s="47" t="n">
        <x:f>IFERROR(INDEX('Six-Factor Calc'!$K$5:$K$121,MATCH($A42,'Six-Factor Calc'!$A$5:$A$121,0)),"")</x:f>
        <x:v>17</x:v>
      </x:c>
      <x:c r="L42" s="52" t="n">
        <x:f>IFERROR(INDEX('Six-Factor Calc'!$L$5:$L$121,MATCH($A42,'Six-Factor Calc'!$A$5:$A$121,0)),"")</x:f>
        <x:v>6.953162055335969</x:v>
      </x:c>
      <x:c r="M42" s="47" t="n">
        <x:f>IFERROR(INDEX('Six-Factor Calc'!$M$5:$M$121,MATCH($A42,'Six-Factor Calc'!$A$5:$A$121,0)),"")</x:f>
        <x:v>26</x:v>
      </x:c>
      <x:c r="N42" s="47" t="str">
        <x:f>IFERROR(INDEX('Six-Factor Calc'!$N$5:$N$121,MATCH($A42,'Six-Factor Calc'!$A$5:$A$121,0)),"")</x:f>
        <x:v>SUE + CAR3</x:v>
      </x:c>
      <x:c r="O42" s="52" t="n">
        <x:f>IFERROR(INDEX('Six-Factor Calc'!$O$5:$O$121,MATCH($A42,'Six-Factor Calc'!$A$5:$A$121,0)),"")</x:f>
        <x:v>5.032</x:v>
      </x:c>
      <x:c r="P42" s="47" t="n">
        <x:f>IFERROR(INDEX('Six-Factor Calc'!$P$5:$P$121,MATCH($A42,'Six-Factor Calc'!$A$5:$A$121,0)),"")</x:f>
        <x:v>63</x:v>
      </x:c>
      <x:c r="Q42" s="50" t="n">
        <x:f>IFERROR(INDEX('Six-Factor Calc'!$Q$5:$Q$121,MATCH($A42,'Six-Factor Calc'!$A$5:$A$121,0)),"")</x:f>
        <x:v>2.18841</x:v>
      </x:c>
      <x:c r="R42" s="50" t="n">
        <x:f>IFERROR(INDEX('Six-Factor Calc'!$R$5:$R$121,MATCH($A42,'Six-Factor Calc'!$A$5:$A$121,0)),"")</x:f>
        <x:v>2.20157</x:v>
      </x:c>
      <x:c r="S42" s="317" t="n">
        <x:f>IFERROR(INDEX('Six-Factor Calc'!$S$5:$S$121,MATCH($A42,'Six-Factor Calc'!$A$5:$A$121,0)),"")</x:f>
        <x:v>-0.005977552383071906</x:v>
      </x:c>
      <x:c r="T42" s="47" t="str">
        <x:f>IFERROR(INDEX('Six-Factor Calc'!$T$5:$T$121,MATCH($A42,'Six-Factor Calc'!$A$5:$A$121,0)),"")</x:f>
        <x:v>OK</x:v>
      </x:c>
      <x:c r="U42" s="52" t="n">
        <x:f>IFERROR(INDEX('Six-Factor Calc'!$U$5:$U$121,MATCH($A42,'Six-Factor Calc'!$A$5:$A$121,0)),"")</x:f>
        <x:v>3.3266079460269866</x:v>
      </x:c>
      <x:c r="V42" s="47" t="n">
        <x:f>IFERROR(INDEX('Six-Factor Calc'!$V$5:$V$121,MATCH($A42,'Six-Factor Calc'!$A$5:$A$121,0)),"")</x:f>
        <x:v>100</x:v>
      </x:c>
      <x:c r="W42" s="52" t="n">
        <x:f>IFERROR(INDEX('Six-Factor Calc'!$W$5:$W$121,MATCH($A42,'Six-Factor Calc'!$A$5:$A$121,0)),"")</x:f>
        <x:v>5.538793103448276</x:v>
      </x:c>
      <x:c r="X42" s="47" t="n">
        <x:f>IFERROR(INDEX('Six-Factor Calc'!$X$5:$X$121,MATCH($A42,'Six-Factor Calc'!$A$5:$A$121,0)),"")</x:f>
        <x:v>50</x:v>
      </x:c>
      <x:c r="Y42" s="52" t="n">
        <x:f>IFERROR(INDEX('Six-Factor Calc'!$Y$5:$Y$121,MATCH($A42,'Six-Factor Calc'!$A$5:$A$121,0)),"")</x:f>
        <x:v>3.560344827586207</x:v>
      </x:c>
      <x:c r="Z42" s="47" t="n">
        <x:f>IFERROR(INDEX('Six-Factor Calc'!$Z$5:$Z$121,MATCH($A42,'Six-Factor Calc'!$A$5:$A$121,0)),"")</x:f>
        <x:v>84</x:v>
      </x:c>
      <x:c r="AA42" s="47" t="str">
        <x:f>IFERROR(INDEX('Six-Factor Calc'!$AA$5:$AA$121,MATCH($A42,'Six-Factor Calc'!$A$5:$A$121,0)),"")</x:f>
        <x:v>Utilities</x:v>
      </x:c>
      <x:c r="AB42" s="54" t="n">
        <x:f>IFERROR(INDEX('Six-Factor Calc'!$AB$5:$AB$121,MATCH($A42,'Six-Factor Calc'!$A$5:$A$121,0)),"")</x:f>
        <x:v>46213</x:v>
      </x:c>
      <x:c r="AC42" s="54" t="n">
        <x:f>IFERROR(INDEX('Six-Factor Calc'!$AC$5:$AC$121,MATCH($A42,'Six-Factor Calc'!$A$5:$A$121,0)),"")</x:f>
        <x:v>46112</x:v>
      </x:c>
      <x:c r="AD42" s="54" t="n">
        <x:f>IFERROR(INDEX('Six-Factor Calc'!$AD$5:$AD$121,MATCH($A42,'Six-Factor Calc'!$A$5:$A$121,0)),"")</x:f>
        <x:v>46022</x:v>
      </x:c>
      <x:c r="AE42" s="47" t="str">
        <x:f>IFERROR(INDEX('Six-Factor Calc'!$AE$5:$AE$121,MATCH($A42,'Six-Factor Calc'!$A$5:$A$121,0)),"")</x:f>
        <x:v>OK</x:v>
      </x:c>
    </x:row>
    <x:row r="43">
      <x:c r="A43" s="12" t="n">
        <x:v>39</x:v>
      </x:c>
      <x:c r="B43" s="47" t="str">
        <x:f>IFERROR(INDEX('Six-Factor Calc'!$B$5:$B$121,MATCH($A43,'Six-Factor Calc'!$A$5:$A$121,0)),"")</x:f>
        <x:v>PPC</x:v>
      </x:c>
      <x:c r="C43" s="47" t="str">
        <x:f>IFERROR(INDEX('Six-Factor Calc'!$C$5:$C$121,MATCH($A43,'Six-Factor Calc'!$A$5:$A$121,0)),"")</x:f>
        <x:v>Pilgrim's Pride Corp.</x:v>
      </x:c>
      <x:c r="D43" s="49" t="str">
        <x:f>IFERROR(INDEX('Six-Factor Calc'!$D$5:$D$121,MATCH($A43,'Six-Factor Calc'!$A$5:$A$121,0)),"")</x:f>
        <x:v>Long</x:v>
      </x:c>
      <x:c r="E43" s="49" t="n">
        <x:f>IFERROR(INDEX('Six-Factor Calc'!$E$5:$E$121,MATCH($A43,'Six-Factor Calc'!$A$5:$A$121,0)),"")</x:f>
        <x:v>0.003886</x:v>
      </x:c>
      <x:c r="F43" s="50" t="n">
        <x:f>IFERROR(INDEX('Six-Factor Calc'!$F$5:$F$121,MATCH($A43,'Six-Factor Calc'!$A$5:$A$121,0)),"")</x:f>
        <x:v>-0.2612609556854732</x:v>
      </x:c>
      <x:c r="G43" s="50" t="n">
        <x:f>IFERROR(INDEX('Six-Factor Calc'!$G$5:$G$121,MATCH($A43,'Six-Factor Calc'!$A$5:$A$121,0)),"")</x:f>
        <x:v>-0.1242459558289768</x:v>
      </x:c>
      <x:c r="H43" s="329" t="n">
        <x:f>IFERROR(INDEX('Six-Factor Calc'!$H$5:$H$121,MATCH($A43,'Six-Factor Calc'!$A$5:$A$121,0)),"")</x:f>
        <x:v>6.136033460542455</x:v>
      </x:c>
      <x:c r="I43" s="47" t="n">
        <x:f>IFERROR(INDEX('Six-Factor Calc'!$I$5:$I$121,MATCH($A43,'Six-Factor Calc'!$A$5:$A$121,0)),"")</x:f>
        <x:v>6</x:v>
      </x:c>
      <x:c r="J43" s="52" t="n">
        <x:f>IFERROR(INDEX('Six-Factor Calc'!$J$5:$J$121,MATCH($A43,'Six-Factor Calc'!$A$5:$A$121,0)),"")</x:f>
        <x:v>9.922413793103448</x:v>
      </x:c>
      <x:c r="K43" s="47" t="n">
        <x:f>IFERROR(INDEX('Six-Factor Calc'!$K$5:$K$121,MATCH($A43,'Six-Factor Calc'!$A$5:$A$121,0)),"")</x:f>
        <x:v>2</x:v>
      </x:c>
      <x:c r="L43" s="52" t="n">
        <x:f>IFERROR(INDEX('Six-Factor Calc'!$L$5:$L$121,MATCH($A43,'Six-Factor Calc'!$A$5:$A$121,0)),"")</x:f>
        <x:v>2.933399209486166</x:v>
      </x:c>
      <x:c r="M43" s="47" t="n">
        <x:f>IFERROR(INDEX('Six-Factor Calc'!$M$5:$M$121,MATCH($A43,'Six-Factor Calc'!$A$5:$A$121,0)),"")</x:f>
        <x:v>104</x:v>
      </x:c>
      <x:c r="N43" s="47" t="str">
        <x:f>IFERROR(INDEX('Six-Factor Calc'!$N$5:$N$121,MATCH($A43,'Six-Factor Calc'!$A$5:$A$121,0)),"")</x:f>
        <x:v>SUE + CAR3</x:v>
      </x:c>
      <x:c r="O43" s="52" t="n">
        <x:f>IFERROR(INDEX('Six-Factor Calc'!$O$5:$O$121,MATCH($A43,'Six-Factor Calc'!$A$5:$A$121,0)),"")</x:f>
        <x:v>1.225</x:v>
      </x:c>
      <x:c r="P43" s="47" t="n">
        <x:f>IFERROR(INDEX('Six-Factor Calc'!$P$5:$P$121,MATCH($A43,'Six-Factor Calc'!$A$5:$A$121,0)),"")</x:f>
        <x:v>112</x:v>
      </x:c>
      <x:c r="Q43" s="50" t="n">
        <x:f>IFERROR(INDEX('Six-Factor Calc'!$Q$5:$Q$121,MATCH($A43,'Six-Factor Calc'!$A$5:$A$121,0)),"")</x:f>
        <x:v>0.7175</x:v>
      </x:c>
      <x:c r="R43" s="50" t="n">
        <x:f>IFERROR(INDEX('Six-Factor Calc'!$R$5:$R$121,MATCH($A43,'Six-Factor Calc'!$A$5:$A$121,0)),"")</x:f>
        <x:v>1.045</x:v>
      </x:c>
      <x:c r="S43" s="317" t="n">
        <x:f>IFERROR(INDEX('Six-Factor Calc'!$S$5:$S$121,MATCH($A43,'Six-Factor Calc'!$A$5:$A$121,0)),"")</x:f>
        <x:v>-0.3133971291866028</x:v>
      </x:c>
      <x:c r="T43" s="47" t="str">
        <x:f>IFERROR(INDEX('Six-Factor Calc'!$T$5:$T$121,MATCH($A43,'Six-Factor Calc'!$A$5:$A$121,0)),"")</x:f>
        <x:v>OK</x:v>
      </x:c>
      <x:c r="U43" s="52" t="n">
        <x:f>IFERROR(INDEX('Six-Factor Calc'!$U$5:$U$121,MATCH($A43,'Six-Factor Calc'!$A$5:$A$121,0)),"")</x:f>
        <x:v>8.563980509745127</x:v>
      </x:c>
      <x:c r="V43" s="47" t="n">
        <x:f>IFERROR(INDEX('Six-Factor Calc'!$V$5:$V$121,MATCH($A43,'Six-Factor Calc'!$A$5:$A$121,0)),"")</x:f>
        <x:v>10</x:v>
      </x:c>
      <x:c r="W43" s="52" t="n">
        <x:f>IFERROR(INDEX('Six-Factor Calc'!$W$5:$W$121,MATCH($A43,'Six-Factor Calc'!$A$5:$A$121,0)),"")</x:f>
        <x:v>5.897241379310344</x:v>
      </x:c>
      <x:c r="X43" s="47" t="n">
        <x:f>IFERROR(INDEX('Six-Factor Calc'!$X$5:$X$121,MATCH($A43,'Six-Factor Calc'!$A$5:$A$121,0)),"")</x:f>
        <x:v>45</x:v>
      </x:c>
      <x:c r="Y43" s="52" t="n">
        <x:f>IFERROR(INDEX('Six-Factor Calc'!$Y$5:$Y$121,MATCH($A43,'Six-Factor Calc'!$A$5:$A$121,0)),"")</x:f>
        <x:v>10</x:v>
      </x:c>
      <x:c r="Z43" s="47" t="n">
        <x:f>IFERROR(INDEX('Six-Factor Calc'!$Z$5:$Z$121,MATCH($A43,'Six-Factor Calc'!$A$5:$A$121,0)),"")</x:f>
        <x:v>1</x:v>
      </x:c>
      <x:c r="AA43" s="47" t="str">
        <x:f>IFERROR(INDEX('Six-Factor Calc'!$AA$5:$AA$121,MATCH($A43,'Six-Factor Calc'!$A$5:$A$121,0)),"")</x:f>
        <x:v>Consumer Staples</x:v>
      </x:c>
      <x:c r="AB43" s="54" t="n">
        <x:f>IFERROR(INDEX('Six-Factor Calc'!$AB$5:$AB$121,MATCH($A43,'Six-Factor Calc'!$A$5:$A$121,0)),"")</x:f>
        <x:v>46213</x:v>
      </x:c>
      <x:c r="AC43" s="54" t="n">
        <x:f>IFERROR(INDEX('Six-Factor Calc'!$AC$5:$AC$121,MATCH($A43,'Six-Factor Calc'!$A$5:$A$121,0)),"")</x:f>
        <x:v>46110</x:v>
      </x:c>
      <x:c r="AD43" s="54" t="n">
        <x:f>IFERROR(INDEX('Six-Factor Calc'!$AD$5:$AD$121,MATCH($A43,'Six-Factor Calc'!$A$5:$A$121,0)),"")</x:f>
        <x:v>46019</x:v>
      </x:c>
      <x:c r="AE43" s="47" t="str">
        <x:f>IFERROR(INDEX('Six-Factor Calc'!$AE$5:$AE$121,MATCH($A43,'Six-Factor Calc'!$A$5:$A$121,0)),"")</x:f>
        <x:v>OK</x:v>
      </x:c>
    </x:row>
    <x:row r="44">
      <x:c r="A44" s="12" t="n">
        <x:v>40</x:v>
      </x:c>
      <x:c r="B44" s="47" t="str">
        <x:f>IFERROR(INDEX('Six-Factor Calc'!$B$5:$B$121,MATCH($A44,'Six-Factor Calc'!$A$5:$A$121,0)),"")</x:f>
        <x:v>CNA</x:v>
      </x:c>
      <x:c r="C44" s="47" t="str">
        <x:f>IFERROR(INDEX('Six-Factor Calc'!$C$5:$C$121,MATCH($A44,'Six-Factor Calc'!$A$5:$A$121,0)),"")</x:f>
        <x:v>CNA Financial Corp.</x:v>
      </x:c>
      <x:c r="D44" s="49" t="str">
        <x:f>IFERROR(INDEX('Six-Factor Calc'!$D$5:$D$121,MATCH($A44,'Six-Factor Calc'!$A$5:$A$121,0)),"")</x:f>
        <x:v>Long</x:v>
      </x:c>
      <x:c r="E44" s="49" t="n">
        <x:f>IFERROR(INDEX('Six-Factor Calc'!$E$5:$E$121,MATCH($A44,'Six-Factor Calc'!$A$5:$A$121,0)),"")</x:f>
        <x:v>0.004587</x:v>
      </x:c>
      <x:c r="F44" s="50" t="n">
        <x:f>IFERROR(INDEX('Six-Factor Calc'!$F$5:$F$121,MATCH($A44,'Six-Factor Calc'!$A$5:$A$121,0)),"")</x:f>
        <x:v>0.12410604245515483</x:v>
      </x:c>
      <x:c r="G44" s="50" t="n">
        <x:f>IFERROR(INDEX('Six-Factor Calc'!$G$5:$G$121,MATCH($A44,'Six-Factor Calc'!$A$5:$A$121,0)),"")</x:f>
        <x:v>-0.06834039730512419</x:v>
      </x:c>
      <x:c r="H44" s="329" t="n">
        <x:f>IFERROR(INDEX('Six-Factor Calc'!$H$5:$H$121,MATCH($A44,'Six-Factor Calc'!$A$5:$A$121,0)),"")</x:f>
        <x:v>6.120208736540821</x:v>
      </x:c>
      <x:c r="I44" s="47" t="n">
        <x:f>IFERROR(INDEX('Six-Factor Calc'!$I$5:$I$121,MATCH($A44,'Six-Factor Calc'!$A$5:$A$121,0)),"")</x:f>
        <x:v>6</x:v>
      </x:c>
      <x:c r="J44" s="52" t="n">
        <x:f>IFERROR(INDEX('Six-Factor Calc'!$J$5:$J$121,MATCH($A44,'Six-Factor Calc'!$A$5:$A$121,0)),"")</x:f>
        <x:v>4.801724137931035</x:v>
      </x:c>
      <x:c r="K44" s="47" t="n">
        <x:f>IFERROR(INDEX('Six-Factor Calc'!$K$5:$K$121,MATCH($A44,'Six-Factor Calc'!$A$5:$A$121,0)),"")</x:f>
        <x:v>68</x:v>
      </x:c>
      <x:c r="L44" s="52" t="n">
        <x:f>IFERROR(INDEX('Six-Factor Calc'!$L$5:$L$121,MATCH($A44,'Six-Factor Calc'!$A$5:$A$121,0)),"")</x:f>
        <x:v>2.4424901185770755</x:v>
      </x:c>
      <x:c r="M44" s="47" t="n">
        <x:f>IFERROR(INDEX('Six-Factor Calc'!$M$5:$M$121,MATCH($A44,'Six-Factor Calc'!$A$5:$A$121,0)),"")</x:f>
        <x:v>109</x:v>
      </x:c>
      <x:c r="N44" s="47" t="str">
        <x:f>IFERROR(INDEX('Six-Factor Calc'!$N$5:$N$121,MATCH($A44,'Six-Factor Calc'!$A$5:$A$121,0)),"")</x:f>
        <x:v>SUE + CAR3</x:v>
      </x:c>
      <x:c r="O44" s="52" t="n">
        <x:f>IFERROR(INDEX('Six-Factor Calc'!$O$5:$O$121,MATCH($A44,'Six-Factor Calc'!$A$5:$A$121,0)),"")</x:f>
        <x:v>9.217</x:v>
      </x:c>
      <x:c r="P44" s="47" t="n">
        <x:f>IFERROR(INDEX('Six-Factor Calc'!$P$5:$P$121,MATCH($A44,'Six-Factor Calc'!$A$5:$A$121,0)),"")</x:f>
        <x:v>11</x:v>
      </x:c>
      <x:c r="Q44" s="50" t="n">
        <x:f>IFERROR(INDEX('Six-Factor Calc'!$Q$5:$Q$121,MATCH($A44,'Six-Factor Calc'!$A$5:$A$121,0)),"")</x:f>
        <x:v>1.19</x:v>
      </x:c>
      <x:c r="R44" s="50" t="n">
        <x:f>IFERROR(INDEX('Six-Factor Calc'!$R$5:$R$121,MATCH($A44,'Six-Factor Calc'!$A$5:$A$121,0)),"")</x:f>
        <x:v>1.14</x:v>
      </x:c>
      <x:c r="S44" s="317" t="n">
        <x:f>IFERROR(INDEX('Six-Factor Calc'!$S$5:$S$121,MATCH($A44,'Six-Factor Calc'!$A$5:$A$121,0)),"")</x:f>
        <x:v>0.043859649122807064</x:v>
      </x:c>
      <x:c r="T44" s="47" t="str">
        <x:f>IFERROR(INDEX('Six-Factor Calc'!$T$5:$T$121,MATCH($A44,'Six-Factor Calc'!$A$5:$A$121,0)),"")</x:f>
        <x:v>THIN COVERAGE</x:v>
      </x:c>
      <x:c r="U44" s="52" t="n">
        <x:f>IFERROR(INDEX('Six-Factor Calc'!$U$5:$U$121,MATCH($A44,'Six-Factor Calc'!$A$5:$A$121,0)),"")</x:f>
        <x:v>8.913793103448278</x:v>
      </x:c>
      <x:c r="V44" s="47" t="n">
        <x:f>IFERROR(INDEX('Six-Factor Calc'!$V$5:$V$121,MATCH($A44,'Six-Factor Calc'!$A$5:$A$121,0)),"")</x:f>
        <x:v>7</x:v>
      </x:c>
      <x:c r="W44" s="52" t="n">
        <x:f>IFERROR(INDEX('Six-Factor Calc'!$W$5:$W$121,MATCH($A44,'Six-Factor Calc'!$A$5:$A$121,0)),"")</x:f>
        <x:v>7.206896551724139</x:v>
      </x:c>
      <x:c r="X44" s="47" t="n">
        <x:f>IFERROR(INDEX('Six-Factor Calc'!$X$5:$X$121,MATCH($A44,'Six-Factor Calc'!$A$5:$A$121,0)),"")</x:f>
        <x:v>20</x:v>
      </x:c>
      <x:c r="Y44" s="52" t="n">
        <x:f>IFERROR(INDEX('Six-Factor Calc'!$Y$5:$Y$121,MATCH($A44,'Six-Factor Calc'!$A$5:$A$121,0)),"")</x:f>
        <x:v>8.836206896551724</x:v>
      </x:c>
      <x:c r="Z44" s="47" t="n">
        <x:f>IFERROR(INDEX('Six-Factor Calc'!$Z$5:$Z$121,MATCH($A44,'Six-Factor Calc'!$A$5:$A$121,0)),"")</x:f>
        <x:v>16</x:v>
      </x:c>
      <x:c r="AA44" s="47" t="str">
        <x:f>IFERROR(INDEX('Six-Factor Calc'!$AA$5:$AA$121,MATCH($A44,'Six-Factor Calc'!$A$5:$A$121,0)),"")</x:f>
        <x:v>Finance</x:v>
      </x:c>
      <x:c r="AB44" s="54" t="n">
        <x:f>IFERROR(INDEX('Six-Factor Calc'!$AB$5:$AB$121,MATCH($A44,'Six-Factor Calc'!$A$5:$A$121,0)),"")</x:f>
        <x:v>46213</x:v>
      </x:c>
      <x:c r="AC44" s="54" t="n">
        <x:f>IFERROR(INDEX('Six-Factor Calc'!$AC$5:$AC$121,MATCH($A44,'Six-Factor Calc'!$A$5:$A$121,0)),"")</x:f>
        <x:v>46112</x:v>
      </x:c>
      <x:c r="AD44" s="54" t="n">
        <x:f>IFERROR(INDEX('Six-Factor Calc'!$AD$5:$AD$121,MATCH($A44,'Six-Factor Calc'!$A$5:$A$121,0)),"")</x:f>
        <x:v>46022</x:v>
      </x:c>
      <x:c r="AE44" s="47" t="str">
        <x:f>IFERROR(INDEX('Six-Factor Calc'!$AE$5:$AE$121,MATCH($A44,'Six-Factor Calc'!$A$5:$A$121,0)),"")</x:f>
        <x:v>OK</x:v>
      </x:c>
    </x:row>
    <x:row r="45">
      <x:c r="A45" s="12" t="n">
        <x:v>41</x:v>
      </x:c>
      <x:c r="B45" s="47" t="str">
        <x:f>IFERROR(INDEX('Six-Factor Calc'!$B$5:$B$121,MATCH($A45,'Six-Factor Calc'!$A$5:$A$121,0)),"")</x:f>
        <x:v>PGR</x:v>
      </x:c>
      <x:c r="C45" s="47" t="str">
        <x:f>IFERROR(INDEX('Six-Factor Calc'!$C$5:$C$121,MATCH($A45,'Six-Factor Calc'!$A$5:$A$121,0)),"")</x:f>
        <x:v>The Progressive Corp.</x:v>
      </x:c>
      <x:c r="D45" s="49" t="str">
        <x:f>IFERROR(INDEX('Six-Factor Calc'!$D$5:$D$121,MATCH($A45,'Six-Factor Calc'!$A$5:$A$121,0)),"")</x:f>
        <x:v>Long</x:v>
      </x:c>
      <x:c r="E45" s="49" t="n">
        <x:f>IFERROR(INDEX('Six-Factor Calc'!$E$5:$E$121,MATCH($A45,'Six-Factor Calc'!$A$5:$A$121,0)),"")</x:f>
        <x:v>0.004761</x:v>
      </x:c>
      <x:c r="F45" s="50" t="n">
        <x:f>IFERROR(INDEX('Six-Factor Calc'!$F$5:$F$121,MATCH($A45,'Six-Factor Calc'!$A$5:$A$121,0)),"")</x:f>
        <x:v>-0.13923858554714336</x:v>
      </x:c>
      <x:c r="G45" s="50" t="n">
        <x:f>IFERROR(INDEX('Six-Factor Calc'!$G$5:$G$121,MATCH($A45,'Six-Factor Calc'!$A$5:$A$121,0)),"")</x:f>
        <x:v>-0.10105273306355551</x:v>
      </x:c>
      <x:c r="H45" s="329" t="n">
        <x:f>IFERROR(INDEX('Six-Factor Calc'!$H$5:$H$121,MATCH($A45,'Six-Factor Calc'!$A$5:$A$121,0)),"")</x:f>
        <x:v>6.086584980237154</x:v>
      </x:c>
      <x:c r="I45" s="47" t="n">
        <x:f>IFERROR(INDEX('Six-Factor Calc'!$I$5:$I$121,MATCH($A45,'Six-Factor Calc'!$A$5:$A$121,0)),"")</x:f>
        <x:v>6</x:v>
      </x:c>
      <x:c r="J45" s="52" t="n">
        <x:f>IFERROR(INDEX('Six-Factor Calc'!$J$5:$J$121,MATCH($A45,'Six-Factor Calc'!$A$5:$A$121,0)),"")</x:f>
        <x:v>9.767241379310345</x:v>
      </x:c>
      <x:c r="K45" s="47" t="n">
        <x:f>IFERROR(INDEX('Six-Factor Calc'!$K$5:$K$121,MATCH($A45,'Six-Factor Calc'!$A$5:$A$121,0)),"")</x:f>
        <x:v>4</x:v>
      </x:c>
      <x:c r="L45" s="52" t="n">
        <x:f>IFERROR(INDEX('Six-Factor Calc'!$L$5:$L$121,MATCH($A45,'Six-Factor Calc'!$A$5:$A$121,0)),"")</x:f>
        <x:v>6.188339920948617</x:v>
      </x:c>
      <x:c r="M45" s="47" t="n">
        <x:f>IFERROR(INDEX('Six-Factor Calc'!$M$5:$M$121,MATCH($A45,'Six-Factor Calc'!$A$5:$A$121,0)),"")</x:f>
        <x:v>40</x:v>
      </x:c>
      <x:c r="N45" s="47" t="str">
        <x:f>IFERROR(INDEX('Six-Factor Calc'!$N$5:$N$121,MATCH($A45,'Six-Factor Calc'!$A$5:$A$121,0)),"")</x:f>
        <x:v>SUE + CAR3</x:v>
      </x:c>
      <x:c r="O45" s="52" t="n">
        <x:f>IFERROR(INDEX('Six-Factor Calc'!$O$5:$O$121,MATCH($A45,'Six-Factor Calc'!$A$5:$A$121,0)),"")</x:f>
        <x:v>3.862</x:v>
      </x:c>
      <x:c r="P45" s="47" t="n">
        <x:f>IFERROR(INDEX('Six-Factor Calc'!$P$5:$P$121,MATCH($A45,'Six-Factor Calc'!$A$5:$A$121,0)),"")</x:f>
        <x:v>78</x:v>
      </x:c>
      <x:c r="Q45" s="50" t="n">
        <x:f>IFERROR(INDEX('Six-Factor Calc'!$Q$5:$Q$121,MATCH($A45,'Six-Factor Calc'!$A$5:$A$121,0)),"")</x:f>
        <x:v>3.6479</x:v>
      </x:c>
      <x:c r="R45" s="50" t="n">
        <x:f>IFERROR(INDEX('Six-Factor Calc'!$R$5:$R$121,MATCH($A45,'Six-Factor Calc'!$A$5:$A$121,0)),"")</x:f>
        <x:v>3.71983</x:v>
      </x:c>
      <x:c r="S45" s="317" t="n">
        <x:f>IFERROR(INDEX('Six-Factor Calc'!$S$5:$S$121,MATCH($A45,'Six-Factor Calc'!$A$5:$A$121,0)),"")</x:f>
        <x:v>-0.019336905181150766</x:v>
      </x:c>
      <x:c r="T45" s="47" t="str">
        <x:f>IFERROR(INDEX('Six-Factor Calc'!$T$5:$T$121,MATCH($A45,'Six-Factor Calc'!$A$5:$A$121,0)),"")</x:f>
        <x:v>OK</x:v>
      </x:c>
      <x:c r="U45" s="52" t="n">
        <x:f>IFERROR(INDEX('Six-Factor Calc'!$U$5:$U$121,MATCH($A45,'Six-Factor Calc'!$A$5:$A$121,0)),"")</x:f>
        <x:v>6.275862068965518</x:v>
      </x:c>
      <x:c r="V45" s="47" t="n">
        <x:f>IFERROR(INDEX('Six-Factor Calc'!$V$5:$V$121,MATCH($A45,'Six-Factor Calc'!$A$5:$A$121,0)),"")</x:f>
        <x:v>40</x:v>
      </x:c>
      <x:c r="W45" s="52" t="n">
        <x:f>IFERROR(INDEX('Six-Factor Calc'!$W$5:$W$121,MATCH($A45,'Six-Factor Calc'!$A$5:$A$121,0)),"")</x:f>
        <x:v>2.0086206896551717</x:v>
      </x:c>
      <x:c r="X45" s="47" t="n">
        <x:f>IFERROR(INDEX('Six-Factor Calc'!$X$5:$X$121,MATCH($A45,'Six-Factor Calc'!$A$5:$A$121,0)),"")</x:f>
        <x:v>111</x:v>
      </x:c>
      <x:c r="Y45" s="52" t="n">
        <x:f>IFERROR(INDEX('Six-Factor Calc'!$Y$5:$Y$121,MATCH($A45,'Six-Factor Calc'!$A$5:$A$121,0)),"")</x:f>
        <x:v>4.801724137931035</x:v>
      </x:c>
      <x:c r="Z45" s="47" t="n">
        <x:f>IFERROR(INDEX('Six-Factor Calc'!$Z$5:$Z$121,MATCH($A45,'Six-Factor Calc'!$A$5:$A$121,0)),"")</x:f>
        <x:v>68</x:v>
      </x:c>
      <x:c r="AA45" s="47" t="str">
        <x:f>IFERROR(INDEX('Six-Factor Calc'!$AA$5:$AA$121,MATCH($A45,'Six-Factor Calc'!$A$5:$A$121,0)),"")</x:f>
        <x:v>Finance</x:v>
      </x:c>
      <x:c r="AB45" s="54" t="n">
        <x:f>IFERROR(INDEX('Six-Factor Calc'!$AB$5:$AB$121,MATCH($A45,'Six-Factor Calc'!$A$5:$A$121,0)),"")</x:f>
        <x:v>46213</x:v>
      </x:c>
      <x:c r="AC45" s="54" t="n">
        <x:f>IFERROR(INDEX('Six-Factor Calc'!$AC$5:$AC$121,MATCH($A45,'Six-Factor Calc'!$A$5:$A$121,0)),"")</x:f>
        <x:v>46112</x:v>
      </x:c>
      <x:c r="AD45" s="54" t="n">
        <x:f>IFERROR(INDEX('Six-Factor Calc'!$AD$5:$AD$121,MATCH($A45,'Six-Factor Calc'!$A$5:$A$121,0)),"")</x:f>
        <x:v>46022</x:v>
      </x:c>
      <x:c r="AE45" s="47" t="str">
        <x:f>IFERROR(INDEX('Six-Factor Calc'!$AE$5:$AE$121,MATCH($A45,'Six-Factor Calc'!$A$5:$A$121,0)),"")</x:f>
        <x:v>OK</x:v>
      </x:c>
    </x:row>
    <x:row r="46">
      <x:c r="A46" s="12" t="n">
        <x:v>42</x:v>
      </x:c>
      <x:c r="B46" s="47" t="str">
        <x:f>IFERROR(INDEX('Six-Factor Calc'!$B$5:$B$121,MATCH($A46,'Six-Factor Calc'!$A$5:$A$121,0)),"")</x:f>
        <x:v>CME</x:v>
      </x:c>
      <x:c r="C46" s="47" t="str">
        <x:f>IFERROR(INDEX('Six-Factor Calc'!$C$5:$C$121,MATCH($A46,'Six-Factor Calc'!$A$5:$A$121,0)),"")</x:f>
        <x:v>CME Group Inc.</x:v>
      </x:c>
      <x:c r="D46" s="49" t="str">
        <x:f>IFERROR(INDEX('Six-Factor Calc'!$D$5:$D$121,MATCH($A46,'Six-Factor Calc'!$A$5:$A$121,0)),"")</x:f>
        <x:v>Long</x:v>
      </x:c>
      <x:c r="E46" s="49" t="n">
        <x:f>IFERROR(INDEX('Six-Factor Calc'!$E$5:$E$121,MATCH($A46,'Six-Factor Calc'!$A$5:$A$121,0)),"")</x:f>
        <x:v>0.003305</x:v>
      </x:c>
      <x:c r="F46" s="50" t="n">
        <x:f>IFERROR(INDEX('Six-Factor Calc'!$F$5:$F$121,MATCH($A46,'Six-Factor Calc'!$A$5:$A$121,0)),"")</x:f>
        <x:v>-0.11663968695372652</x:v>
      </x:c>
      <x:c r="G46" s="50" t="n">
        <x:f>IFERROR(INDEX('Six-Factor Calc'!$G$5:$G$121,MATCH($A46,'Six-Factor Calc'!$A$5:$A$121,0)),"")</x:f>
        <x:v>-0.05538028083188568</x:v>
      </x:c>
      <x:c r="H46" s="329" t="n">
        <x:f>IFERROR(INDEX('Six-Factor Calc'!$H$5:$H$121,MATCH($A46,'Six-Factor Calc'!$A$5:$A$121,0)),"")</x:f>
        <x:v>5.952061128526646</x:v>
      </x:c>
      <x:c r="I46" s="47" t="n">
        <x:f>IFERROR(INDEX('Six-Factor Calc'!$I$5:$I$121,MATCH($A46,'Six-Factor Calc'!$A$5:$A$121,0)),"")</x:f>
        <x:v>6</x:v>
      </x:c>
      <x:c r="J46" s="52" t="n">
        <x:f>IFERROR(INDEX('Six-Factor Calc'!$J$5:$J$121,MATCH($A46,'Six-Factor Calc'!$A$5:$A$121,0)),"")</x:f>
        <x:v>7.129310344827586</x:v>
      </x:c>
      <x:c r="K46" s="47" t="n">
        <x:f>IFERROR(INDEX('Six-Factor Calc'!$K$5:$K$121,MATCH($A46,'Six-Factor Calc'!$A$5:$A$121,0)),"")</x:f>
        <x:v>38</x:v>
      </x:c>
      <x:c r="L46" s="52" t="n">
        <x:f>IFERROR(INDEX('Six-Factor Calc'!$L$5:$L$121,MATCH($A46,'Six-Factor Calc'!$A$5:$A$121,0)),"")</x:f>
        <x:v>7.872727272727273</x:v>
      </x:c>
      <x:c r="M46" s="47" t="n">
        <x:f>IFERROR(INDEX('Six-Factor Calc'!$M$5:$M$121,MATCH($A46,'Six-Factor Calc'!$A$5:$A$121,0)),"")</x:f>
        <x:v>15</x:v>
      </x:c>
      <x:c r="N46" s="47" t="str">
        <x:f>IFERROR(INDEX('Six-Factor Calc'!$N$5:$N$121,MATCH($A46,'Six-Factor Calc'!$A$5:$A$121,0)),"")</x:f>
        <x:v>SUE + CAR3</x:v>
      </x:c>
      <x:c r="O46" s="52" t="n">
        <x:f>IFERROR(INDEX('Six-Factor Calc'!$O$5:$O$121,MATCH($A46,'Six-Factor Calc'!$A$5:$A$121,0)),"")</x:f>
        <x:v>4.33</x:v>
      </x:c>
      <x:c r="P46" s="47" t="n">
        <x:f>IFERROR(INDEX('Six-Factor Calc'!$P$5:$P$121,MATCH($A46,'Six-Factor Calc'!$A$5:$A$121,0)),"")</x:f>
        <x:v>72</x:v>
      </x:c>
      <x:c r="Q46" s="50" t="n">
        <x:f>IFERROR(INDEX('Six-Factor Calc'!$Q$5:$Q$121,MATCH($A46,'Six-Factor Calc'!$A$5:$A$121,0)),"")</x:f>
        <x:v>2.94004</x:v>
      </x:c>
      <x:c r="R46" s="50" t="n">
        <x:f>IFERROR(INDEX('Six-Factor Calc'!$R$5:$R$121,MATCH($A46,'Six-Factor Calc'!$A$5:$A$121,0)),"")</x:f>
        <x:v>2.97353</x:v>
      </x:c>
      <x:c r="S46" s="317" t="n">
        <x:f>IFERROR(INDEX('Six-Factor Calc'!$S$5:$S$121,MATCH($A46,'Six-Factor Calc'!$A$5:$A$121,0)),"")</x:f>
        <x:v>-0.011262707959899372</x:v>
      </x:c>
      <x:c r="T46" s="47" t="str">
        <x:f>IFERROR(INDEX('Six-Factor Calc'!$T$5:$T$121,MATCH($A46,'Six-Factor Calc'!$A$5:$A$121,0)),"")</x:f>
        <x:v>OK</x:v>
      </x:c>
      <x:c r="U46" s="52" t="n">
        <x:f>IFERROR(INDEX('Six-Factor Calc'!$U$5:$U$121,MATCH($A46,'Six-Factor Calc'!$A$5:$A$121,0)),"")</x:f>
        <x:v>5.344827586206897</x:v>
      </x:c>
      <x:c r="V46" s="47" t="n">
        <x:f>IFERROR(INDEX('Six-Factor Calc'!$V$5:$V$121,MATCH($A46,'Six-Factor Calc'!$A$5:$A$121,0)),"")</x:f>
        <x:v>63</x:v>
      </x:c>
      <x:c r="W46" s="52" t="n">
        <x:f>IFERROR(INDEX('Six-Factor Calc'!$W$5:$W$121,MATCH($A46,'Six-Factor Calc'!$A$5:$A$121,0)),"")</x:f>
        <x:v>1.3103448275862064</x:v>
      </x:c>
      <x:c r="X46" s="47" t="n">
        <x:f>IFERROR(INDEX('Six-Factor Calc'!$X$5:$X$121,MATCH($A46,'Six-Factor Calc'!$A$5:$A$121,0)),"")</x:f>
        <x:v>115</x:v>
      </x:c>
      <x:c r="Y46" s="52" t="n">
        <x:f>IFERROR(INDEX('Six-Factor Calc'!$Y$5:$Y$121,MATCH($A46,'Six-Factor Calc'!$A$5:$A$121,0)),"")</x:f>
        <x:v>6.663793103448276</x:v>
      </x:c>
      <x:c r="Z46" s="47" t="n">
        <x:f>IFERROR(INDEX('Six-Factor Calc'!$Z$5:$Z$121,MATCH($A46,'Six-Factor Calc'!$A$5:$A$121,0)),"")</x:f>
        <x:v>44</x:v>
      </x:c>
      <x:c r="AA46" s="47" t="str">
        <x:f>IFERROR(INDEX('Six-Factor Calc'!$AA$5:$AA$121,MATCH($A46,'Six-Factor Calc'!$A$5:$A$121,0)),"")</x:f>
        <x:v>Finance</x:v>
      </x:c>
      <x:c r="AB46" s="54" t="n">
        <x:f>IFERROR(INDEX('Six-Factor Calc'!$AB$5:$AB$121,MATCH($A46,'Six-Factor Calc'!$A$5:$A$121,0)),"")</x:f>
        <x:v>46213</x:v>
      </x:c>
      <x:c r="AC46" s="54" t="n">
        <x:f>IFERROR(INDEX('Six-Factor Calc'!$AC$5:$AC$121,MATCH($A46,'Six-Factor Calc'!$A$5:$A$121,0)),"")</x:f>
        <x:v>46112</x:v>
      </x:c>
      <x:c r="AD46" s="54" t="n">
        <x:f>IFERROR(INDEX('Six-Factor Calc'!$AD$5:$AD$121,MATCH($A46,'Six-Factor Calc'!$A$5:$A$121,0)),"")</x:f>
        <x:v>46022</x:v>
      </x:c>
      <x:c r="AE46" s="47" t="str">
        <x:f>IFERROR(INDEX('Six-Factor Calc'!$AE$5:$AE$121,MATCH($A46,'Six-Factor Calc'!$A$5:$A$121,0)),"")</x:f>
        <x:v>OK</x:v>
      </x:c>
    </x:row>
    <x:row r="47">
      <x:c r="A47" s="12" t="n">
        <x:v>43</x:v>
      </x:c>
      <x:c r="B47" s="47" t="str">
        <x:f>IFERROR(INDEX('Six-Factor Calc'!$B$5:$B$121,MATCH($A47,'Six-Factor Calc'!$A$5:$A$121,0)),"")</x:f>
        <x:v>BF-B</x:v>
      </x:c>
      <x:c r="C47" s="47" t="str">
        <x:f>IFERROR(INDEX('Six-Factor Calc'!$C$5:$C$121,MATCH($A47,'Six-Factor Calc'!$A$5:$A$121,0)),"")</x:f>
        <x:v>Brown-Forman Corp.</x:v>
      </x:c>
      <x:c r="D47" s="49" t="str">
        <x:f>IFERROR(INDEX('Six-Factor Calc'!$D$5:$D$121,MATCH($A47,'Six-Factor Calc'!$A$5:$A$121,0)),"")</x:f>
        <x:v>Short</x:v>
      </x:c>
      <x:c r="E47" s="49" t="n">
        <x:f>IFERROR(INDEX('Six-Factor Calc'!$E$5:$E$121,MATCH($A47,'Six-Factor Calc'!$A$5:$A$121,0)),"")</x:f>
        <x:v>-0.003555</x:v>
      </x:c>
      <x:c r="F47" s="50" t="n">
        <x:f>IFERROR(INDEX('Six-Factor Calc'!$F$5:$F$121,MATCH($A47,'Six-Factor Calc'!$A$5:$A$121,0)),"")</x:f>
        <x:v>0.29712437528260455</x:v>
      </x:c>
      <x:c r="G47" s="50" t="n">
        <x:f>IFERROR(INDEX('Six-Factor Calc'!$G$5:$G$121,MATCH($A47,'Six-Factor Calc'!$A$5:$A$121,0)),"")</x:f>
        <x:v>0.11396524054050211</x:v>
      </x:c>
      <x:c r="H47" s="329" t="n">
        <x:f>IFERROR(INDEX('Six-Factor Calc'!$H$5:$H$121,MATCH($A47,'Six-Factor Calc'!$A$5:$A$121,0)),"")</x:f>
        <x:v>5.916257802916723</x:v>
      </x:c>
      <x:c r="I47" s="47" t="n">
        <x:f>IFERROR(INDEX('Six-Factor Calc'!$I$5:$I$121,MATCH($A47,'Six-Factor Calc'!$A$5:$A$121,0)),"")</x:f>
        <x:v>6</x:v>
      </x:c>
      <x:c r="J47" s="52" t="n">
        <x:f>IFERROR(INDEX('Six-Factor Calc'!$J$5:$J$121,MATCH($A47,'Six-Factor Calc'!$A$5:$A$121,0)),"")</x:f>
        <x:v>5.189655172413793</x:v>
      </x:c>
      <x:c r="K47" s="47" t="n">
        <x:f>IFERROR(INDEX('Six-Factor Calc'!$K$5:$K$121,MATCH($A47,'Six-Factor Calc'!$A$5:$A$121,0)),"")</x:f>
        <x:v>63</x:v>
      </x:c>
      <x:c r="L47" s="52" t="n">
        <x:f>IFERROR(INDEX('Six-Factor Calc'!$L$5:$L$121,MATCH($A47,'Six-Factor Calc'!$A$5:$A$121,0)),"")</x:f>
        <x:v>5.430632411067194</x:v>
      </x:c>
      <x:c r="M47" s="47" t="n">
        <x:f>IFERROR(INDEX('Six-Factor Calc'!$M$5:$M$121,MATCH($A47,'Six-Factor Calc'!$A$5:$A$121,0)),"")</x:f>
        <x:v>65</x:v>
      </x:c>
      <x:c r="N47" s="47" t="str">
        <x:f>IFERROR(INDEX('Six-Factor Calc'!$N$5:$N$121,MATCH($A47,'Six-Factor Calc'!$A$5:$A$121,0)),"")</x:f>
        <x:v>SUE + CAR3</x:v>
      </x:c>
      <x:c r="O47" s="52" t="n">
        <x:f>IFERROR(INDEX('Six-Factor Calc'!$O$5:$O$121,MATCH($A47,'Six-Factor Calc'!$A$5:$A$121,0)),"")</x:f>
        <x:v>4.258</x:v>
      </x:c>
      <x:c r="P47" s="47" t="n">
        <x:f>IFERROR(INDEX('Six-Factor Calc'!$P$5:$P$121,MATCH($A47,'Six-Factor Calc'!$A$5:$A$121,0)),"")</x:f>
        <x:v>73</x:v>
      </x:c>
      <x:c r="Q47" s="50" t="n">
        <x:f>IFERROR(INDEX('Six-Factor Calc'!$Q$5:$Q$121,MATCH($A47,'Six-Factor Calc'!$A$5:$A$121,0)),"")</x:f>
        <x:v>0.36835</x:v>
      </x:c>
      <x:c r="R47" s="50" t="n">
        <x:f>IFERROR(INDEX('Six-Factor Calc'!$R$5:$R$121,MATCH($A47,'Six-Factor Calc'!$A$5:$A$121,0)),"")</x:f>
        <x:v>0.37258</x:v>
      </x:c>
      <x:c r="S47" s="317" t="n">
        <x:f>IFERROR(INDEX('Six-Factor Calc'!$S$5:$S$121,MATCH($A47,'Six-Factor Calc'!$A$5:$A$121,0)),"")</x:f>
        <x:v>-0.011353266412582563</x:v>
      </x:c>
      <x:c r="T47" s="47" t="str">
        <x:f>IFERROR(INDEX('Six-Factor Calc'!$T$5:$T$121,MATCH($A47,'Six-Factor Calc'!$A$5:$A$121,0)),"")</x:f>
        <x:v>OK</x:v>
      </x:c>
      <x:c r="U47" s="52" t="n">
        <x:f>IFERROR(INDEX('Six-Factor Calc'!$U$5:$U$121,MATCH($A47,'Six-Factor Calc'!$A$5:$A$121,0)),"")</x:f>
        <x:v>6.259535232383808</x:v>
      </x:c>
      <x:c r="V47" s="47" t="n">
        <x:f>IFERROR(INDEX('Six-Factor Calc'!$V$5:$V$121,MATCH($A47,'Six-Factor Calc'!$A$5:$A$121,0)),"")</x:f>
        <x:v>41</x:v>
      </x:c>
      <x:c r="W47" s="52" t="n">
        <x:f>IFERROR(INDEX('Six-Factor Calc'!$W$5:$W$121,MATCH($A47,'Six-Factor Calc'!$A$5:$A$121,0)),"")</x:f>
        <x:v>8.333448275862068</x:v>
      </x:c>
      <x:c r="X47" s="47" t="n">
        <x:f>IFERROR(INDEX('Six-Factor Calc'!$X$5:$X$121,MATCH($A47,'Six-Factor Calc'!$A$5:$A$121,0)),"")</x:f>
        <x:v>10</x:v>
      </x:c>
      <x:c r="Y47" s="52" t="n">
        <x:f>IFERROR(INDEX('Six-Factor Calc'!$Y$5:$Y$121,MATCH($A47,'Six-Factor Calc'!$A$5:$A$121,0)),"")</x:f>
        <x:v>8.370689655172413</x:v>
      </x:c>
      <x:c r="Z47" s="47" t="n">
        <x:f>IFERROR(INDEX('Six-Factor Calc'!$Z$5:$Z$121,MATCH($A47,'Six-Factor Calc'!$A$5:$A$121,0)),"")</x:f>
        <x:v>22</x:v>
      </x:c>
      <x:c r="AA47" s="47" t="str">
        <x:f>IFERROR(INDEX('Six-Factor Calc'!$AA$5:$AA$121,MATCH($A47,'Six-Factor Calc'!$A$5:$A$121,0)),"")</x:f>
      </x:c>
      <x:c r="AB47" s="54" t="n">
        <x:f>IFERROR(INDEX('Six-Factor Calc'!$AB$5:$AB$121,MATCH($A47,'Six-Factor Calc'!$A$5:$A$121,0)),"")</x:f>
        <x:v>46213</x:v>
      </x:c>
      <x:c r="AC47" s="54" t="n">
        <x:f>IFERROR(INDEX('Six-Factor Calc'!$AC$5:$AC$121,MATCH($A47,'Six-Factor Calc'!$A$5:$A$121,0)),"")</x:f>
        <x:v>46142</x:v>
      </x:c>
      <x:c r="AD47" s="54" t="n">
        <x:f>IFERROR(INDEX('Six-Factor Calc'!$AD$5:$AD$121,MATCH($A47,'Six-Factor Calc'!$A$5:$A$121,0)),"")</x:f>
        <x:v>46142</x:v>
      </x:c>
      <x:c r="AE47" s="47" t="str">
        <x:f>IFERROR(INDEX('Six-Factor Calc'!$AE$5:$AE$121,MATCH($A47,'Six-Factor Calc'!$A$5:$A$121,0)),"")</x:f>
        <x:v>OK</x:v>
      </x:c>
    </x:row>
    <x:row r="48">
      <x:c r="A48" s="12" t="n">
        <x:v>44</x:v>
      </x:c>
      <x:c r="B48" s="47" t="str">
        <x:f>IFERROR(INDEX('Six-Factor Calc'!$B$5:$B$121,MATCH($A48,'Six-Factor Calc'!$A$5:$A$121,0)),"")</x:f>
        <x:v>FCN</x:v>
      </x:c>
      <x:c r="C48" s="47" t="str">
        <x:f>IFERROR(INDEX('Six-Factor Calc'!$C$5:$C$121,MATCH($A48,'Six-Factor Calc'!$A$5:$A$121,0)),"")</x:f>
        <x:v>FTI Consulting Inc.</x:v>
      </x:c>
      <x:c r="D48" s="49" t="str">
        <x:f>IFERROR(INDEX('Six-Factor Calc'!$D$5:$D$121,MATCH($A48,'Six-Factor Calc'!$A$5:$A$121,0)),"")</x:f>
        <x:v>Long</x:v>
      </x:c>
      <x:c r="E48" s="49" t="n">
        <x:f>IFERROR(INDEX('Six-Factor Calc'!$E$5:$E$121,MATCH($A48,'Six-Factor Calc'!$A$5:$A$121,0)),"")</x:f>
        <x:v>0.004046</x:v>
      </x:c>
      <x:c r="F48" s="50" t="n">
        <x:f>IFERROR(INDEX('Six-Factor Calc'!$F$5:$F$121,MATCH($A48,'Six-Factor Calc'!$A$5:$A$121,0)),"")</x:f>
        <x:v>-0.2105017413707191</x:v>
      </x:c>
      <x:c r="G48" s="50" t="n">
        <x:f>IFERROR(INDEX('Six-Factor Calc'!$G$5:$G$121,MATCH($A48,'Six-Factor Calc'!$A$5:$A$121,0)),"")</x:f>
        <x:v>-0.06790713138490298</x:v>
      </x:c>
      <x:c r="H48" s="329" t="n">
        <x:f>IFERROR(INDEX('Six-Factor Calc'!$H$5:$H$121,MATCH($A48,'Six-Factor Calc'!$A$5:$A$121,0)),"")</x:f>
        <x:v>5.915811639634727</x:v>
      </x:c>
      <x:c r="I48" s="47" t="n">
        <x:f>IFERROR(INDEX('Six-Factor Calc'!$I$5:$I$121,MATCH($A48,'Six-Factor Calc'!$A$5:$A$121,0)),"")</x:f>
        <x:v>6</x:v>
      </x:c>
      <x:c r="J48" s="52" t="n">
        <x:f>IFERROR(INDEX('Six-Factor Calc'!$J$5:$J$121,MATCH($A48,'Six-Factor Calc'!$A$5:$A$121,0)),"")</x:f>
        <x:v>4.879310344827585</x:v>
      </x:c>
      <x:c r="K48" s="47" t="n">
        <x:f>IFERROR(INDEX('Six-Factor Calc'!$K$5:$K$121,MATCH($A48,'Six-Factor Calc'!$A$5:$A$121,0)),"")</x:f>
        <x:v>67</x:v>
      </x:c>
      <x:c r="L48" s="52" t="n">
        <x:f>IFERROR(INDEX('Six-Factor Calc'!$L$5:$L$121,MATCH($A48,'Six-Factor Calc'!$A$5:$A$121,0)),"")</x:f>
        <x:v>3.7071146245059285</x:v>
      </x:c>
      <x:c r="M48" s="47" t="n">
        <x:f>IFERROR(INDEX('Six-Factor Calc'!$M$5:$M$121,MATCH($A48,'Six-Factor Calc'!$A$5:$A$121,0)),"")</x:f>
        <x:v>93</x:v>
      </x:c>
      <x:c r="N48" s="47" t="str">
        <x:f>IFERROR(INDEX('Six-Factor Calc'!$N$5:$N$121,MATCH($A48,'Six-Factor Calc'!$A$5:$A$121,0)),"")</x:f>
        <x:v>SUE + CAR3</x:v>
      </x:c>
      <x:c r="O48" s="52" t="n">
        <x:f>IFERROR(INDEX('Six-Factor Calc'!$O$5:$O$121,MATCH($A48,'Six-Factor Calc'!$A$5:$A$121,0)),"")</x:f>
        <x:v>6.58</x:v>
      </x:c>
      <x:c r="P48" s="47" t="n">
        <x:f>IFERROR(INDEX('Six-Factor Calc'!$P$5:$P$121,MATCH($A48,'Six-Factor Calc'!$A$5:$A$121,0)),"")</x:f>
        <x:v>45</x:v>
      </x:c>
      <x:c r="Q48" s="50" t="n">
        <x:f>IFERROR(INDEX('Six-Factor Calc'!$Q$5:$Q$121,MATCH($A48,'Six-Factor Calc'!$A$5:$A$121,0)),"")</x:f>
        <x:v>2.72</x:v>
      </x:c>
      <x:c r="R48" s="50" t="n">
        <x:f>IFERROR(INDEX('Six-Factor Calc'!$R$5:$R$121,MATCH($A48,'Six-Factor Calc'!$A$5:$A$121,0)),"")</x:f>
        <x:v>2.71667</x:v>
      </x:c>
      <x:c r="S48" s="317" t="n">
        <x:f>IFERROR(INDEX('Six-Factor Calc'!$S$5:$S$121,MATCH($A48,'Six-Factor Calc'!$A$5:$A$121,0)),"")</x:f>
        <x:v>0.001225765367159079</x:v>
      </x:c>
      <x:c r="T48" s="47" t="str">
        <x:f>IFERROR(INDEX('Six-Factor Calc'!$T$5:$T$121,MATCH($A48,'Six-Factor Calc'!$A$5:$A$121,0)),"")</x:f>
        <x:v>OK</x:v>
      </x:c>
      <x:c r="U48" s="52" t="n">
        <x:f>IFERROR(INDEX('Six-Factor Calc'!$U$5:$U$121,MATCH($A48,'Six-Factor Calc'!$A$5:$A$121,0)),"")</x:f>
        <x:v>6.597676161919041</x:v>
      </x:c>
      <x:c r="V48" s="47" t="n">
        <x:f>IFERROR(INDEX('Six-Factor Calc'!$V$5:$V$121,MATCH($A48,'Six-Factor Calc'!$A$5:$A$121,0)),"")</x:f>
        <x:v>34</x:v>
      </x:c>
      <x:c r="W48" s="52" t="n">
        <x:f>IFERROR(INDEX('Six-Factor Calc'!$W$5:$W$121,MATCH($A48,'Six-Factor Calc'!$A$5:$A$121,0)),"")</x:f>
        <x:v>8.23103448275862</x:v>
      </x:c>
      <x:c r="X48" s="47" t="n">
        <x:f>IFERROR(INDEX('Six-Factor Calc'!$X$5:$X$121,MATCH($A48,'Six-Factor Calc'!$A$5:$A$121,0)),"")</x:f>
        <x:v>12</x:v>
      </x:c>
      <x:c r="Y48" s="52" t="n">
        <x:f>IFERROR(INDEX('Six-Factor Calc'!$Y$5:$Y$121,MATCH($A48,'Six-Factor Calc'!$A$5:$A$121,0)),"")</x:f>
        <x:v>9.224137931034484</x:v>
      </x:c>
      <x:c r="Z48" s="47" t="n">
        <x:f>IFERROR(INDEX('Six-Factor Calc'!$Z$5:$Z$121,MATCH($A48,'Six-Factor Calc'!$A$5:$A$121,0)),"")</x:f>
        <x:v>11</x:v>
      </x:c>
      <x:c r="AA48" s="47" t="str">
        <x:f>IFERROR(INDEX('Six-Factor Calc'!$AA$5:$AA$121,MATCH($A48,'Six-Factor Calc'!$A$5:$A$121,0)),"")</x:f>
        <x:v>Consumer Discretionary</x:v>
      </x:c>
      <x:c r="AB48" s="54" t="n">
        <x:f>IFERROR(INDEX('Six-Factor Calc'!$AB$5:$AB$121,MATCH($A48,'Six-Factor Calc'!$A$5:$A$121,0)),"")</x:f>
        <x:v>46213</x:v>
      </x:c>
      <x:c r="AC48" s="54" t="n">
        <x:f>IFERROR(INDEX('Six-Factor Calc'!$AC$5:$AC$121,MATCH($A48,'Six-Factor Calc'!$A$5:$A$121,0)),"")</x:f>
        <x:v>46112</x:v>
      </x:c>
      <x:c r="AD48" s="54" t="n">
        <x:f>IFERROR(INDEX('Six-Factor Calc'!$AD$5:$AD$121,MATCH($A48,'Six-Factor Calc'!$A$5:$A$121,0)),"")</x:f>
        <x:v>46022</x:v>
      </x:c>
      <x:c r="AE48" s="47" t="str">
        <x:f>IFERROR(INDEX('Six-Factor Calc'!$AE$5:$AE$121,MATCH($A48,'Six-Factor Calc'!$A$5:$A$121,0)),"")</x:f>
        <x:v>OK</x:v>
      </x:c>
    </x:row>
    <x:row r="49">
      <x:c r="A49" s="12" t="n">
        <x:v>45</x:v>
      </x:c>
      <x:c r="B49" s="47" t="str">
        <x:f>IFERROR(INDEX('Six-Factor Calc'!$B$5:$B$121,MATCH($A49,'Six-Factor Calc'!$A$5:$A$121,0)),"")</x:f>
        <x:v>SIGI</x:v>
      </x:c>
      <x:c r="C49" s="47" t="str">
        <x:f>IFERROR(INDEX('Six-Factor Calc'!$C$5:$C$121,MATCH($A49,'Six-Factor Calc'!$A$5:$A$121,0)),"")</x:f>
        <x:v>Selective Insurance Group Inc.</x:v>
      </x:c>
      <x:c r="D49" s="49" t="str">
        <x:f>IFERROR(INDEX('Six-Factor Calc'!$D$5:$D$121,MATCH($A49,'Six-Factor Calc'!$A$5:$A$121,0)),"")</x:f>
        <x:v>Long</x:v>
      </x:c>
      <x:c r="E49" s="49" t="n">
        <x:f>IFERROR(INDEX('Six-Factor Calc'!$E$5:$E$121,MATCH($A49,'Six-Factor Calc'!$A$5:$A$121,0)),"")</x:f>
        <x:v>0.004289</x:v>
      </x:c>
      <x:c r="F49" s="50" t="n">
        <x:f>IFERROR(INDEX('Six-Factor Calc'!$F$5:$F$121,MATCH($A49,'Six-Factor Calc'!$A$5:$A$121,0)),"")</x:f>
        <x:v>0.37184156160434084</x:v>
      </x:c>
      <x:c r="G49" s="50" t="n">
        <x:f>IFERROR(INDEX('Six-Factor Calc'!$G$5:$G$121,MATCH($A49,'Six-Factor Calc'!$A$5:$A$121,0)),"")</x:f>
        <x:v>0.14266550340956458</x:v>
      </x:c>
      <x:c r="H49" s="329" t="n">
        <x:f>IFERROR(INDEX('Six-Factor Calc'!$H$5:$H$121,MATCH($A49,'Six-Factor Calc'!$A$5:$A$121,0)),"")</x:f>
        <x:v>5.898325269183591</x:v>
      </x:c>
      <x:c r="I49" s="47" t="n">
        <x:f>IFERROR(INDEX('Six-Factor Calc'!$I$5:$I$121,MATCH($A49,'Six-Factor Calc'!$A$5:$A$121,0)),"")</x:f>
        <x:v>6</x:v>
      </x:c>
      <x:c r="J49" s="52" t="n">
        <x:f>IFERROR(INDEX('Six-Factor Calc'!$J$5:$J$121,MATCH($A49,'Six-Factor Calc'!$A$5:$A$121,0)),"")</x:f>
        <x:v>6.508620689655172</x:v>
      </x:c>
      <x:c r="K49" s="47" t="n">
        <x:f>IFERROR(INDEX('Six-Factor Calc'!$K$5:$K$121,MATCH($A49,'Six-Factor Calc'!$A$5:$A$121,0)),"")</x:f>
        <x:v>46</x:v>
      </x:c>
      <x:c r="L49" s="52" t="n">
        <x:f>IFERROR(INDEX('Six-Factor Calc'!$L$5:$L$121,MATCH($A49,'Six-Factor Calc'!$A$5:$A$121,0)),"")</x:f>
        <x:v>5.900197628458498</x:v>
      </x:c>
      <x:c r="M49" s="47" t="n">
        <x:f>IFERROR(INDEX('Six-Factor Calc'!$M$5:$M$121,MATCH($A49,'Six-Factor Calc'!$A$5:$A$121,0)),"")</x:f>
        <x:v>53</x:v>
      </x:c>
      <x:c r="N49" s="47" t="str">
        <x:f>IFERROR(INDEX('Six-Factor Calc'!$N$5:$N$121,MATCH($A49,'Six-Factor Calc'!$A$5:$A$121,0)),"")</x:f>
        <x:v>SUE + CAR3</x:v>
      </x:c>
      <x:c r="O49" s="52" t="n">
        <x:f>IFERROR(INDEX('Six-Factor Calc'!$O$5:$O$121,MATCH($A49,'Six-Factor Calc'!$A$5:$A$121,0)),"")</x:f>
        <x:v>5.7250000000000005</x:v>
      </x:c>
      <x:c r="P49" s="47" t="n">
        <x:f>IFERROR(INDEX('Six-Factor Calc'!$P$5:$P$121,MATCH($A49,'Six-Factor Calc'!$A$5:$A$121,0)),"")</x:f>
        <x:v>54</x:v>
      </x:c>
      <x:c r="Q49" s="50" t="n">
        <x:f>IFERROR(INDEX('Six-Factor Calc'!$Q$5:$Q$121,MATCH($A49,'Six-Factor Calc'!$A$5:$A$121,0)),"")</x:f>
        <x:v>1.815</x:v>
      </x:c>
      <x:c r="R49" s="50" t="n">
        <x:f>IFERROR(INDEX('Six-Factor Calc'!$R$5:$R$121,MATCH($A49,'Six-Factor Calc'!$A$5:$A$121,0)),"")</x:f>
        <x:v>1.82</x:v>
      </x:c>
      <x:c r="S49" s="317" t="n">
        <x:f>IFERROR(INDEX('Six-Factor Calc'!$S$5:$S$121,MATCH($A49,'Six-Factor Calc'!$A$5:$A$121,0)),"")</x:f>
        <x:v>-0.002747252747252811</x:v>
      </x:c>
      <x:c r="T49" s="47" t="str">
        <x:f>IFERROR(INDEX('Six-Factor Calc'!$T$5:$T$121,MATCH($A49,'Six-Factor Calc'!$A$5:$A$121,0)),"")</x:f>
        <x:v>OK</x:v>
      </x:c>
      <x:c r="U49" s="52" t="n">
        <x:f>IFERROR(INDEX('Six-Factor Calc'!$U$5:$U$121,MATCH($A49,'Six-Factor Calc'!$A$5:$A$121,0)),"")</x:f>
        <x:v>8.370689655172413</x:v>
      </x:c>
      <x:c r="V49" s="47" t="n">
        <x:f>IFERROR(INDEX('Six-Factor Calc'!$V$5:$V$121,MATCH($A49,'Six-Factor Calc'!$A$5:$A$121,0)),"")</x:f>
        <x:v>17</x:v>
      </x:c>
      <x:c r="W49" s="52" t="n">
        <x:f>IFERROR(INDEX('Six-Factor Calc'!$W$5:$W$121,MATCH($A49,'Six-Factor Calc'!$A$5:$A$121,0)),"")</x:f>
        <x:v>2.7844827586206895</x:v>
      </x:c>
      <x:c r="X49" s="47" t="n">
        <x:f>IFERROR(INDEX('Six-Factor Calc'!$X$5:$X$121,MATCH($A49,'Six-Factor Calc'!$A$5:$A$121,0)),"")</x:f>
        <x:v>101</x:v>
      </x:c>
      <x:c r="Y49" s="52" t="n">
        <x:f>IFERROR(INDEX('Six-Factor Calc'!$Y$5:$Y$121,MATCH($A49,'Six-Factor Calc'!$A$5:$A$121,0)),"")</x:f>
        <x:v>5.422413793103448</x:v>
      </x:c>
      <x:c r="Z49" s="47" t="n">
        <x:f>IFERROR(INDEX('Six-Factor Calc'!$Z$5:$Z$121,MATCH($A49,'Six-Factor Calc'!$A$5:$A$121,0)),"")</x:f>
        <x:v>60</x:v>
      </x:c>
      <x:c r="AA49" s="47" t="str">
        <x:f>IFERROR(INDEX('Six-Factor Calc'!$AA$5:$AA$121,MATCH($A49,'Six-Factor Calc'!$A$5:$A$121,0)),"")</x:f>
        <x:v>Finance</x:v>
      </x:c>
      <x:c r="AB49" s="54" t="n">
        <x:f>IFERROR(INDEX('Six-Factor Calc'!$AB$5:$AB$121,MATCH($A49,'Six-Factor Calc'!$A$5:$A$121,0)),"")</x:f>
        <x:v>46213</x:v>
      </x:c>
      <x:c r="AC49" s="54" t="n">
        <x:f>IFERROR(INDEX('Six-Factor Calc'!$AC$5:$AC$121,MATCH($A49,'Six-Factor Calc'!$A$5:$A$121,0)),"")</x:f>
        <x:v>46112</x:v>
      </x:c>
      <x:c r="AD49" s="54" t="n">
        <x:f>IFERROR(INDEX('Six-Factor Calc'!$AD$5:$AD$121,MATCH($A49,'Six-Factor Calc'!$A$5:$A$121,0)),"")</x:f>
        <x:v>46022</x:v>
      </x:c>
      <x:c r="AE49" s="47" t="str">
        <x:f>IFERROR(INDEX('Six-Factor Calc'!$AE$5:$AE$121,MATCH($A49,'Six-Factor Calc'!$A$5:$A$121,0)),"")</x:f>
        <x:v>OK</x:v>
      </x:c>
    </x:row>
    <x:row r="50">
      <x:c r="A50" s="12" t="n">
        <x:v>46</x:v>
      </x:c>
      <x:c r="B50" s="47" t="str">
        <x:f>IFERROR(INDEX('Six-Factor Calc'!$B$5:$B$121,MATCH($A50,'Six-Factor Calc'!$A$5:$A$121,0)),"")</x:f>
        <x:v>JKHY</x:v>
      </x:c>
      <x:c r="C50" s="47" t="str">
        <x:f>IFERROR(INDEX('Six-Factor Calc'!$C$5:$C$121,MATCH($A50,'Six-Factor Calc'!$A$5:$A$121,0)),"")</x:f>
        <x:v>Jack Henry and Associates Inc.</x:v>
      </x:c>
      <x:c r="D50" s="49" t="str">
        <x:f>IFERROR(INDEX('Six-Factor Calc'!$D$5:$D$121,MATCH($A50,'Six-Factor Calc'!$A$5:$A$121,0)),"")</x:f>
        <x:v>Long</x:v>
      </x:c>
      <x:c r="E50" s="49" t="n">
        <x:f>IFERROR(INDEX('Six-Factor Calc'!$E$5:$E$121,MATCH($A50,'Six-Factor Calc'!$A$5:$A$121,0)),"")</x:f>
        <x:v>0.004394</x:v>
      </x:c>
      <x:c r="F50" s="50" t="n">
        <x:f>IFERROR(INDEX('Six-Factor Calc'!$F$5:$F$121,MATCH($A50,'Six-Factor Calc'!$A$5:$A$121,0)),"")</x:f>
        <x:v>0.23487700697968236</x:v>
      </x:c>
      <x:c r="G50" s="50" t="n">
        <x:f>IFERROR(INDEX('Six-Factor Calc'!$G$5:$G$121,MATCH($A50,'Six-Factor Calc'!$A$5:$A$121,0)),"")</x:f>
        <x:v>-0.08138725044551728</x:v>
      </x:c>
      <x:c r="H50" s="329" t="n">
        <x:f>IFERROR(INDEX('Six-Factor Calc'!$H$5:$H$121,MATCH($A50,'Six-Factor Calc'!$A$5:$A$121,0)),"")</x:f>
        <x:v>5.8664152242060785</x:v>
      </x:c>
      <x:c r="I50" s="47" t="n">
        <x:f>IFERROR(INDEX('Six-Factor Calc'!$I$5:$I$121,MATCH($A50,'Six-Factor Calc'!$A$5:$A$121,0)),"")</x:f>
        <x:v>6</x:v>
      </x:c>
      <x:c r="J50" s="52" t="n">
        <x:f>IFERROR(INDEX('Six-Factor Calc'!$J$5:$J$121,MATCH($A50,'Six-Factor Calc'!$A$5:$A$121,0)),"")</x:f>
        <x:v>6.974137931034483</x:v>
      </x:c>
      <x:c r="K50" s="47" t="n">
        <x:f>IFERROR(INDEX('Six-Factor Calc'!$K$5:$K$121,MATCH($A50,'Six-Factor Calc'!$A$5:$A$121,0)),"")</x:f>
        <x:v>40</x:v>
      </x:c>
      <x:c r="L50" s="52" t="n">
        <x:f>IFERROR(INDEX('Six-Factor Calc'!$L$5:$L$121,MATCH($A50,'Six-Factor Calc'!$A$5:$A$121,0)),"")</x:f>
        <x:v>4.980632411067194</x:v>
      </x:c>
      <x:c r="M50" s="47" t="n">
        <x:f>IFERROR(INDEX('Six-Factor Calc'!$M$5:$M$121,MATCH($A50,'Six-Factor Calc'!$A$5:$A$121,0)),"")</x:f>
        <x:v>74</x:v>
      </x:c>
      <x:c r="N50" s="47" t="str">
        <x:f>IFERROR(INDEX('Six-Factor Calc'!$N$5:$N$121,MATCH($A50,'Six-Factor Calc'!$A$5:$A$121,0)),"")</x:f>
        <x:v>SUE + CAR3</x:v>
      </x:c>
      <x:c r="O50" s="52" t="n">
        <x:f>IFERROR(INDEX('Six-Factor Calc'!$O$5:$O$121,MATCH($A50,'Six-Factor Calc'!$A$5:$A$121,0)),"")</x:f>
        <x:v>6.193</x:v>
      </x:c>
      <x:c r="P50" s="47" t="n">
        <x:f>IFERROR(INDEX('Six-Factor Calc'!$P$5:$P$121,MATCH($A50,'Six-Factor Calc'!$A$5:$A$121,0)),"")</x:f>
        <x:v>47</x:v>
      </x:c>
      <x:c r="Q50" s="50" t="n">
        <x:f>IFERROR(INDEX('Six-Factor Calc'!$Q$5:$Q$121,MATCH($A50,'Six-Factor Calc'!$A$5:$A$121,0)),"")</x:f>
        <x:v>1.44</x:v>
      </x:c>
      <x:c r="R50" s="50" t="n">
        <x:f>IFERROR(INDEX('Six-Factor Calc'!$R$5:$R$121,MATCH($A50,'Six-Factor Calc'!$A$5:$A$121,0)),"")</x:f>
        <x:v>1.44</x:v>
      </x:c>
      <x:c r="S50" s="317" t="n">
        <x:f>IFERROR(INDEX('Six-Factor Calc'!$S$5:$S$121,MATCH($A50,'Six-Factor Calc'!$A$5:$A$121,0)),"")</x:f>
        <x:v>0</x:v>
      </x:c>
      <x:c r="T50" s="47" t="str">
        <x:f>IFERROR(INDEX('Six-Factor Calc'!$T$5:$T$121,MATCH($A50,'Six-Factor Calc'!$A$5:$A$121,0)),"")</x:f>
        <x:v>OK</x:v>
      </x:c>
      <x:c r="U50" s="52" t="n">
        <x:f>IFERROR(INDEX('Six-Factor Calc'!$U$5:$U$121,MATCH($A50,'Six-Factor Calc'!$A$5:$A$121,0)),"")</x:f>
        <x:v>5.217417541229385</x:v>
      </x:c>
      <x:c r="V50" s="47" t="n">
        <x:f>IFERROR(INDEX('Six-Factor Calc'!$V$5:$V$121,MATCH($A50,'Six-Factor Calc'!$A$5:$A$121,0)),"")</x:f>
        <x:v>67</x:v>
      </x:c>
      <x:c r="W50" s="52" t="n">
        <x:f>IFERROR(INDEX('Six-Factor Calc'!$W$5:$W$121,MATCH($A50,'Six-Factor Calc'!$A$5:$A$121,0)),"")</x:f>
        <x:v>6.7460344827586205</x:v>
      </x:c>
      <x:c r="X50" s="47" t="n">
        <x:f>IFERROR(INDEX('Six-Factor Calc'!$X$5:$X$121,MATCH($A50,'Six-Factor Calc'!$A$5:$A$121,0)),"")</x:f>
        <x:v>27</x:v>
      </x:c>
      <x:c r="Y50" s="52" t="n">
        <x:f>IFERROR(INDEX('Six-Factor Calc'!$Y$5:$Y$121,MATCH($A50,'Six-Factor Calc'!$A$5:$A$121,0)),"")</x:f>
        <x:v>4.646551724137931</x:v>
      </x:c>
      <x:c r="Z50" s="47" t="n">
        <x:f>IFERROR(INDEX('Six-Factor Calc'!$Z$5:$Z$121,MATCH($A50,'Six-Factor Calc'!$A$5:$A$121,0)),"")</x:f>
        <x:v>70</x:v>
      </x:c>
      <x:c r="AA50" s="47" t="str">
        <x:f>IFERROR(INDEX('Six-Factor Calc'!$AA$5:$AA$121,MATCH($A50,'Six-Factor Calc'!$A$5:$A$121,0)),"")</x:f>
        <x:v>Technology</x:v>
      </x:c>
      <x:c r="AB50" s="54" t="n">
        <x:f>IFERROR(INDEX('Six-Factor Calc'!$AB$5:$AB$121,MATCH($A50,'Six-Factor Calc'!$A$5:$A$121,0)),"")</x:f>
        <x:v>46213</x:v>
      </x:c>
      <x:c r="AC50" s="54" t="n">
        <x:f>IFERROR(INDEX('Six-Factor Calc'!$AC$5:$AC$121,MATCH($A50,'Six-Factor Calc'!$A$5:$A$121,0)),"")</x:f>
        <x:v>46112</x:v>
      </x:c>
      <x:c r="AD50" s="54" t="n">
        <x:f>IFERROR(INDEX('Six-Factor Calc'!$AD$5:$AD$121,MATCH($A50,'Six-Factor Calc'!$A$5:$A$121,0)),"")</x:f>
        <x:v>45838</x:v>
      </x:c>
      <x:c r="AE50" s="47" t="str">
        <x:f>IFERROR(INDEX('Six-Factor Calc'!$AE$5:$AE$121,MATCH($A50,'Six-Factor Calc'!$A$5:$A$121,0)),"")</x:f>
        <x:v>OK</x:v>
      </x:c>
    </x:row>
    <x:row r="51">
      <x:c r="A51" s="12" t="n">
        <x:v>47</x:v>
      </x:c>
      <x:c r="B51" s="47" t="str">
        <x:f>IFERROR(INDEX('Six-Factor Calc'!$B$5:$B$121,MATCH($A51,'Six-Factor Calc'!$A$5:$A$121,0)),"")</x:f>
        <x:v>NOC</x:v>
      </x:c>
      <x:c r="C51" s="47" t="str">
        <x:f>IFERROR(INDEX('Six-Factor Calc'!$C$5:$C$121,MATCH($A51,'Six-Factor Calc'!$A$5:$A$121,0)),"")</x:f>
        <x:v>Northrop Grumman Corp.</x:v>
      </x:c>
      <x:c r="D51" s="49" t="str">
        <x:f>IFERROR(INDEX('Six-Factor Calc'!$D$5:$D$121,MATCH($A51,'Six-Factor Calc'!$A$5:$A$121,0)),"")</x:f>
        <x:v>Long</x:v>
      </x:c>
      <x:c r="E51" s="49" t="n">
        <x:f>IFERROR(INDEX('Six-Factor Calc'!$E$5:$E$121,MATCH($A51,'Six-Factor Calc'!$A$5:$A$121,0)),"")</x:f>
        <x:v>0.003712</x:v>
      </x:c>
      <x:c r="F51" s="50" t="n">
        <x:f>IFERROR(INDEX('Six-Factor Calc'!$F$5:$F$121,MATCH($A51,'Six-Factor Calc'!$A$5:$A$121,0)),"")</x:f>
        <x:v>-0.27778542862983985</x:v>
      </x:c>
      <x:c r="G51" s="50" t="n">
        <x:f>IFERROR(INDEX('Six-Factor Calc'!$G$5:$G$121,MATCH($A51,'Six-Factor Calc'!$A$5:$A$121,0)),"")</x:f>
        <x:v>-0.21231979454560476</x:v>
      </x:c>
      <x:c r="H51" s="329" t="n">
        <x:f>IFERROR(INDEX('Six-Factor Calc'!$H$5:$H$121,MATCH($A51,'Six-Factor Calc'!$A$5:$A$121,0)),"")</x:f>
        <x:v>5.864750306664849</x:v>
      </x:c>
      <x:c r="I51" s="47" t="n">
        <x:f>IFERROR(INDEX('Six-Factor Calc'!$I$5:$I$121,MATCH($A51,'Six-Factor Calc'!$A$5:$A$121,0)),"")</x:f>
        <x:v>6</x:v>
      </x:c>
      <x:c r="J51" s="52" t="n">
        <x:f>IFERROR(INDEX('Six-Factor Calc'!$J$5:$J$121,MATCH($A51,'Six-Factor Calc'!$A$5:$A$121,0)),"")</x:f>
        <x:v>5.9655172413793105</x:v>
      </x:c>
      <x:c r="K51" s="47" t="n">
        <x:f>IFERROR(INDEX('Six-Factor Calc'!$K$5:$K$121,MATCH($A51,'Six-Factor Calc'!$A$5:$A$121,0)),"")</x:f>
        <x:v>53</x:v>
      </x:c>
      <x:c r="L51" s="52" t="n">
        <x:f>IFERROR(INDEX('Six-Factor Calc'!$L$5:$L$121,MATCH($A51,'Six-Factor Calc'!$A$5:$A$121,0)),"")</x:f>
        <x:v>3.845849802371541</x:v>
      </x:c>
      <x:c r="M51" s="47" t="n">
        <x:f>IFERROR(INDEX('Six-Factor Calc'!$M$5:$M$121,MATCH($A51,'Six-Factor Calc'!$A$5:$A$121,0)),"")</x:f>
        <x:v>91</x:v>
      </x:c>
      <x:c r="N51" s="47" t="str">
        <x:f>IFERROR(INDEX('Six-Factor Calc'!$N$5:$N$121,MATCH($A51,'Six-Factor Calc'!$A$5:$A$121,0)),"")</x:f>
        <x:v>SUE + CAR3</x:v>
      </x:c>
      <x:c r="O51" s="52" t="n">
        <x:f>IFERROR(INDEX('Six-Factor Calc'!$O$5:$O$121,MATCH($A51,'Six-Factor Calc'!$A$5:$A$121,0)),"")</x:f>
        <x:v>8.209</x:v>
      </x:c>
      <x:c r="P51" s="47" t="n">
        <x:f>IFERROR(INDEX('Six-Factor Calc'!$P$5:$P$121,MATCH($A51,'Six-Factor Calc'!$A$5:$A$121,0)),"")</x:f>
        <x:v>24</x:v>
      </x:c>
      <x:c r="Q51" s="50" t="n">
        <x:f>IFERROR(INDEX('Six-Factor Calc'!$Q$5:$Q$121,MATCH($A51,'Six-Factor Calc'!$A$5:$A$121,0)),"")</x:f>
        <x:v>7.15237</x:v>
      </x:c>
      <x:c r="R51" s="50" t="n">
        <x:f>IFERROR(INDEX('Six-Factor Calc'!$R$5:$R$121,MATCH($A51,'Six-Factor Calc'!$A$5:$A$121,0)),"")</x:f>
        <x:v>7.00072</x:v>
      </x:c>
      <x:c r="S51" s="317" t="n">
        <x:f>IFERROR(INDEX('Six-Factor Calc'!$S$5:$S$121,MATCH($A51,'Six-Factor Calc'!$A$5:$A$121,0)),"")</x:f>
        <x:v>0.021662057616930838</x:v>
      </x:c>
      <x:c r="T51" s="47" t="str">
        <x:f>IFERROR(INDEX('Six-Factor Calc'!$T$5:$T$121,MATCH($A51,'Six-Factor Calc'!$A$5:$A$121,0)),"")</x:f>
        <x:v>OK</x:v>
      </x:c>
      <x:c r="U51" s="52" t="n">
        <x:f>IFERROR(INDEX('Six-Factor Calc'!$U$5:$U$121,MATCH($A51,'Six-Factor Calc'!$A$5:$A$121,0)),"")</x:f>
        <x:v>5.550228635682158</x:v>
      </x:c>
      <x:c r="V51" s="47" t="n">
        <x:f>IFERROR(INDEX('Six-Factor Calc'!$V$5:$V$121,MATCH($A51,'Six-Factor Calc'!$A$5:$A$121,0)),"")</x:f>
        <x:v>55</x:v>
      </x:c>
      <x:c r="W51" s="52" t="n">
        <x:f>IFERROR(INDEX('Six-Factor Calc'!$W$5:$W$121,MATCH($A51,'Six-Factor Calc'!$A$5:$A$121,0)),"")</x:f>
        <x:v>6.2572413793103445</x:v>
      </x:c>
      <x:c r="X51" s="47" t="n">
        <x:f>IFERROR(INDEX('Six-Factor Calc'!$X$5:$X$121,MATCH($A51,'Six-Factor Calc'!$A$5:$A$121,0)),"")</x:f>
        <x:v>38</x:v>
      </x:c>
      <x:c r="Y51" s="52" t="n">
        <x:f>IFERROR(INDEX('Six-Factor Calc'!$Y$5:$Y$121,MATCH($A51,'Six-Factor Calc'!$A$5:$A$121,0)),"")</x:f>
        <x:v>6.586206896551724</x:v>
      </x:c>
      <x:c r="Z51" s="47" t="n">
        <x:f>IFERROR(INDEX('Six-Factor Calc'!$Z$5:$Z$121,MATCH($A51,'Six-Factor Calc'!$A$5:$A$121,0)),"")</x:f>
        <x:v>45</x:v>
      </x:c>
      <x:c r="AA51" s="47" t="str">
        <x:f>IFERROR(INDEX('Six-Factor Calc'!$AA$5:$AA$121,MATCH($A51,'Six-Factor Calc'!$A$5:$A$121,0)),"")</x:f>
        <x:v>Industrials</x:v>
      </x:c>
      <x:c r="AB51" s="54" t="n">
        <x:f>IFERROR(INDEX('Six-Factor Calc'!$AB$5:$AB$121,MATCH($A51,'Six-Factor Calc'!$A$5:$A$121,0)),"")</x:f>
        <x:v>46213</x:v>
      </x:c>
      <x:c r="AC51" s="54" t="n">
        <x:f>IFERROR(INDEX('Six-Factor Calc'!$AC$5:$AC$121,MATCH($A51,'Six-Factor Calc'!$A$5:$A$121,0)),"")</x:f>
        <x:v>46112</x:v>
      </x:c>
      <x:c r="AD51" s="54" t="n">
        <x:f>IFERROR(INDEX('Six-Factor Calc'!$AD$5:$AD$121,MATCH($A51,'Six-Factor Calc'!$A$5:$A$121,0)),"")</x:f>
        <x:v>46022</x:v>
      </x:c>
      <x:c r="AE51" s="47" t="str">
        <x:f>IFERROR(INDEX('Six-Factor Calc'!$AE$5:$AE$121,MATCH($A51,'Six-Factor Calc'!$A$5:$A$121,0)),"")</x:f>
        <x:v>OK</x:v>
      </x:c>
    </x:row>
    <x:row r="52">
      <x:c r="A52" s="12" t="n">
        <x:v>48</x:v>
      </x:c>
      <x:c r="B52" s="47" t="str">
        <x:f>IFERROR(INDEX('Six-Factor Calc'!$B$5:$B$121,MATCH($A52,'Six-Factor Calc'!$A$5:$A$121,0)),"")</x:f>
        <x:v>MO</x:v>
      </x:c>
      <x:c r="C52" s="47" t="str">
        <x:f>IFERROR(INDEX('Six-Factor Calc'!$C$5:$C$121,MATCH($A52,'Six-Factor Calc'!$A$5:$A$121,0)),"")</x:f>
        <x:v>Altria Group Inc.</x:v>
      </x:c>
      <x:c r="D52" s="49" t="str">
        <x:f>IFERROR(INDEX('Six-Factor Calc'!$D$5:$D$121,MATCH($A52,'Six-Factor Calc'!$A$5:$A$121,0)),"")</x:f>
        <x:v>Long</x:v>
      </x:c>
      <x:c r="E52" s="49" t="n">
        <x:f>IFERROR(INDEX('Six-Factor Calc'!$E$5:$E$121,MATCH($A52,'Six-Factor Calc'!$A$5:$A$121,0)),"")</x:f>
        <x:v>0.00395</x:v>
      </x:c>
      <x:c r="F52" s="50" t="n">
        <x:f>IFERROR(INDEX('Six-Factor Calc'!$F$5:$F$121,MATCH($A52,'Six-Factor Calc'!$A$5:$A$121,0)),"")</x:f>
        <x:v>0.2672918655161141</x:v>
      </x:c>
      <x:c r="G52" s="50" t="n">
        <x:f>IFERROR(INDEX('Six-Factor Calc'!$G$5:$G$121,MATCH($A52,'Six-Factor Calc'!$A$5:$A$121,0)),"")</x:f>
        <x:v>0.011651213706512195</x:v>
      </x:c>
      <x:c r="H52" s="329" t="n">
        <x:f>IFERROR(INDEX('Six-Factor Calc'!$H$5:$H$121,MATCH($A52,'Six-Factor Calc'!$A$5:$A$121,0)),"")</x:f>
        <x:v>5.852804279678343</x:v>
      </x:c>
      <x:c r="I52" s="47" t="n">
        <x:f>IFERROR(INDEX('Six-Factor Calc'!$I$5:$I$121,MATCH($A52,'Six-Factor Calc'!$A$5:$A$121,0)),"")</x:f>
        <x:v>6</x:v>
      </x:c>
      <x:c r="J52" s="52" t="n">
        <x:f>IFERROR(INDEX('Six-Factor Calc'!$J$5:$J$121,MATCH($A52,'Six-Factor Calc'!$A$5:$A$121,0)),"")</x:f>
        <x:v>1.6206896551724137</x:v>
      </x:c>
      <x:c r="K52" s="47" t="n">
        <x:f>IFERROR(INDEX('Six-Factor Calc'!$K$5:$K$121,MATCH($A52,'Six-Factor Calc'!$A$5:$A$121,0)),"")</x:f>
        <x:v>109</x:v>
      </x:c>
      <x:c r="L52" s="52" t="n">
        <x:f>IFERROR(INDEX('Six-Factor Calc'!$L$5:$L$121,MATCH($A52,'Six-Factor Calc'!$A$5:$A$121,0)),"")</x:f>
        <x:v>8.208893280632411</x:v>
      </x:c>
      <x:c r="M52" s="47" t="n">
        <x:f>IFERROR(INDEX('Six-Factor Calc'!$M$5:$M$121,MATCH($A52,'Six-Factor Calc'!$A$5:$A$121,0)),"")</x:f>
        <x:v>12</x:v>
      </x:c>
      <x:c r="N52" s="47" t="str">
        <x:f>IFERROR(INDEX('Six-Factor Calc'!$N$5:$N$121,MATCH($A52,'Six-Factor Calc'!$A$5:$A$121,0)),"")</x:f>
        <x:v>SUE + CAR3</x:v>
      </x:c>
      <x:c r="O52" s="52" t="n">
        <x:f>IFERROR(INDEX('Six-Factor Calc'!$O$5:$O$121,MATCH($A52,'Six-Factor Calc'!$A$5:$A$121,0)),"")</x:f>
        <x:v>6.040000000000001</x:v>
      </x:c>
      <x:c r="P52" s="47" t="n">
        <x:f>IFERROR(INDEX('Six-Factor Calc'!$P$5:$P$121,MATCH($A52,'Six-Factor Calc'!$A$5:$A$121,0)),"")</x:f>
        <x:v>50</x:v>
      </x:c>
      <x:c r="Q52" s="50" t="n">
        <x:f>IFERROR(INDEX('Six-Factor Calc'!$Q$5:$Q$121,MATCH($A52,'Six-Factor Calc'!$A$5:$A$121,0)),"")</x:f>
        <x:v>1.50495</x:v>
      </x:c>
      <x:c r="R52" s="50" t="n">
        <x:f>IFERROR(INDEX('Six-Factor Calc'!$R$5:$R$121,MATCH($A52,'Six-Factor Calc'!$A$5:$A$121,0)),"")</x:f>
        <x:v>1.50521</x:v>
      </x:c>
      <x:c r="S52" s="317" t="n">
        <x:f>IFERROR(INDEX('Six-Factor Calc'!$S$5:$S$121,MATCH($A52,'Six-Factor Calc'!$A$5:$A$121,0)),"")</x:f>
        <x:v>-0.00017273337275192628</x:v>
      </x:c>
      <x:c r="T52" s="47" t="str">
        <x:f>IFERROR(INDEX('Six-Factor Calc'!$T$5:$T$121,MATCH($A52,'Six-Factor Calc'!$A$5:$A$121,0)),"")</x:f>
        <x:v>OK</x:v>
      </x:c>
      <x:c r="U52" s="52" t="n">
        <x:f>IFERROR(INDEX('Six-Factor Calc'!$U$5:$U$121,MATCH($A52,'Six-Factor Calc'!$A$5:$A$121,0)),"")</x:f>
        <x:v>4.959021739130435</x:v>
      </x:c>
      <x:c r="V52" s="47" t="n">
        <x:f>IFERROR(INDEX('Six-Factor Calc'!$V$5:$V$121,MATCH($A52,'Six-Factor Calc'!$A$5:$A$121,0)),"")</x:f>
        <x:v>73</x:v>
      </x:c>
      <x:c r="W52" s="52" t="n">
        <x:f>IFERROR(INDEX('Six-Factor Calc'!$W$5:$W$121,MATCH($A52,'Six-Factor Calc'!$A$5:$A$121,0)),"")</x:f>
        <x:v>8.556896551724137</x:v>
      </x:c>
      <x:c r="X52" s="47" t="n">
        <x:f>IFERROR(INDEX('Six-Factor Calc'!$X$5:$X$121,MATCH($A52,'Six-Factor Calc'!$A$5:$A$121,0)),"")</x:f>
        <x:v>5</x:v>
      </x:c>
      <x:c r="Y52" s="52" t="n">
        <x:f>IFERROR(INDEX('Six-Factor Calc'!$Y$5:$Y$121,MATCH($A52,'Six-Factor Calc'!$A$5:$A$121,0)),"")</x:f>
        <x:v>7.982758620689655</x:v>
      </x:c>
      <x:c r="Z52" s="47" t="n">
        <x:f>IFERROR(INDEX('Six-Factor Calc'!$Z$5:$Z$121,MATCH($A52,'Six-Factor Calc'!$A$5:$A$121,0)),"")</x:f>
        <x:v>27</x:v>
      </x:c>
      <x:c r="AA52" s="47" t="str">
        <x:f>IFERROR(INDEX('Six-Factor Calc'!$AA$5:$AA$121,MATCH($A52,'Six-Factor Calc'!$A$5:$A$121,0)),"")</x:f>
        <x:v>Health Care</x:v>
      </x:c>
      <x:c r="AB52" s="54" t="n">
        <x:f>IFERROR(INDEX('Six-Factor Calc'!$AB$5:$AB$121,MATCH($A52,'Six-Factor Calc'!$A$5:$A$121,0)),"")</x:f>
        <x:v>46213</x:v>
      </x:c>
      <x:c r="AC52" s="54" t="n">
        <x:f>IFERROR(INDEX('Six-Factor Calc'!$AC$5:$AC$121,MATCH($A52,'Six-Factor Calc'!$A$5:$A$121,0)),"")</x:f>
        <x:v>46112</x:v>
      </x:c>
      <x:c r="AD52" s="54" t="n">
        <x:f>IFERROR(INDEX('Six-Factor Calc'!$AD$5:$AD$121,MATCH($A52,'Six-Factor Calc'!$A$5:$A$121,0)),"")</x:f>
        <x:v>46022</x:v>
      </x:c>
      <x:c r="AE52" s="47" t="str">
        <x:f>IFERROR(INDEX('Six-Factor Calc'!$AE$5:$AE$121,MATCH($A52,'Six-Factor Calc'!$A$5:$A$121,0)),"")</x:f>
        <x:v>OK</x:v>
      </x:c>
    </x:row>
    <x:row r="53">
      <x:c r="A53" s="12" t="n">
        <x:v>49</x:v>
      </x:c>
      <x:c r="B53" s="47" t="str">
        <x:f>IFERROR(INDEX('Six-Factor Calc'!$B$5:$B$121,MATCH($A53,'Six-Factor Calc'!$A$5:$A$121,0)),"")</x:f>
        <x:v>VRSN</x:v>
      </x:c>
      <x:c r="C53" s="47" t="str">
        <x:f>IFERROR(INDEX('Six-Factor Calc'!$C$5:$C$121,MATCH($A53,'Six-Factor Calc'!$A$5:$A$121,0)),"")</x:f>
        <x:v>VeriSign Inc.</x:v>
      </x:c>
      <x:c r="D53" s="49" t="str">
        <x:f>IFERROR(INDEX('Six-Factor Calc'!$D$5:$D$121,MATCH($A53,'Six-Factor Calc'!$A$5:$A$121,0)),"")</x:f>
        <x:v>Long</x:v>
      </x:c>
      <x:c r="E53" s="49" t="n">
        <x:f>IFERROR(INDEX('Six-Factor Calc'!$E$5:$E$121,MATCH($A53,'Six-Factor Calc'!$A$5:$A$121,0)),"")</x:f>
        <x:v>0.003716</x:v>
      </x:c>
      <x:c r="F53" s="50" t="n">
        <x:f>IFERROR(INDEX('Six-Factor Calc'!$F$5:$F$121,MATCH($A53,'Six-Factor Calc'!$A$5:$A$121,0)),"")</x:f>
        <x:v>0.11493391432051168</x:v>
      </x:c>
      <x:c r="G53" s="50" t="n">
        <x:f>IFERROR(INDEX('Six-Factor Calc'!$G$5:$G$121,MATCH($A53,'Six-Factor Calc'!$A$5:$A$121,0)),"")</x:f>
        <x:v>0.16665986925978252</x:v>
      </x:c>
      <x:c r="H53" s="329" t="n">
        <x:f>IFERROR(INDEX('Six-Factor Calc'!$H$5:$H$121,MATCH($A53,'Six-Factor Calc'!$A$5:$A$121,0)),"")</x:f>
        <x:v>5.78965939757394</x:v>
      </x:c>
      <x:c r="I53" s="47" t="n">
        <x:f>IFERROR(INDEX('Six-Factor Calc'!$I$5:$I$121,MATCH($A53,'Six-Factor Calc'!$A$5:$A$121,0)),"")</x:f>
        <x:v>6</x:v>
      </x:c>
      <x:c r="J53" s="52" t="n">
        <x:f>IFERROR(INDEX('Six-Factor Calc'!$J$5:$J$121,MATCH($A53,'Six-Factor Calc'!$A$5:$A$121,0)),"")</x:f>
        <x:v>2.4741379310344827</x:v>
      </x:c>
      <x:c r="K53" s="47" t="n">
        <x:f>IFERROR(INDEX('Six-Factor Calc'!$K$5:$K$121,MATCH($A53,'Six-Factor Calc'!$A$5:$A$121,0)),"")</x:f>
        <x:v>98</x:v>
      </x:c>
      <x:c r="L53" s="52" t="n">
        <x:f>IFERROR(INDEX('Six-Factor Calc'!$L$5:$L$121,MATCH($A53,'Six-Factor Calc'!$A$5:$A$121,0)),"")</x:f>
        <x:v>7.844268774703558</x:v>
      </x:c>
      <x:c r="M53" s="47" t="n">
        <x:f>IFERROR(INDEX('Six-Factor Calc'!$M$5:$M$121,MATCH($A53,'Six-Factor Calc'!$A$5:$A$121,0)),"")</x:f>
        <x:v>16</x:v>
      </x:c>
      <x:c r="N53" s="47" t="str">
        <x:f>IFERROR(INDEX('Six-Factor Calc'!$N$5:$N$121,MATCH($A53,'Six-Factor Calc'!$A$5:$A$121,0)),"")</x:f>
        <x:v>SUE + CAR3</x:v>
      </x:c>
      <x:c r="O53" s="52" t="n">
        <x:f>IFERROR(INDEX('Six-Factor Calc'!$O$5:$O$121,MATCH($A53,'Six-Factor Calc'!$A$5:$A$121,0)),"")</x:f>
        <x:v>7.588</x:v>
      </x:c>
      <x:c r="P53" s="47" t="n">
        <x:f>IFERROR(INDEX('Six-Factor Calc'!$P$5:$P$121,MATCH($A53,'Six-Factor Calc'!$A$5:$A$121,0)),"")</x:f>
        <x:v>32</x:v>
      </x:c>
      <x:c r="Q53" s="50" t="n">
        <x:f>IFERROR(INDEX('Six-Factor Calc'!$Q$5:$Q$121,MATCH($A53,'Six-Factor Calc'!$A$5:$A$121,0)),"")</x:f>
        <x:v>2.40254</x:v>
      </x:c>
      <x:c r="R53" s="50" t="n">
        <x:f>IFERROR(INDEX('Six-Factor Calc'!$R$5:$R$121,MATCH($A53,'Six-Factor Calc'!$A$5:$A$121,0)),"")</x:f>
        <x:v>2.37607</x:v>
      </x:c>
      <x:c r="S53" s="317" t="n">
        <x:f>IFERROR(INDEX('Six-Factor Calc'!$S$5:$S$121,MATCH($A53,'Six-Factor Calc'!$A$5:$A$121,0)),"")</x:f>
        <x:v>0.01114024418472529</x:v>
      </x:c>
      <x:c r="T53" s="47" t="str">
        <x:f>IFERROR(INDEX('Six-Factor Calc'!$T$5:$T$121,MATCH($A53,'Six-Factor Calc'!$A$5:$A$121,0)),"")</x:f>
        <x:v>OK</x:v>
      </x:c>
      <x:c r="U53" s="52" t="n">
        <x:f>IFERROR(INDEX('Six-Factor Calc'!$U$5:$U$121,MATCH($A53,'Six-Factor Calc'!$A$5:$A$121,0)),"")</x:f>
        <x:v>2.4507608695652174</x:v>
      </x:c>
      <x:c r="V53" s="47" t="n">
        <x:f>IFERROR(INDEX('Six-Factor Calc'!$V$5:$V$121,MATCH($A53,'Six-Factor Calc'!$A$5:$A$121,0)),"")</x:f>
        <x:v>116</x:v>
      </x:c>
      <x:c r="W53" s="52" t="n">
        <x:f>IFERROR(INDEX('Six-Factor Calc'!$W$5:$W$121,MATCH($A53,'Six-Factor Calc'!$A$5:$A$121,0)),"")</x:f>
        <x:v>8.161206896551723</x:v>
      </x:c>
      <x:c r="X53" s="47" t="n">
        <x:f>IFERROR(INDEX('Six-Factor Calc'!$X$5:$X$121,MATCH($A53,'Six-Factor Calc'!$A$5:$A$121,0)),"")</x:f>
        <x:v>14</x:v>
      </x:c>
      <x:c r="Y53" s="52" t="n">
        <x:f>IFERROR(INDEX('Six-Factor Calc'!$Y$5:$Y$121,MATCH($A53,'Six-Factor Calc'!$A$5:$A$121,0)),"")</x:f>
        <x:v>6.896551724137931</x:v>
      </x:c>
      <x:c r="Z53" s="47" t="n">
        <x:f>IFERROR(INDEX('Six-Factor Calc'!$Z$5:$Z$121,MATCH($A53,'Six-Factor Calc'!$A$5:$A$121,0)),"")</x:f>
        <x:v>41</x:v>
      </x:c>
      <x:c r="AA53" s="47" t="str">
        <x:f>IFERROR(INDEX('Six-Factor Calc'!$AA$5:$AA$121,MATCH($A53,'Six-Factor Calc'!$A$5:$A$121,0)),"")</x:f>
        <x:v>Technology</x:v>
      </x:c>
      <x:c r="AB53" s="54" t="n">
        <x:f>IFERROR(INDEX('Six-Factor Calc'!$AB$5:$AB$121,MATCH($A53,'Six-Factor Calc'!$A$5:$A$121,0)),"")</x:f>
        <x:v>46213</x:v>
      </x:c>
      <x:c r="AC53" s="54" t="n">
        <x:f>IFERROR(INDEX('Six-Factor Calc'!$AC$5:$AC$121,MATCH($A53,'Six-Factor Calc'!$A$5:$A$121,0)),"")</x:f>
        <x:v>41639</x:v>
      </x:c>
      <x:c r="AD53" s="54" t="n">
        <x:f>IFERROR(INDEX('Six-Factor Calc'!$AD$5:$AD$121,MATCH($A53,'Six-Factor Calc'!$A$5:$A$121,0)),"")</x:f>
        <x:v>46022</x:v>
      </x:c>
      <x:c r="AE53" s="47" t="str">
        <x:f>IFERROR(INDEX('Six-Factor Calc'!$AE$5:$AE$121,MATCH($A53,'Six-Factor Calc'!$A$5:$A$121,0)),"")</x:f>
        <x:v>OK</x:v>
      </x:c>
    </x:row>
    <x:row r="54">
      <x:c r="A54" s="12" t="n">
        <x:v>50</x:v>
      </x:c>
      <x:c r="B54" s="47" t="str">
        <x:f>IFERROR(INDEX('Six-Factor Calc'!$B$5:$B$121,MATCH($A54,'Six-Factor Calc'!$A$5:$A$121,0)),"")</x:f>
        <x:v>INTU</x:v>
      </x:c>
      <x:c r="C54" s="47" t="str">
        <x:f>IFERROR(INDEX('Six-Factor Calc'!$C$5:$C$121,MATCH($A54,'Six-Factor Calc'!$A$5:$A$121,0)),"")</x:f>
        <x:v>Intuit Inc.</x:v>
      </x:c>
      <x:c r="D54" s="49" t="str">
        <x:f>IFERROR(INDEX('Six-Factor Calc'!$D$5:$D$121,MATCH($A54,'Six-Factor Calc'!$A$5:$A$121,0)),"")</x:f>
        <x:v>Long</x:v>
      </x:c>
      <x:c r="E54" s="49" t="n">
        <x:f>IFERROR(INDEX('Six-Factor Calc'!$E$5:$E$121,MATCH($A54,'Six-Factor Calc'!$A$5:$A$121,0)),"")</x:f>
        <x:v>0.003783</x:v>
      </x:c>
      <x:c r="F54" s="50" t="n">
        <x:f>IFERROR(INDEX('Six-Factor Calc'!$F$5:$F$121,MATCH($A54,'Six-Factor Calc'!$A$5:$A$121,0)),"")</x:f>
        <x:v>0.2809583383821748</x:v>
      </x:c>
      <x:c r="G54" s="50" t="n">
        <x:f>IFERROR(INDEX('Six-Factor Calc'!$G$5:$G$121,MATCH($A54,'Six-Factor Calc'!$A$5:$A$121,0)),"")</x:f>
        <x:v>0.032968021737332494</x:v>
      </x:c>
      <x:c r="H54" s="329" t="n">
        <x:f>IFERROR(INDEX('Six-Factor Calc'!$H$5:$H$121,MATCH($A54,'Six-Factor Calc'!$A$5:$A$121,0)),"")</x:f>
        <x:v>5.769319408477579</x:v>
      </x:c>
      <x:c r="I54" s="47" t="n">
        <x:f>IFERROR(INDEX('Six-Factor Calc'!$I$5:$I$121,MATCH($A54,'Six-Factor Calc'!$A$5:$A$121,0)),"")</x:f>
        <x:v>6</x:v>
      </x:c>
      <x:c r="J54" s="52" t="n">
        <x:f>IFERROR(INDEX('Six-Factor Calc'!$J$5:$J$121,MATCH($A54,'Six-Factor Calc'!$A$5:$A$121,0)),"")</x:f>
        <x:v>6.275862068965517</x:v>
      </x:c>
      <x:c r="K54" s="47" t="n">
        <x:f>IFERROR(INDEX('Six-Factor Calc'!$K$5:$K$121,MATCH($A54,'Six-Factor Calc'!$A$5:$A$121,0)),"")</x:f>
        <x:v>49</x:v>
      </x:c>
      <x:c r="L54" s="52" t="n">
        <x:f>IFERROR(INDEX('Six-Factor Calc'!$L$5:$L$121,MATCH($A54,'Six-Factor Calc'!$A$5:$A$121,0)),"")</x:f>
        <x:v>4.3954545454545455</x:v>
      </x:c>
      <x:c r="M54" s="47" t="n">
        <x:f>IFERROR(INDEX('Six-Factor Calc'!$M$5:$M$121,MATCH($A54,'Six-Factor Calc'!$A$5:$A$121,0)),"")</x:f>
        <x:v>83</x:v>
      </x:c>
      <x:c r="N54" s="47" t="str">
        <x:f>IFERROR(INDEX('Six-Factor Calc'!$N$5:$N$121,MATCH($A54,'Six-Factor Calc'!$A$5:$A$121,0)),"")</x:f>
        <x:v>SUE + CAR3</x:v>
      </x:c>
      <x:c r="O54" s="52" t="n">
        <x:f>IFERROR(INDEX('Six-Factor Calc'!$O$5:$O$121,MATCH($A54,'Six-Factor Calc'!$A$5:$A$121,0)),"")</x:f>
        <x:v>6.111999999999999</x:v>
      </x:c>
      <x:c r="P54" s="47" t="n">
        <x:f>IFERROR(INDEX('Six-Factor Calc'!$P$5:$P$121,MATCH($A54,'Six-Factor Calc'!$A$5:$A$121,0)),"")</x:f>
        <x:v>49</x:v>
      </x:c>
      <x:c r="Q54" s="50" t="n">
        <x:f>IFERROR(INDEX('Six-Factor Calc'!$Q$5:$Q$121,MATCH($A54,'Six-Factor Calc'!$A$5:$A$121,0)),"")</x:f>
        <x:v>3.58821</x:v>
      </x:c>
      <x:c r="R54" s="50" t="n">
        <x:f>IFERROR(INDEX('Six-Factor Calc'!$R$5:$R$121,MATCH($A54,'Six-Factor Calc'!$A$5:$A$121,0)),"")</x:f>
        <x:v>3.58853</x:v>
      </x:c>
      <x:c r="S54" s="317" t="n">
        <x:f>IFERROR(INDEX('Six-Factor Calc'!$S$5:$S$121,MATCH($A54,'Six-Factor Calc'!$A$5:$A$121,0)),"")</x:f>
        <x:v>-0.0000891730039876707</x:v>
      </x:c>
      <x:c r="T54" s="47" t="str">
        <x:f>IFERROR(INDEX('Six-Factor Calc'!$T$5:$T$121,MATCH($A54,'Six-Factor Calc'!$A$5:$A$121,0)),"")</x:f>
        <x:v>OK</x:v>
      </x:c>
      <x:c r="U54" s="52" t="n">
        <x:f>IFERROR(INDEX('Six-Factor Calc'!$U$5:$U$121,MATCH($A54,'Six-Factor Calc'!$A$5:$A$121,0)),"")</x:f>
        <x:v>6.215412293853074</x:v>
      </x:c>
      <x:c r="V54" s="47" t="n">
        <x:f>IFERROR(INDEX('Six-Factor Calc'!$V$5:$V$121,MATCH($A54,'Six-Factor Calc'!$A$5:$A$121,0)),"")</x:f>
        <x:v>43</x:v>
      </x:c>
      <x:c r="W54" s="52" t="n">
        <x:f>IFERROR(INDEX('Six-Factor Calc'!$W$5:$W$121,MATCH($A54,'Six-Factor Calc'!$A$5:$A$121,0)),"")</x:f>
        <x:v>5.400689655172414</x:v>
      </x:c>
      <x:c r="X54" s="47" t="n">
        <x:f>IFERROR(INDEX('Six-Factor Calc'!$X$5:$X$121,MATCH($A54,'Six-Factor Calc'!$A$5:$A$121,0)),"")</x:f>
        <x:v>53</x:v>
      </x:c>
      <x:c r="Y54" s="52" t="n">
        <x:f>IFERROR(INDEX('Six-Factor Calc'!$Y$5:$Y$121,MATCH($A54,'Six-Factor Calc'!$A$5:$A$121,0)),"")</x:f>
        <x:v>7.129310344827586</x:v>
      </x:c>
      <x:c r="Z54" s="47" t="n">
        <x:f>IFERROR(INDEX('Six-Factor Calc'!$Z$5:$Z$121,MATCH($A54,'Six-Factor Calc'!$A$5:$A$121,0)),"")</x:f>
        <x:v>38</x:v>
      </x:c>
      <x:c r="AA54" s="47" t="str">
        <x:f>IFERROR(INDEX('Six-Factor Calc'!$AA$5:$AA$121,MATCH($A54,'Six-Factor Calc'!$A$5:$A$121,0)),"")</x:f>
        <x:v>Technology</x:v>
      </x:c>
      <x:c r="AB54" s="54" t="n">
        <x:f>IFERROR(INDEX('Six-Factor Calc'!$AB$5:$AB$121,MATCH($A54,'Six-Factor Calc'!$A$5:$A$121,0)),"")</x:f>
        <x:v>46213</x:v>
      </x:c>
      <x:c r="AC54" s="54" t="n">
        <x:f>IFERROR(INDEX('Six-Factor Calc'!$AC$5:$AC$121,MATCH($A54,'Six-Factor Calc'!$A$5:$A$121,0)),"")</x:f>
        <x:v>46142</x:v>
      </x:c>
      <x:c r="AD54" s="54" t="n">
        <x:f>IFERROR(INDEX('Six-Factor Calc'!$AD$5:$AD$121,MATCH($A54,'Six-Factor Calc'!$A$5:$A$121,0)),"")</x:f>
        <x:v>45869</x:v>
      </x:c>
      <x:c r="AE54" s="47" t="str">
        <x:f>IFERROR(INDEX('Six-Factor Calc'!$AE$5:$AE$121,MATCH($A54,'Six-Factor Calc'!$A$5:$A$121,0)),"")</x:f>
        <x:v>OK</x:v>
      </x:c>
    </x:row>
    <x:row r="55">
      <x:c r="A55" s="12" t="n">
        <x:v>51</x:v>
      </x:c>
      <x:c r="B55" s="47" t="str">
        <x:f>IFERROR(INDEX('Six-Factor Calc'!$B$5:$B$121,MATCH($A55,'Six-Factor Calc'!$A$5:$A$121,0)),"")</x:f>
        <x:v>TYL</x:v>
      </x:c>
      <x:c r="C55" s="47" t="str">
        <x:f>IFERROR(INDEX('Six-Factor Calc'!$C$5:$C$121,MATCH($A55,'Six-Factor Calc'!$A$5:$A$121,0)),"")</x:f>
        <x:v>Tyler Technologies Inc.</x:v>
      </x:c>
      <x:c r="D55" s="49" t="str">
        <x:f>IFERROR(INDEX('Six-Factor Calc'!$D$5:$D$121,MATCH($A55,'Six-Factor Calc'!$A$5:$A$121,0)),"")</x:f>
        <x:v>Long</x:v>
      </x:c>
      <x:c r="E55" s="49" t="n">
        <x:f>IFERROR(INDEX('Six-Factor Calc'!$E$5:$E$121,MATCH($A55,'Six-Factor Calc'!$A$5:$A$121,0)),"")</x:f>
        <x:v>0.004257</x:v>
      </x:c>
      <x:c r="F55" s="50" t="n">
        <x:f>IFERROR(INDEX('Six-Factor Calc'!$F$5:$F$121,MATCH($A55,'Six-Factor Calc'!$A$5:$A$121,0)),"")</x:f>
        <x:v>0.30700542836963984</x:v>
      </x:c>
      <x:c r="G55" s="50" t="n">
        <x:f>IFERROR(INDEX('Six-Factor Calc'!$G$5:$G$121,MATCH($A55,'Six-Factor Calc'!$A$5:$A$121,0)),"")</x:f>
        <x:v>0.005694608035329396</x:v>
      </x:c>
      <x:c r="H55" s="329" t="n">
        <x:f>IFERROR(INDEX('Six-Factor Calc'!$H$5:$H$121,MATCH($A55,'Six-Factor Calc'!$A$5:$A$121,0)),"")</x:f>
        <x:v>5.734215210576529</x:v>
      </x:c>
      <x:c r="I55" s="47" t="n">
        <x:f>IFERROR(INDEX('Six-Factor Calc'!$I$5:$I$121,MATCH($A55,'Six-Factor Calc'!$A$5:$A$121,0)),"")</x:f>
        <x:v>6</x:v>
      </x:c>
      <x:c r="J55" s="52" t="n">
        <x:f>IFERROR(INDEX('Six-Factor Calc'!$J$5:$J$121,MATCH($A55,'Six-Factor Calc'!$A$5:$A$121,0)),"")</x:f>
        <x:v>5.5</x:v>
      </x:c>
      <x:c r="K55" s="47" t="n">
        <x:f>IFERROR(INDEX('Six-Factor Calc'!$K$5:$K$121,MATCH($A55,'Six-Factor Calc'!$A$5:$A$121,0)),"")</x:f>
        <x:v>59</x:v>
      </x:c>
      <x:c r="L55" s="52" t="n">
        <x:f>IFERROR(INDEX('Six-Factor Calc'!$L$5:$L$121,MATCH($A55,'Six-Factor Calc'!$A$5:$A$121,0)),"")</x:f>
        <x:v>5.647628458498024</x:v>
      </x:c>
      <x:c r="M55" s="47" t="n">
        <x:f>IFERROR(INDEX('Six-Factor Calc'!$M$5:$M$121,MATCH($A55,'Six-Factor Calc'!$A$5:$A$121,0)),"")</x:f>
        <x:v>58</x:v>
      </x:c>
      <x:c r="N55" s="47" t="str">
        <x:f>IFERROR(INDEX('Six-Factor Calc'!$N$5:$N$121,MATCH($A55,'Six-Factor Calc'!$A$5:$A$121,0)),"")</x:f>
        <x:v>SUE + CAR3</x:v>
      </x:c>
      <x:c r="O55" s="52" t="n">
        <x:f>IFERROR(INDEX('Six-Factor Calc'!$O$5:$O$121,MATCH($A55,'Six-Factor Calc'!$A$5:$A$121,0)),"")</x:f>
        <x:v>8.911</x:v>
      </x:c>
      <x:c r="P55" s="47" t="n">
        <x:f>IFERROR(INDEX('Six-Factor Calc'!$P$5:$P$121,MATCH($A55,'Six-Factor Calc'!$A$5:$A$121,0)),"")</x:f>
        <x:v>15</x:v>
      </x:c>
      <x:c r="Q55" s="50" t="n">
        <x:f>IFERROR(INDEX('Six-Factor Calc'!$Q$5:$Q$121,MATCH($A55,'Six-Factor Calc'!$A$5:$A$121,0)),"")</x:f>
        <x:v>3.46679</x:v>
      </x:c>
      <x:c r="R55" s="50" t="n">
        <x:f>IFERROR(INDEX('Six-Factor Calc'!$R$5:$R$121,MATCH($A55,'Six-Factor Calc'!$A$5:$A$121,0)),"")</x:f>
        <x:v>3.3724</x:v>
      </x:c>
      <x:c r="S55" s="317" t="n">
        <x:f>IFERROR(INDEX('Six-Factor Calc'!$S$5:$S$121,MATCH($A55,'Six-Factor Calc'!$A$5:$A$121,0)),"")</x:f>
        <x:v>0.027988969280038016</x:v>
      </x:c>
      <x:c r="T55" s="47" t="str">
        <x:f>IFERROR(INDEX('Six-Factor Calc'!$T$5:$T$121,MATCH($A55,'Six-Factor Calc'!$A$5:$A$121,0)),"")</x:f>
        <x:v>OK</x:v>
      </x:c>
      <x:c r="U55" s="52" t="n">
        <x:f>IFERROR(INDEX('Six-Factor Calc'!$U$5:$U$121,MATCH($A55,'Six-Factor Calc'!$A$5:$A$121,0)),"")</x:f>
        <x:v>4.1082383808095955</x:v>
      </x:c>
      <x:c r="V55" s="47" t="n">
        <x:f>IFERROR(INDEX('Six-Factor Calc'!$V$5:$V$121,MATCH($A55,'Six-Factor Calc'!$A$5:$A$121,0)),"")</x:f>
        <x:v>88</x:v>
      </x:c>
      <x:c r="W55" s="52" t="n">
        <x:f>IFERROR(INDEX('Six-Factor Calc'!$W$5:$W$121,MATCH($A55,'Six-Factor Calc'!$A$5:$A$121,0)),"")</x:f>
        <x:v>6.344137931034482</x:v>
      </x:c>
      <x:c r="X55" s="47" t="n">
        <x:f>IFERROR(INDEX('Six-Factor Calc'!$X$5:$X$121,MATCH($A55,'Six-Factor Calc'!$A$5:$A$121,0)),"")</x:f>
        <x:v>37</x:v>
      </x:c>
      <x:c r="Y55" s="52" t="n">
        <x:f>IFERROR(INDEX('Six-Factor Calc'!$Y$5:$Y$121,MATCH($A55,'Six-Factor Calc'!$A$5:$A$121,0)),"")</x:f>
        <x:v>2.706896551724138</x:v>
      </x:c>
      <x:c r="Z55" s="47" t="n">
        <x:f>IFERROR(INDEX('Six-Factor Calc'!$Z$5:$Z$121,MATCH($A55,'Six-Factor Calc'!$A$5:$A$121,0)),"")</x:f>
        <x:v>95</x:v>
      </x:c>
      <x:c r="AA55" s="47" t="str">
        <x:f>IFERROR(INDEX('Six-Factor Calc'!$AA$5:$AA$121,MATCH($A55,'Six-Factor Calc'!$A$5:$A$121,0)),"")</x:f>
        <x:v>Technology</x:v>
      </x:c>
      <x:c r="AB55" s="54" t="n">
        <x:f>IFERROR(INDEX('Six-Factor Calc'!$AB$5:$AB$121,MATCH($A55,'Six-Factor Calc'!$A$5:$A$121,0)),"")</x:f>
        <x:v>46213</x:v>
      </x:c>
      <x:c r="AC55" s="54" t="n">
        <x:f>IFERROR(INDEX('Six-Factor Calc'!$AC$5:$AC$121,MATCH($A55,'Six-Factor Calc'!$A$5:$A$121,0)),"")</x:f>
        <x:v>46112</x:v>
      </x:c>
      <x:c r="AD55" s="54" t="n">
        <x:f>IFERROR(INDEX('Six-Factor Calc'!$AD$5:$AD$121,MATCH($A55,'Six-Factor Calc'!$A$5:$A$121,0)),"")</x:f>
        <x:v>46022</x:v>
      </x:c>
      <x:c r="AE55" s="47" t="str">
        <x:f>IFERROR(INDEX('Six-Factor Calc'!$AE$5:$AE$121,MATCH($A55,'Six-Factor Calc'!$A$5:$A$121,0)),"")</x:f>
        <x:v>OK</x:v>
      </x:c>
    </x:row>
    <x:row r="56">
      <x:c r="A56" s="12" t="n">
        <x:v>52</x:v>
      </x:c>
      <x:c r="B56" s="47" t="str">
        <x:f>IFERROR(INDEX('Six-Factor Calc'!$B$5:$B$121,MATCH($A56,'Six-Factor Calc'!$A$5:$A$121,0)),"")</x:f>
        <x:v>HSY</x:v>
      </x:c>
      <x:c r="C56" s="47" t="str">
        <x:f>IFERROR(INDEX('Six-Factor Calc'!$C$5:$C$121,MATCH($A56,'Six-Factor Calc'!$A$5:$A$121,0)),"")</x:f>
        <x:v>The Hershey Co.</x:v>
      </x:c>
      <x:c r="D56" s="49" t="str">
        <x:f>IFERROR(INDEX('Six-Factor Calc'!$D$5:$D$121,MATCH($A56,'Six-Factor Calc'!$A$5:$A$121,0)),"")</x:f>
        <x:v>Long</x:v>
      </x:c>
      <x:c r="E56" s="49" t="n">
        <x:f>IFERROR(INDEX('Six-Factor Calc'!$E$5:$E$121,MATCH($A56,'Six-Factor Calc'!$A$5:$A$121,0)),"")</x:f>
        <x:v>0.003583</x:v>
      </x:c>
      <x:c r="F56" s="50" t="n">
        <x:f>IFERROR(INDEX('Six-Factor Calc'!$F$5:$F$121,MATCH($A56,'Six-Factor Calc'!$A$5:$A$121,0)),"")</x:f>
        <x:v>0.1174133100598108</x:v>
      </x:c>
      <x:c r="G56" s="50" t="n">
        <x:f>IFERROR(INDEX('Six-Factor Calc'!$G$5:$G$121,MATCH($A56,'Six-Factor Calc'!$A$5:$A$121,0)),"")</x:f>
        <x:v>-0.02347637543469619</x:v>
      </x:c>
      <x:c r="H56" s="329" t="n">
        <x:f>IFERROR(INDEX('Six-Factor Calc'!$H$5:$H$121,MATCH($A56,'Six-Factor Calc'!$A$5:$A$121,0)),"")</x:f>
        <x:v>5.6533958020989505</x:v>
      </x:c>
      <x:c r="I56" s="47" t="n">
        <x:f>IFERROR(INDEX('Six-Factor Calc'!$I$5:$I$121,MATCH($A56,'Six-Factor Calc'!$A$5:$A$121,0)),"")</x:f>
        <x:v>6</x:v>
      </x:c>
      <x:c r="J56" s="52" t="n">
        <x:f>IFERROR(INDEX('Six-Factor Calc'!$J$5:$J$121,MATCH($A56,'Six-Factor Calc'!$A$5:$A$121,0)),"")</x:f>
        <x:v>9.53448275862069</x:v>
      </x:c>
      <x:c r="K56" s="47" t="n">
        <x:f>IFERROR(INDEX('Six-Factor Calc'!$K$5:$K$121,MATCH($A56,'Six-Factor Calc'!$A$5:$A$121,0)),"")</x:f>
        <x:v>7</x:v>
      </x:c>
      <x:c r="L56" s="52" t="n">
        <x:f>IFERROR(INDEX('Six-Factor Calc'!$L$5:$L$121,MATCH($A56,'Six-Factor Calc'!$A$5:$A$121,0)),"")</x:f>
        <x:v>3.739130434782609</x:v>
      </x:c>
      <x:c r="M56" s="47" t="n">
        <x:f>IFERROR(INDEX('Six-Factor Calc'!$M$5:$M$121,MATCH($A56,'Six-Factor Calc'!$A$5:$A$121,0)),"")</x:f>
        <x:v>92</x:v>
      </x:c>
      <x:c r="N56" s="47" t="str">
        <x:f>IFERROR(INDEX('Six-Factor Calc'!$N$5:$N$121,MATCH($A56,'Six-Factor Calc'!$A$5:$A$121,0)),"")</x:f>
        <x:v>CAR3 only</x:v>
      </x:c>
      <x:c r="O56" s="52" t="n">
        <x:f>IFERROR(INDEX('Six-Factor Calc'!$O$5:$O$121,MATCH($A56,'Six-Factor Calc'!$A$5:$A$121,0)),"")</x:f>
        <x:v>2.08</x:v>
      </x:c>
      <x:c r="P56" s="47" t="n">
        <x:f>IFERROR(INDEX('Six-Factor Calc'!$P$5:$P$121,MATCH($A56,'Six-Factor Calc'!$A$5:$A$121,0)),"")</x:f>
        <x:v>101</x:v>
      </x:c>
      <x:c r="Q56" s="50" t="n">
        <x:f>IFERROR(INDEX('Six-Factor Calc'!$Q$5:$Q$121,MATCH($A56,'Six-Factor Calc'!$A$5:$A$121,0)),"")</x:f>
        <x:v>2.11904</x:v>
      </x:c>
      <x:c r="R56" s="50" t="n">
        <x:f>IFERROR(INDEX('Six-Factor Calc'!$R$5:$R$121,MATCH($A56,'Six-Factor Calc'!$A$5:$A$121,0)),"")</x:f>
        <x:v>2.28646</x:v>
      </x:c>
      <x:c r="S56" s="317" t="n">
        <x:f>IFERROR(INDEX('Six-Factor Calc'!$S$5:$S$121,MATCH($A56,'Six-Factor Calc'!$A$5:$A$121,0)),"")</x:f>
        <x:v>-0.07322236120465694</x:v>
      </x:c>
      <x:c r="T56" s="47" t="str">
        <x:f>IFERROR(INDEX('Six-Factor Calc'!$T$5:$T$121,MATCH($A56,'Six-Factor Calc'!$A$5:$A$121,0)),"")</x:f>
        <x:v>OK</x:v>
      </x:c>
      <x:c r="U56" s="52" t="n">
        <x:f>IFERROR(INDEX('Six-Factor Calc'!$U$5:$U$121,MATCH($A56,'Six-Factor Calc'!$A$5:$A$121,0)),"")</x:f>
        <x:v>4.3718290854572714</x:v>
      </x:c>
      <x:c r="V56" s="47" t="n">
        <x:f>IFERROR(INDEX('Six-Factor Calc'!$V$5:$V$121,MATCH($A56,'Six-Factor Calc'!$A$5:$A$121,0)),"")</x:f>
        <x:v>84</x:v>
      </x:c>
      <x:c r="W56" s="52" t="n">
        <x:f>IFERROR(INDEX('Six-Factor Calc'!$W$5:$W$121,MATCH($A56,'Six-Factor Calc'!$A$5:$A$121,0)),"")</x:f>
        <x:v>5.385172413793104</x:v>
      </x:c>
      <x:c r="X56" s="47" t="n">
        <x:f>IFERROR(INDEX('Six-Factor Calc'!$X$5:$X$121,MATCH($A56,'Six-Factor Calc'!$A$5:$A$121,0)),"")</x:f>
        <x:v>54</x:v>
      </x:c>
      <x:c r="Y56" s="52" t="n">
        <x:f>IFERROR(INDEX('Six-Factor Calc'!$Y$5:$Y$121,MATCH($A56,'Six-Factor Calc'!$A$5:$A$121,0)),"")</x:f>
        <x:v>8.137931034482758</x:v>
      </x:c>
      <x:c r="Z56" s="47" t="n">
        <x:f>IFERROR(INDEX('Six-Factor Calc'!$Z$5:$Z$121,MATCH($A56,'Six-Factor Calc'!$A$5:$A$121,0)),"")</x:f>
        <x:v>25</x:v>
      </x:c>
      <x:c r="AA56" s="47" t="str">
        <x:f>IFERROR(INDEX('Six-Factor Calc'!$AA$5:$AA$121,MATCH($A56,'Six-Factor Calc'!$A$5:$A$121,0)),"")</x:f>
        <x:v>Consumer Staples</x:v>
      </x:c>
      <x:c r="AB56" s="54" t="n">
        <x:f>IFERROR(INDEX('Six-Factor Calc'!$AB$5:$AB$121,MATCH($A56,'Six-Factor Calc'!$A$5:$A$121,0)),"")</x:f>
        <x:v>46213</x:v>
      </x:c>
      <x:c r="AC56" s="54" t="n">
        <x:f>IFERROR(INDEX('Six-Factor Calc'!$AC$5:$AC$121,MATCH($A56,'Six-Factor Calc'!$A$5:$A$121,0)),"")</x:f>
        <x:v>40272</x:v>
      </x:c>
      <x:c r="AD56" s="54" t="n">
        <x:f>IFERROR(INDEX('Six-Factor Calc'!$AD$5:$AD$121,MATCH($A56,'Six-Factor Calc'!$A$5:$A$121,0)),"")</x:f>
        <x:v>46022</x:v>
      </x:c>
      <x:c r="AE56" s="47" t="str">
        <x:f>IFERROR(INDEX('Six-Factor Calc'!$AE$5:$AE$121,MATCH($A56,'Six-Factor Calc'!$A$5:$A$121,0)),"")</x:f>
        <x:v>OK</x:v>
      </x:c>
    </x:row>
    <x:row r="57">
      <x:c r="A57" s="12" t="n">
        <x:v>53</x:v>
      </x:c>
      <x:c r="B57" s="47" t="str">
        <x:f>IFERROR(INDEX('Six-Factor Calc'!$B$5:$B$121,MATCH($A57,'Six-Factor Calc'!$A$5:$A$121,0)),"")</x:f>
        <x:v>ROP</x:v>
      </x:c>
      <x:c r="C57" s="47" t="str">
        <x:f>IFERROR(INDEX('Six-Factor Calc'!$C$5:$C$121,MATCH($A57,'Six-Factor Calc'!$A$5:$A$121,0)),"")</x:f>
        <x:v>Roper Technologies Inc.</x:v>
      </x:c>
      <x:c r="D57" s="49" t="str">
        <x:f>IFERROR(INDEX('Six-Factor Calc'!$D$5:$D$121,MATCH($A57,'Six-Factor Calc'!$A$5:$A$121,0)),"")</x:f>
        <x:v>Long</x:v>
      </x:c>
      <x:c r="E57" s="49" t="n">
        <x:f>IFERROR(INDEX('Six-Factor Calc'!$E$5:$E$121,MATCH($A57,'Six-Factor Calc'!$A$5:$A$121,0)),"")</x:f>
        <x:v>0.004284</x:v>
      </x:c>
      <x:c r="F57" s="50" t="n">
        <x:f>IFERROR(INDEX('Six-Factor Calc'!$F$5:$F$121,MATCH($A57,'Six-Factor Calc'!$A$5:$A$121,0)),"")</x:f>
        <x:v>0.3355702707287766</x:v>
      </x:c>
      <x:c r="G57" s="50" t="n">
        <x:f>IFERROR(INDEX('Six-Factor Calc'!$G$5:$G$121,MATCH($A57,'Six-Factor Calc'!$A$5:$A$121,0)),"")</x:f>
        <x:v>0.10841101116871157</x:v>
      </x:c>
      <x:c r="H57" s="329" t="n">
        <x:f>IFERROR(INDEX('Six-Factor Calc'!$H$5:$H$121,MATCH($A57,'Six-Factor Calc'!$A$5:$A$121,0)),"")</x:f>
        <x:v>5.636285402753169</x:v>
      </x:c>
      <x:c r="I57" s="47" t="n">
        <x:f>IFERROR(INDEX('Six-Factor Calc'!$I$5:$I$121,MATCH($A57,'Six-Factor Calc'!$A$5:$A$121,0)),"")</x:f>
        <x:v>6</x:v>
      </x:c>
      <x:c r="J57" s="52" t="n">
        <x:f>IFERROR(INDEX('Six-Factor Calc'!$J$5:$J$121,MATCH($A57,'Six-Factor Calc'!$A$5:$A$121,0)),"")</x:f>
        <x:v>3.7155172413793105</x:v>
      </x:c>
      <x:c r="K57" s="47" t="n">
        <x:f>IFERROR(INDEX('Six-Factor Calc'!$K$5:$K$121,MATCH($A57,'Six-Factor Calc'!$A$5:$A$121,0)),"")</x:f>
        <x:v>82</x:v>
      </x:c>
      <x:c r="L57" s="52" t="n">
        <x:f>IFERROR(INDEX('Six-Factor Calc'!$L$5:$L$121,MATCH($A57,'Six-Factor Calc'!$A$5:$A$121,0)),"")</x:f>
        <x:v>6.817984189723321</x:v>
      </x:c>
      <x:c r="M57" s="47" t="n">
        <x:f>IFERROR(INDEX('Six-Factor Calc'!$M$5:$M$121,MATCH($A57,'Six-Factor Calc'!$A$5:$A$121,0)),"")</x:f>
        <x:v>29</x:v>
      </x:c>
      <x:c r="N57" s="47" t="str">
        <x:f>IFERROR(INDEX('Six-Factor Calc'!$N$5:$N$121,MATCH($A57,'Six-Factor Calc'!$A$5:$A$121,0)),"")</x:f>
        <x:v>SUE + CAR3</x:v>
      </x:c>
      <x:c r="O57" s="52" t="n">
        <x:f>IFERROR(INDEX('Six-Factor Calc'!$O$5:$O$121,MATCH($A57,'Six-Factor Calc'!$A$5:$A$121,0)),"")</x:f>
        <x:v>8.443</x:v>
      </x:c>
      <x:c r="P57" s="47" t="n">
        <x:f>IFERROR(INDEX('Six-Factor Calc'!$P$5:$P$121,MATCH($A57,'Six-Factor Calc'!$A$5:$A$121,0)),"")</x:f>
        <x:v>21</x:v>
      </x:c>
      <x:c r="Q57" s="50" t="n">
        <x:f>IFERROR(INDEX('Six-Factor Calc'!$Q$5:$Q$121,MATCH($A57,'Six-Factor Calc'!$A$5:$A$121,0)),"")</x:f>
        <x:v>5.79003</x:v>
      </x:c>
      <x:c r="R57" s="50" t="n">
        <x:f>IFERROR(INDEX('Six-Factor Calc'!$R$5:$R$121,MATCH($A57,'Six-Factor Calc'!$A$5:$A$121,0)),"")</x:f>
        <x:v>5.65089</x:v>
      </x:c>
      <x:c r="S57" s="317" t="n">
        <x:f>IFERROR(INDEX('Six-Factor Calc'!$S$5:$S$121,MATCH($A57,'Six-Factor Calc'!$A$5:$A$121,0)),"")</x:f>
        <x:v>0.0246226700572829</x:v>
      </x:c>
      <x:c r="T57" s="47" t="str">
        <x:f>IFERROR(INDEX('Six-Factor Calc'!$T$5:$T$121,MATCH($A57,'Six-Factor Calc'!$A$5:$A$121,0)),"")</x:f>
        <x:v>OK</x:v>
      </x:c>
      <x:c r="U57" s="52" t="n">
        <x:f>IFERROR(INDEX('Six-Factor Calc'!$U$5:$U$121,MATCH($A57,'Six-Factor Calc'!$A$5:$A$121,0)),"")</x:f>
        <x:v>6.055483508245877</x:v>
      </x:c>
      <x:c r="V57" s="47" t="n">
        <x:f>IFERROR(INDEX('Six-Factor Calc'!$V$5:$V$121,MATCH($A57,'Six-Factor Calc'!$A$5:$A$121,0)),"")</x:f>
        <x:v>45</x:v>
      </x:c>
      <x:c r="W57" s="52" t="n">
        <x:f>IFERROR(INDEX('Six-Factor Calc'!$W$5:$W$121,MATCH($A57,'Six-Factor Calc'!$A$5:$A$121,0)),"")</x:f>
        <x:v>6.375172413793104</x:v>
      </x:c>
      <x:c r="X57" s="47" t="n">
        <x:f>IFERROR(INDEX('Six-Factor Calc'!$X$5:$X$121,MATCH($A57,'Six-Factor Calc'!$A$5:$A$121,0)),"")</x:f>
        <x:v>36</x:v>
      </x:c>
      <x:c r="Y57" s="52" t="n">
        <x:f>IFERROR(INDEX('Six-Factor Calc'!$Y$5:$Y$121,MATCH($A57,'Six-Factor Calc'!$A$5:$A$121,0)),"")</x:f>
        <x:v>1.9310344827586206</x:v>
      </x:c>
      <x:c r="Z57" s="47" t="n">
        <x:f>IFERROR(INDEX('Six-Factor Calc'!$Z$5:$Z$121,MATCH($A57,'Six-Factor Calc'!$A$5:$A$121,0)),"")</x:f>
        <x:v>105</x:v>
      </x:c>
      <x:c r="AA57" s="47" t="str">
        <x:f>IFERROR(INDEX('Six-Factor Calc'!$AA$5:$AA$121,MATCH($A57,'Six-Factor Calc'!$A$5:$A$121,0)),"")</x:f>
        <x:v>Technology</x:v>
      </x:c>
      <x:c r="AB57" s="54" t="n">
        <x:f>IFERROR(INDEX('Six-Factor Calc'!$AB$5:$AB$121,MATCH($A57,'Six-Factor Calc'!$A$5:$A$121,0)),"")</x:f>
        <x:v>46213</x:v>
      </x:c>
      <x:c r="AC57" s="54" t="n">
        <x:f>IFERROR(INDEX('Six-Factor Calc'!$AC$5:$AC$121,MATCH($A57,'Six-Factor Calc'!$A$5:$A$121,0)),"")</x:f>
        <x:v>46112</x:v>
      </x:c>
      <x:c r="AD57" s="54" t="n">
        <x:f>IFERROR(INDEX('Six-Factor Calc'!$AD$5:$AD$121,MATCH($A57,'Six-Factor Calc'!$A$5:$A$121,0)),"")</x:f>
        <x:v>46022</x:v>
      </x:c>
      <x:c r="AE57" s="47" t="str">
        <x:f>IFERROR(INDEX('Six-Factor Calc'!$AE$5:$AE$121,MATCH($A57,'Six-Factor Calc'!$A$5:$A$121,0)),"")</x:f>
        <x:v>OK</x:v>
      </x:c>
    </x:row>
    <x:row r="58">
      <x:c r="A58" s="12" t="n">
        <x:v>54</x:v>
      </x:c>
      <x:c r="B58" s="47" t="str">
        <x:f>IFERROR(INDEX('Six-Factor Calc'!$B$5:$B$121,MATCH($A58,'Six-Factor Calc'!$A$5:$A$121,0)),"")</x:f>
        <x:v>ENSG</x:v>
      </x:c>
      <x:c r="C58" s="47" t="str">
        <x:f>IFERROR(INDEX('Six-Factor Calc'!$C$5:$C$121,MATCH($A58,'Six-Factor Calc'!$A$5:$A$121,0)),"")</x:f>
        <x:v>The Ensign Group Inc.</x:v>
      </x:c>
      <x:c r="D58" s="49" t="str">
        <x:f>IFERROR(INDEX('Six-Factor Calc'!$D$5:$D$121,MATCH($A58,'Six-Factor Calc'!$A$5:$A$121,0)),"")</x:f>
        <x:v>Long</x:v>
      </x:c>
      <x:c r="E58" s="49" t="n">
        <x:f>IFERROR(INDEX('Six-Factor Calc'!$E$5:$E$121,MATCH($A58,'Six-Factor Calc'!$A$5:$A$121,0)),"")</x:f>
        <x:v>0.004059</x:v>
      </x:c>
      <x:c r="F58" s="50" t="n">
        <x:f>IFERROR(INDEX('Six-Factor Calc'!$F$5:$F$121,MATCH($A58,'Six-Factor Calc'!$A$5:$A$121,0)),"")</x:f>
        <x:v>0.343170986150989</x:v>
      </x:c>
      <x:c r="G58" s="50" t="n">
        <x:f>IFERROR(INDEX('Six-Factor Calc'!$G$5:$G$121,MATCH($A58,'Six-Factor Calc'!$A$5:$A$121,0)),"")</x:f>
        <x:v>0.04795627329515873</x:v>
      </x:c>
      <x:c r="H58" s="329" t="n">
        <x:f>IFERROR(INDEX('Six-Factor Calc'!$H$5:$H$121,MATCH($A58,'Six-Factor Calc'!$A$5:$A$121,0)),"")</x:f>
        <x:v>5.614508109581573</x:v>
      </x:c>
      <x:c r="I58" s="47" t="n">
        <x:f>IFERROR(INDEX('Six-Factor Calc'!$I$5:$I$121,MATCH($A58,'Six-Factor Calc'!$A$5:$A$121,0)),"")</x:f>
        <x:v>6</x:v>
      </x:c>
      <x:c r="J58" s="52" t="n">
        <x:f>IFERROR(INDEX('Six-Factor Calc'!$J$5:$J$121,MATCH($A58,'Six-Factor Calc'!$A$5:$A$121,0)),"")</x:f>
        <x:v>5.344827586206897</x:v>
      </x:c>
      <x:c r="K58" s="47" t="n">
        <x:f>IFERROR(INDEX('Six-Factor Calc'!$K$5:$K$121,MATCH($A58,'Six-Factor Calc'!$A$5:$A$121,0)),"")</x:f>
        <x:v>61</x:v>
      </x:c>
      <x:c r="L58" s="52" t="n">
        <x:f>IFERROR(INDEX('Six-Factor Calc'!$L$5:$L$121,MATCH($A58,'Six-Factor Calc'!$A$5:$A$121,0)),"")</x:f>
        <x:v>5.752569169960475</x:v>
      </x:c>
      <x:c r="M58" s="47" t="n">
        <x:f>IFERROR(INDEX('Six-Factor Calc'!$M$5:$M$121,MATCH($A58,'Six-Factor Calc'!$A$5:$A$121,0)),"")</x:f>
        <x:v>55</x:v>
      </x:c>
      <x:c r="N58" s="47" t="str">
        <x:f>IFERROR(INDEX('Six-Factor Calc'!$N$5:$N$121,MATCH($A58,'Six-Factor Calc'!$A$5:$A$121,0)),"")</x:f>
        <x:v>SUE + CAR3</x:v>
      </x:c>
      <x:c r="O58" s="52" t="n">
        <x:f>IFERROR(INDEX('Six-Factor Calc'!$O$5:$O$121,MATCH($A58,'Six-Factor Calc'!$A$5:$A$121,0)),"")</x:f>
        <x:v>8.983</x:v>
      </x:c>
      <x:c r="P58" s="47" t="n">
        <x:f>IFERROR(INDEX('Six-Factor Calc'!$P$5:$P$121,MATCH($A58,'Six-Factor Calc'!$A$5:$A$121,0)),"")</x:f>
        <x:v>14</x:v>
      </x:c>
      <x:c r="Q58" s="50" t="n">
        <x:f>IFERROR(INDEX('Six-Factor Calc'!$Q$5:$Q$121,MATCH($A58,'Six-Factor Calc'!$A$5:$A$121,0)),"")</x:f>
        <x:v>1.95921</x:v>
      </x:c>
      <x:c r="R58" s="50" t="n">
        <x:f>IFERROR(INDEX('Six-Factor Calc'!$R$5:$R$121,MATCH($A58,'Six-Factor Calc'!$A$5:$A$121,0)),"")</x:f>
        <x:v>1.90245</x:v>
      </x:c>
      <x:c r="S58" s="317" t="n">
        <x:f>IFERROR(INDEX('Six-Factor Calc'!$S$5:$S$121,MATCH($A58,'Six-Factor Calc'!$A$5:$A$121,0)),"")</x:f>
        <x:v>0.029835212489158675</x:v>
      </x:c>
      <x:c r="T58" s="47" t="str">
        <x:f>IFERROR(INDEX('Six-Factor Calc'!$T$5:$T$121,MATCH($A58,'Six-Factor Calc'!$A$5:$A$121,0)),"")</x:f>
        <x:v>OK</x:v>
      </x:c>
      <x:c r="U58" s="52" t="n">
        <x:f>IFERROR(INDEX('Six-Factor Calc'!$U$5:$U$121,MATCH($A58,'Six-Factor Calc'!$A$5:$A$121,0)),"")</x:f>
        <x:v>5.177275112443779</x:v>
      </x:c>
      <x:c r="V58" s="47" t="n">
        <x:f>IFERROR(INDEX('Six-Factor Calc'!$V$5:$V$121,MATCH($A58,'Six-Factor Calc'!$A$5:$A$121,0)),"")</x:f>
        <x:v>68</x:v>
      </x:c>
      <x:c r="W58" s="52" t="n">
        <x:f>IFERROR(INDEX('Six-Factor Calc'!$W$5:$W$121,MATCH($A58,'Six-Factor Calc'!$A$5:$A$121,0)),"")</x:f>
        <x:v>4.43551724137931</x:v>
      </x:c>
      <x:c r="X58" s="47" t="n">
        <x:f>IFERROR(INDEX('Six-Factor Calc'!$X$5:$X$121,MATCH($A58,'Six-Factor Calc'!$A$5:$A$121,0)),"")</x:f>
        <x:v>72</x:v>
      </x:c>
      <x:c r="Y58" s="52" t="n">
        <x:f>IFERROR(INDEX('Six-Factor Calc'!$Y$5:$Y$121,MATCH($A58,'Six-Factor Calc'!$A$5:$A$121,0)),"")</x:f>
        <x:v>2.4741379310344827</x:v>
      </x:c>
      <x:c r="Z58" s="47" t="n">
        <x:f>IFERROR(INDEX('Six-Factor Calc'!$Z$5:$Z$121,MATCH($A58,'Six-Factor Calc'!$A$5:$A$121,0)),"")</x:f>
        <x:v>98</x:v>
      </x:c>
      <x:c r="AA58" s="47" t="str">
        <x:f>IFERROR(INDEX('Six-Factor Calc'!$AA$5:$AA$121,MATCH($A58,'Six-Factor Calc'!$A$5:$A$121,0)),"")</x:f>
        <x:v>Health Care</x:v>
      </x:c>
      <x:c r="AB58" s="54" t="n">
        <x:f>IFERROR(INDEX('Six-Factor Calc'!$AB$5:$AB$121,MATCH($A58,'Six-Factor Calc'!$A$5:$A$121,0)),"")</x:f>
        <x:v>46213</x:v>
      </x:c>
      <x:c r="AC58" s="54" t="n">
        <x:f>IFERROR(INDEX('Six-Factor Calc'!$AC$5:$AC$121,MATCH($A58,'Six-Factor Calc'!$A$5:$A$121,0)),"")</x:f>
        <x:v>46112</x:v>
      </x:c>
      <x:c r="AD58" s="54" t="n">
        <x:f>IFERROR(INDEX('Six-Factor Calc'!$AD$5:$AD$121,MATCH($A58,'Six-Factor Calc'!$A$5:$A$121,0)),"")</x:f>
        <x:v>46022</x:v>
      </x:c>
      <x:c r="AE58" s="47" t="str">
        <x:f>IFERROR(INDEX('Six-Factor Calc'!$AE$5:$AE$121,MATCH($A58,'Six-Factor Calc'!$A$5:$A$121,0)),"")</x:f>
        <x:v>OK</x:v>
      </x:c>
    </x:row>
    <x:row r="59">
      <x:c r="A59" s="12" t="n">
        <x:v>55</x:v>
      </x:c>
      <x:c r="B59" s="47" t="str">
        <x:f>IFERROR(INDEX('Six-Factor Calc'!$B$5:$B$121,MATCH($A59,'Six-Factor Calc'!$A$5:$A$121,0)),"")</x:f>
        <x:v>LHX</x:v>
      </x:c>
      <x:c r="C59" s="47" t="str">
        <x:f>IFERROR(INDEX('Six-Factor Calc'!$C$5:$C$121,MATCH($A59,'Six-Factor Calc'!$A$5:$A$121,0)),"")</x:f>
        <x:v>L3Harris Technologies Inc.</x:v>
      </x:c>
      <x:c r="D59" s="49" t="str">
        <x:f>IFERROR(INDEX('Six-Factor Calc'!$D$5:$D$121,MATCH($A59,'Six-Factor Calc'!$A$5:$A$121,0)),"")</x:f>
        <x:v>Long</x:v>
      </x:c>
      <x:c r="E59" s="49" t="n">
        <x:f>IFERROR(INDEX('Six-Factor Calc'!$E$5:$E$121,MATCH($A59,'Six-Factor Calc'!$A$5:$A$121,0)),"")</x:f>
        <x:v>0.004</x:v>
      </x:c>
      <x:c r="F59" s="50" t="n">
        <x:f>IFERROR(INDEX('Six-Factor Calc'!$F$5:$F$121,MATCH($A59,'Six-Factor Calc'!$A$5:$A$121,0)),"")</x:f>
        <x:v>0.36717508827532275</x:v>
      </x:c>
      <x:c r="G59" s="50" t="n">
        <x:f>IFERROR(INDEX('Six-Factor Calc'!$G$5:$G$121,MATCH($A59,'Six-Factor Calc'!$A$5:$A$121,0)),"")</x:f>
        <x:v>0.04587354877639371</x:v>
      </x:c>
      <x:c r="H59" s="329" t="n">
        <x:f>IFERROR(INDEX('Six-Factor Calc'!$H$5:$H$121,MATCH($A59,'Six-Factor Calc'!$A$5:$A$121,0)),"")</x:f>
        <x:v>5.601516968788333</x:v>
      </x:c>
      <x:c r="I59" s="47" t="n">
        <x:f>IFERROR(INDEX('Six-Factor Calc'!$I$5:$I$121,MATCH($A59,'Six-Factor Calc'!$A$5:$A$121,0)),"")</x:f>
        <x:v>6</x:v>
      </x:c>
      <x:c r="J59" s="52" t="n">
        <x:f>IFERROR(INDEX('Six-Factor Calc'!$J$5:$J$121,MATCH($A59,'Six-Factor Calc'!$A$5:$A$121,0)),"")</x:f>
        <x:v>5.655172413793104</x:v>
      </x:c>
      <x:c r="K59" s="47" t="n">
        <x:f>IFERROR(INDEX('Six-Factor Calc'!$K$5:$K$121,MATCH($A59,'Six-Factor Calc'!$A$5:$A$121,0)),"")</x:f>
        <x:v>57</x:v>
      </x:c>
      <x:c r="L59" s="52" t="n">
        <x:f>IFERROR(INDEX('Six-Factor Calc'!$L$5:$L$121,MATCH($A59,'Six-Factor Calc'!$A$5:$A$121,0)),"")</x:f>
        <x:v>5.3203557312252965</x:v>
      </x:c>
      <x:c r="M59" s="47" t="n">
        <x:f>IFERROR(INDEX('Six-Factor Calc'!$M$5:$M$121,MATCH($A59,'Six-Factor Calc'!$A$5:$A$121,0)),"")</x:f>
        <x:v>68</x:v>
      </x:c>
      <x:c r="N59" s="47" t="str">
        <x:f>IFERROR(INDEX('Six-Factor Calc'!$N$5:$N$121,MATCH($A59,'Six-Factor Calc'!$A$5:$A$121,0)),"")</x:f>
        <x:v>SUE + CAR3</x:v>
      </x:c>
      <x:c r="O59" s="52" t="n">
        <x:f>IFERROR(INDEX('Six-Factor Calc'!$O$5:$O$121,MATCH($A59,'Six-Factor Calc'!$A$5:$A$121,0)),"")</x:f>
        <x:v>2.935</x:v>
      </x:c>
      <x:c r="P59" s="47" t="n">
        <x:f>IFERROR(INDEX('Six-Factor Calc'!$P$5:$P$121,MATCH($A59,'Six-Factor Calc'!$A$5:$A$121,0)),"")</x:f>
        <x:v>90</x:v>
      </x:c>
      <x:c r="Q59" s="50" t="n">
        <x:f>IFERROR(INDEX('Six-Factor Calc'!$Q$5:$Q$121,MATCH($A59,'Six-Factor Calc'!$A$5:$A$121,0)),"")</x:f>
        <x:v>2.95518</x:v>
      </x:c>
      <x:c r="R59" s="50" t="n">
        <x:f>IFERROR(INDEX('Six-Factor Calc'!$R$5:$R$121,MATCH($A59,'Six-Factor Calc'!$A$5:$A$121,0)),"")</x:f>
        <x:v>3.04177</x:v>
      </x:c>
      <x:c r="S59" s="317" t="n">
        <x:f>IFERROR(INDEX('Six-Factor Calc'!$S$5:$S$121,MATCH($A59,'Six-Factor Calc'!$A$5:$A$121,0)),"")</x:f>
        <x:v>-0.028466978108141038</x:v>
      </x:c>
      <x:c r="T59" s="47" t="str">
        <x:f>IFERROR(INDEX('Six-Factor Calc'!$T$5:$T$121,MATCH($A59,'Six-Factor Calc'!$A$5:$A$121,0)),"")</x:f>
        <x:v>OK</x:v>
      </x:c>
      <x:c r="U59" s="52" t="n">
        <x:f>IFERROR(INDEX('Six-Factor Calc'!$U$5:$U$121,MATCH($A59,'Six-Factor Calc'!$A$5:$A$121,0)),"")</x:f>
        <x:v>5.091559220389805</x:v>
      </x:c>
      <x:c r="V59" s="47" t="n">
        <x:f>IFERROR(INDEX('Six-Factor Calc'!$V$5:$V$121,MATCH($A59,'Six-Factor Calc'!$A$5:$A$121,0)),"")</x:f>
        <x:v>72</x:v>
      </x:c>
      <x:c r="W59" s="52" t="n">
        <x:f>IFERROR(INDEX('Six-Factor Calc'!$W$5:$W$121,MATCH($A59,'Six-Factor Calc'!$A$5:$A$121,0)),"")</x:f>
        <x:v>8.474655172413792</x:v>
      </x:c>
      <x:c r="X59" s="47" t="n">
        <x:f>IFERROR(INDEX('Six-Factor Calc'!$X$5:$X$121,MATCH($A59,'Six-Factor Calc'!$A$5:$A$121,0)),"")</x:f>
        <x:v>7</x:v>
      </x:c>
      <x:c r="Y59" s="52" t="n">
        <x:f>IFERROR(INDEX('Six-Factor Calc'!$Y$5:$Y$121,MATCH($A59,'Six-Factor Calc'!$A$5:$A$121,0)),"")</x:f>
        <x:v>7.75</x:v>
      </x:c>
      <x:c r="Z59" s="47" t="n">
        <x:f>IFERROR(INDEX('Six-Factor Calc'!$Z$5:$Z$121,MATCH($A59,'Six-Factor Calc'!$A$5:$A$121,0)),"")</x:f>
        <x:v>30</x:v>
      </x:c>
      <x:c r="AA59" s="47" t="str">
        <x:f>IFERROR(INDEX('Six-Factor Calc'!$AA$5:$AA$121,MATCH($A59,'Six-Factor Calc'!$A$5:$A$121,0)),"")</x:f>
        <x:v>Industrials</x:v>
      </x:c>
      <x:c r="AB59" s="54" t="n">
        <x:f>IFERROR(INDEX('Six-Factor Calc'!$AB$5:$AB$121,MATCH($A59,'Six-Factor Calc'!$A$5:$A$121,0)),"")</x:f>
        <x:v>46213</x:v>
      </x:c>
      <x:c r="AC59" s="54" t="n">
        <x:f>IFERROR(INDEX('Six-Factor Calc'!$AC$5:$AC$121,MATCH($A59,'Six-Factor Calc'!$A$5:$A$121,0)),"")</x:f>
        <x:v>46115</x:v>
      </x:c>
      <x:c r="AD59" s="54" t="n">
        <x:f>IFERROR(INDEX('Six-Factor Calc'!$AD$5:$AD$121,MATCH($A59,'Six-Factor Calc'!$A$5:$A$121,0)),"")</x:f>
        <x:v>46024</x:v>
      </x:c>
      <x:c r="AE59" s="47" t="str">
        <x:f>IFERROR(INDEX('Six-Factor Calc'!$AE$5:$AE$121,MATCH($A59,'Six-Factor Calc'!$A$5:$A$121,0)),"")</x:f>
        <x:v>OK</x:v>
      </x:c>
    </x:row>
    <x:row r="60">
      <x:c r="A60" s="12" t="n">
        <x:v>56</x:v>
      </x:c>
      <x:c r="B60" s="47" t="str">
        <x:f>IFERROR(INDEX('Six-Factor Calc'!$B$5:$B$121,MATCH($A60,'Six-Factor Calc'!$A$5:$A$121,0)),"")</x:f>
        <x:v>REG</x:v>
      </x:c>
      <x:c r="C60" s="47" t="str">
        <x:f>IFERROR(INDEX('Six-Factor Calc'!$C$5:$C$121,MATCH($A60,'Six-Factor Calc'!$A$5:$A$121,0)),"")</x:f>
        <x:v>Regency Centers Corp. REIT</x:v>
      </x:c>
      <x:c r="D60" s="49" t="str">
        <x:f>IFERROR(INDEX('Six-Factor Calc'!$D$5:$D$121,MATCH($A60,'Six-Factor Calc'!$A$5:$A$121,0)),"")</x:f>
        <x:v>Long</x:v>
      </x:c>
      <x:c r="E60" s="49" t="n">
        <x:f>IFERROR(INDEX('Six-Factor Calc'!$E$5:$E$121,MATCH($A60,'Six-Factor Calc'!$A$5:$A$121,0)),"")</x:f>
        <x:v>0.004107</x:v>
      </x:c>
      <x:c r="F60" s="50" t="n">
        <x:f>IFERROR(INDEX('Six-Factor Calc'!$F$5:$F$121,MATCH($A60,'Six-Factor Calc'!$A$5:$A$121,0)),"")</x:f>
        <x:v>0.4344121475487339</x:v>
      </x:c>
      <x:c r="G60" s="50" t="n">
        <x:f>IFERROR(INDEX('Six-Factor Calc'!$G$5:$G$121,MATCH($A60,'Six-Factor Calc'!$A$5:$A$121,0)),"")</x:f>
        <x:v>0.10274679228112124</x:v>
      </x:c>
      <x:c r="H60" s="329" t="n">
        <x:f>IFERROR(INDEX('Six-Factor Calc'!$H$5:$H$121,MATCH($A60,'Six-Factor Calc'!$A$5:$A$121,0)),"")</x:f>
        <x:v>5.568105697151424</x:v>
      </x:c>
      <x:c r="I60" s="47" t="n">
        <x:f>IFERROR(INDEX('Six-Factor Calc'!$I$5:$I$121,MATCH($A60,'Six-Factor Calc'!$A$5:$A$121,0)),"")</x:f>
        <x:v>6</x:v>
      </x:c>
      <x:c r="J60" s="52" t="n">
        <x:f>IFERROR(INDEX('Six-Factor Calc'!$J$5:$J$121,MATCH($A60,'Six-Factor Calc'!$A$5:$A$121,0)),"")</x:f>
        <x:v>3.327586206896552</x:v>
      </x:c>
      <x:c r="K60" s="47" t="n">
        <x:f>IFERROR(INDEX('Six-Factor Calc'!$K$5:$K$121,MATCH($A60,'Six-Factor Calc'!$A$5:$A$121,0)),"")</x:f>
        <x:v>87</x:v>
      </x:c>
      <x:c r="L60" s="52" t="n">
        <x:f>IFERROR(INDEX('Six-Factor Calc'!$L$5:$L$121,MATCH($A60,'Six-Factor Calc'!$A$5:$A$121,0)),"")</x:f>
        <x:v>4.913043478260869</x:v>
      </x:c>
      <x:c r="M60" s="47" t="n">
        <x:f>IFERROR(INDEX('Six-Factor Calc'!$M$5:$M$121,MATCH($A60,'Six-Factor Calc'!$A$5:$A$121,0)),"")</x:f>
        <x:v>76</x:v>
      </x:c>
      <x:c r="N60" s="47" t="str">
        <x:f>IFERROR(INDEX('Six-Factor Calc'!$N$5:$N$121,MATCH($A60,'Six-Factor Calc'!$A$5:$A$121,0)),"")</x:f>
        <x:v>CAR3 only</x:v>
      </x:c>
      <x:c r="O60" s="52" t="n">
        <x:f>IFERROR(INDEX('Six-Factor Calc'!$O$5:$O$121,MATCH($A60,'Six-Factor Calc'!$A$5:$A$121,0)),"")</x:f>
        <x:v>8.677</x:v>
      </x:c>
      <x:c r="P60" s="47" t="n">
        <x:f>IFERROR(INDEX('Six-Factor Calc'!$P$5:$P$121,MATCH($A60,'Six-Factor Calc'!$A$5:$A$121,0)),"")</x:f>
        <x:v>18</x:v>
      </x:c>
      <x:c r="Q60" s="50" t="n">
        <x:f>IFERROR(INDEX('Six-Factor Calc'!$Q$5:$Q$121,MATCH($A60,'Six-Factor Calc'!$A$5:$A$121,0)),"")</x:f>
        <x:v>0.60073</x:v>
      </x:c>
      <x:c r="R60" s="50" t="n">
        <x:f>IFERROR(INDEX('Six-Factor Calc'!$R$5:$R$121,MATCH($A60,'Six-Factor Calc'!$A$5:$A$121,0)),"")</x:f>
        <x:v>0.5857</x:v>
      </x:c>
      <x:c r="S60" s="317" t="n">
        <x:f>IFERROR(INDEX('Six-Factor Calc'!$S$5:$S$121,MATCH($A60,'Six-Factor Calc'!$A$5:$A$121,0)),"")</x:f>
        <x:v>0.02566160150247565</x:v>
      </x:c>
      <x:c r="T60" s="47" t="str">
        <x:f>IFERROR(INDEX('Six-Factor Calc'!$T$5:$T$121,MATCH($A60,'Six-Factor Calc'!$A$5:$A$121,0)),"")</x:f>
        <x:v>OK</x:v>
      </x:c>
      <x:c r="U60" s="52" t="n">
        <x:f>IFERROR(INDEX('Six-Factor Calc'!$U$5:$U$121,MATCH($A60,'Six-Factor Calc'!$A$5:$A$121,0)),"")</x:f>
        <x:v>5.150862068965517</x:v>
      </x:c>
      <x:c r="V60" s="47" t="n">
        <x:f>IFERROR(INDEX('Six-Factor Calc'!$V$5:$V$121,MATCH($A60,'Six-Factor Calc'!$A$5:$A$121,0)),"")</x:f>
        <x:v>69</x:v>
      </x:c>
      <x:c r="W60" s="52" t="n">
        <x:f>IFERROR(INDEX('Six-Factor Calc'!$W$5:$W$121,MATCH($A60,'Six-Factor Calc'!$A$5:$A$121,0)),"")</x:f>
        <x:v>7.051724137931035</x:v>
      </x:c>
      <x:c r="X60" s="47" t="n">
        <x:f>IFERROR(INDEX('Six-Factor Calc'!$X$5:$X$121,MATCH($A60,'Six-Factor Calc'!$A$5:$A$121,0)),"")</x:f>
        <x:v>21</x:v>
      </x:c>
      <x:c r="Y60" s="52" t="n">
        <x:f>IFERROR(INDEX('Six-Factor Calc'!$Y$5:$Y$121,MATCH($A60,'Six-Factor Calc'!$A$5:$A$121,0)),"")</x:f>
        <x:v>6.353448275862069</x:v>
      </x:c>
      <x:c r="Z60" s="47" t="n">
        <x:f>IFERROR(INDEX('Six-Factor Calc'!$Z$5:$Z$121,MATCH($A60,'Six-Factor Calc'!$A$5:$A$121,0)),"")</x:f>
        <x:v>48</x:v>
      </x:c>
      <x:c r="AA60" s="47" t="str">
        <x:f>IFERROR(INDEX('Six-Factor Calc'!$AA$5:$AA$121,MATCH($A60,'Six-Factor Calc'!$A$5:$A$121,0)),"")</x:f>
        <x:v>Real Estate</x:v>
      </x:c>
      <x:c r="AB60" s="54" t="n">
        <x:f>IFERROR(INDEX('Six-Factor Calc'!$AB$5:$AB$121,MATCH($A60,'Six-Factor Calc'!$A$5:$A$121,0)),"")</x:f>
        <x:v>46213</x:v>
      </x:c>
      <x:c r="AC60" s="54" t="n">
        <x:f>IFERROR(INDEX('Six-Factor Calc'!$AC$5:$AC$121,MATCH($A60,'Six-Factor Calc'!$A$5:$A$121,0)),"")</x:f>
        <x:v>46112</x:v>
      </x:c>
      <x:c r="AD60" s="54" t="n">
        <x:f>IFERROR(INDEX('Six-Factor Calc'!$AD$5:$AD$121,MATCH($A60,'Six-Factor Calc'!$A$5:$A$121,0)),"")</x:f>
        <x:v>46022</x:v>
      </x:c>
      <x:c r="AE60" s="47" t="str">
        <x:f>IFERROR(INDEX('Six-Factor Calc'!$AE$5:$AE$121,MATCH($A60,'Six-Factor Calc'!$A$5:$A$121,0)),"")</x:f>
        <x:v>OK</x:v>
      </x:c>
    </x:row>
    <x:row r="61">
      <x:c r="A61" s="12" t="n">
        <x:v>57</x:v>
      </x:c>
      <x:c r="B61" s="47" t="str">
        <x:f>IFERROR(INDEX('Six-Factor Calc'!$B$5:$B$121,MATCH($A61,'Six-Factor Calc'!$A$5:$A$121,0)),"")</x:f>
        <x:v>WTM</x:v>
      </x:c>
      <x:c r="C61" s="47" t="str">
        <x:f>IFERROR(INDEX('Six-Factor Calc'!$C$5:$C$121,MATCH($A61,'Six-Factor Calc'!$A$5:$A$121,0)),"")</x:f>
        <x:v>White Mountains Insurance Group Ltd.</x:v>
      </x:c>
      <x:c r="D61" s="49" t="str">
        <x:f>IFERROR(INDEX('Six-Factor Calc'!$D$5:$D$121,MATCH($A61,'Six-Factor Calc'!$A$5:$A$121,0)),"")</x:f>
        <x:v>Long</x:v>
      </x:c>
      <x:c r="E61" s="49" t="n">
        <x:f>IFERROR(INDEX('Six-Factor Calc'!$E$5:$E$121,MATCH($A61,'Six-Factor Calc'!$A$5:$A$121,0)),"")</x:f>
        <x:v>0.003751</x:v>
      </x:c>
      <x:c r="F61" s="50" t="n">
        <x:f>IFERROR(INDEX('Six-Factor Calc'!$F$5:$F$121,MATCH($A61,'Six-Factor Calc'!$A$5:$A$121,0)),"")</x:f>
        <x:v>0.3528792619549839</x:v>
      </x:c>
      <x:c r="G61" s="50" t="n">
        <x:f>IFERROR(INDEX('Six-Factor Calc'!$G$5:$G$121,MATCH($A61,'Six-Factor Calc'!$A$5:$A$121,0)),"")</x:f>
        <x:v>0.13989213045537238</x:v>
      </x:c>
      <x:c r="H61" s="329" t="n">
        <x:f>IFERROR(INDEX('Six-Factor Calc'!$H$5:$H$121,MATCH($A61,'Six-Factor Calc'!$A$5:$A$121,0)),"")</x:f>
        <x:v>5.5621118985961555</x:v>
      </x:c>
      <x:c r="I61" s="47" t="n">
        <x:f>IFERROR(INDEX('Six-Factor Calc'!$I$5:$I$121,MATCH($A61,'Six-Factor Calc'!$A$5:$A$121,0)),"")</x:f>
        <x:v>5</x:v>
      </x:c>
      <x:c r="J61" s="52" t="n">
        <x:f>IFERROR(INDEX('Six-Factor Calc'!$J$5:$J$121,MATCH($A61,'Six-Factor Calc'!$A$5:$A$121,0)),"")</x:f>
        <x:v>7.594827586206896</x:v>
      </x:c>
      <x:c r="K61" s="47" t="n">
        <x:f>IFERROR(INDEX('Six-Factor Calc'!$K$5:$K$121,MATCH($A61,'Six-Factor Calc'!$A$5:$A$121,0)),"")</x:f>
        <x:v>32</x:v>
      </x:c>
      <x:c r="L61" s="52" t="n">
        <x:f>IFERROR(INDEX('Six-Factor Calc'!$L$5:$L$121,MATCH($A61,'Six-Factor Calc'!$A$5:$A$121,0)),"")</x:f>
        <x:v>3.1984189723320156</x:v>
      </x:c>
      <x:c r="M61" s="47" t="n">
        <x:f>IFERROR(INDEX('Six-Factor Calc'!$M$5:$M$121,MATCH($A61,'Six-Factor Calc'!$A$5:$A$121,0)),"")</x:f>
        <x:v>102</x:v>
      </x:c>
      <x:c r="N61" s="47" t="str">
        <x:f>IFERROR(INDEX('Six-Factor Calc'!$N$5:$N$121,MATCH($A61,'Six-Factor Calc'!$A$5:$A$121,0)),"")</x:f>
        <x:v>SUE + CAR3</x:v>
      </x:c>
      <x:c r="O61" s="52" t="str">
        <x:f>IFERROR(INDEX('Six-Factor Calc'!$O$5:$O$121,MATCH($A61,'Six-Factor Calc'!$A$5:$A$121,0)),"")</x:f>
      </x:c>
      <x:c r="P61" s="47" t="str">
        <x:f>IFERROR(INDEX('Six-Factor Calc'!$P$5:$P$121,MATCH($A61,'Six-Factor Calc'!$A$5:$A$121,0)),"")</x:f>
      </x:c>
      <x:c r="Q61" s="50" t="str">
        <x:f>IFERROR(INDEX('Six-Factor Calc'!$Q$5:$Q$121,MATCH($A61,'Six-Factor Calc'!$A$5:$A$121,0)),"")</x:f>
      </x:c>
      <x:c r="R61" s="50" t="str">
        <x:f>IFERROR(INDEX('Six-Factor Calc'!$R$5:$R$121,MATCH($A61,'Six-Factor Calc'!$A$5:$A$121,0)),"")</x:f>
      </x:c>
      <x:c r="S61" s="317" t="str">
        <x:f>IFERROR(INDEX('Six-Factor Calc'!$S$5:$S$121,MATCH($A61,'Six-Factor Calc'!$A$5:$A$121,0)),"")</x:f>
      </x:c>
      <x:c r="T61" s="47" t="str">
        <x:f>IFERROR(INDEX('Six-Factor Calc'!$T$5:$T$121,MATCH($A61,'Six-Factor Calc'!$A$5:$A$121,0)),"")</x:f>
        <x:v>NO CURRENT-QUARTER DATA</x:v>
      </x:c>
      <x:c r="U61" s="52" t="n">
        <x:f>IFERROR(INDEX('Six-Factor Calc'!$U$5:$U$121,MATCH($A61,'Six-Factor Calc'!$A$5:$A$121,0)),"")</x:f>
        <x:v>9.767241379310345</x:v>
      </x:c>
      <x:c r="V61" s="47" t="n">
        <x:f>IFERROR(INDEX('Six-Factor Calc'!$V$5:$V$121,MATCH($A61,'Six-Factor Calc'!$A$5:$A$121,0)),"")</x:f>
        <x:v>2</x:v>
      </x:c>
      <x:c r="W61" s="52" t="n">
        <x:f>IFERROR(INDEX('Six-Factor Calc'!$W$5:$W$121,MATCH($A61,'Six-Factor Calc'!$A$5:$A$121,0)),"")</x:f>
        <x:v>1.5431034482758617</x:v>
      </x:c>
      <x:c r="X61" s="47" t="n">
        <x:f>IFERROR(INDEX('Six-Factor Calc'!$X$5:$X$121,MATCH($A61,'Six-Factor Calc'!$A$5:$A$121,0)),"")</x:f>
        <x:v>113</x:v>
      </x:c>
      <x:c r="Y61" s="52" t="n">
        <x:f>IFERROR(INDEX('Six-Factor Calc'!$Y$5:$Y$121,MATCH($A61,'Six-Factor Calc'!$A$5:$A$121,0)),"")</x:f>
        <x:v>6.120689655172414</x:v>
      </x:c>
      <x:c r="Z61" s="47" t="n">
        <x:f>IFERROR(INDEX('Six-Factor Calc'!$Z$5:$Z$121,MATCH($A61,'Six-Factor Calc'!$A$5:$A$121,0)),"")</x:f>
        <x:v>51</x:v>
      </x:c>
      <x:c r="AA61" s="47" t="str">
        <x:f>IFERROR(INDEX('Six-Factor Calc'!$AA$5:$AA$121,MATCH($A61,'Six-Factor Calc'!$A$5:$A$121,0)),"")</x:f>
        <x:v>Finance</x:v>
      </x:c>
      <x:c r="AB61" s="54" t="n">
        <x:f>IFERROR(INDEX('Six-Factor Calc'!$AB$5:$AB$121,MATCH($A61,'Six-Factor Calc'!$A$5:$A$121,0)),"")</x:f>
        <x:v>46213</x:v>
      </x:c>
      <x:c r="AC61" s="54" t="n">
        <x:f>IFERROR(INDEX('Six-Factor Calc'!$AC$5:$AC$121,MATCH($A61,'Six-Factor Calc'!$A$5:$A$121,0)),"")</x:f>
        <x:v>46112</x:v>
      </x:c>
      <x:c r="AD61" s="54" t="n">
        <x:f>IFERROR(INDEX('Six-Factor Calc'!$AD$5:$AD$121,MATCH($A61,'Six-Factor Calc'!$A$5:$A$121,0)),"")</x:f>
        <x:v>46022</x:v>
      </x:c>
      <x:c r="AE61" s="47" t="str">
        <x:f>IFERROR(INDEX('Six-Factor Calc'!$AE$5:$AE$121,MATCH($A61,'Six-Factor Calc'!$A$5:$A$121,0)),"")</x:f>
        <x:v>OK</x:v>
      </x:c>
    </x:row>
    <x:row r="62">
      <x:c r="A62" s="12" t="n">
        <x:v>58</x:v>
      </x:c>
      <x:c r="B62" s="47" t="str">
        <x:f>IFERROR(INDEX('Six-Factor Calc'!$B$5:$B$121,MATCH($A62,'Six-Factor Calc'!$A$5:$A$121,0)),"")</x:f>
        <x:v>RLI</x:v>
      </x:c>
      <x:c r="C62" s="47" t="str">
        <x:f>IFERROR(INDEX('Six-Factor Calc'!$C$5:$C$121,MATCH($A62,'Six-Factor Calc'!$A$5:$A$121,0)),"")</x:f>
        <x:v>RLI Corp.</x:v>
      </x:c>
      <x:c r="D62" s="49" t="str">
        <x:f>IFERROR(INDEX('Six-Factor Calc'!$D$5:$D$121,MATCH($A62,'Six-Factor Calc'!$A$5:$A$121,0)),"")</x:f>
        <x:v>Long</x:v>
      </x:c>
      <x:c r="E62" s="49" t="n">
        <x:f>IFERROR(INDEX('Six-Factor Calc'!$E$5:$E$121,MATCH($A62,'Six-Factor Calc'!$A$5:$A$121,0)),"")</x:f>
        <x:v>0.004589</x:v>
      </x:c>
      <x:c r="F62" s="50" t="n">
        <x:f>IFERROR(INDEX('Six-Factor Calc'!$F$5:$F$121,MATCH($A62,'Six-Factor Calc'!$A$5:$A$121,0)),"")</x:f>
        <x:v>0.12239190230083673</x:v>
      </x:c>
      <x:c r="G62" s="50" t="n">
        <x:f>IFERROR(INDEX('Six-Factor Calc'!$G$5:$G$121,MATCH($A62,'Six-Factor Calc'!$A$5:$A$121,0)),"")</x:f>
        <x:v>-0.10101301932376879</x:v>
      </x:c>
      <x:c r="H62" s="329" t="n">
        <x:f>IFERROR(INDEX('Six-Factor Calc'!$H$5:$H$121,MATCH($A62,'Six-Factor Calc'!$A$5:$A$121,0)),"")</x:f>
        <x:v>5.506343941665531</x:v>
      </x:c>
      <x:c r="I62" s="47" t="n">
        <x:f>IFERROR(INDEX('Six-Factor Calc'!$I$5:$I$121,MATCH($A62,'Six-Factor Calc'!$A$5:$A$121,0)),"")</x:f>
        <x:v>6</x:v>
      </x:c>
      <x:c r="J62" s="52" t="n">
        <x:f>IFERROR(INDEX('Six-Factor Calc'!$J$5:$J$121,MATCH($A62,'Six-Factor Calc'!$A$5:$A$121,0)),"")</x:f>
        <x:v>8.836206896551724</x:v>
      </x:c>
      <x:c r="K62" s="47" t="n">
        <x:f>IFERROR(INDEX('Six-Factor Calc'!$K$5:$K$121,MATCH($A62,'Six-Factor Calc'!$A$5:$A$121,0)),"")</x:f>
        <x:v>16</x:v>
      </x:c>
      <x:c r="L62" s="52" t="n">
        <x:f>IFERROR(INDEX('Six-Factor Calc'!$L$5:$L$121,MATCH($A62,'Six-Factor Calc'!$A$5:$A$121,0)),"")</x:f>
        <x:v>3.5221343873517785</x:v>
      </x:c>
      <x:c r="M62" s="47" t="n">
        <x:f>IFERROR(INDEX('Six-Factor Calc'!$M$5:$M$121,MATCH($A62,'Six-Factor Calc'!$A$5:$A$121,0)),"")</x:f>
        <x:v>99</x:v>
      </x:c>
      <x:c r="N62" s="47" t="str">
        <x:f>IFERROR(INDEX('Six-Factor Calc'!$N$5:$N$121,MATCH($A62,'Six-Factor Calc'!$A$5:$A$121,0)),"")</x:f>
        <x:v>SUE + CAR3</x:v>
      </x:c>
      <x:c r="O62" s="52" t="n">
        <x:f>IFERROR(INDEX('Six-Factor Calc'!$O$5:$O$121,MATCH($A62,'Six-Factor Calc'!$A$5:$A$121,0)),"")</x:f>
        <x:v>2.854</x:v>
      </x:c>
      <x:c r="P62" s="47" t="n">
        <x:f>IFERROR(INDEX('Six-Factor Calc'!$P$5:$P$121,MATCH($A62,'Six-Factor Calc'!$A$5:$A$121,0)),"")</x:f>
        <x:v>91</x:v>
      </x:c>
      <x:c r="Q62" s="50" t="n">
        <x:f>IFERROR(INDEX('Six-Factor Calc'!$Q$5:$Q$121,MATCH($A62,'Six-Factor Calc'!$A$5:$A$121,0)),"")</x:f>
        <x:v>0.50375</x:v>
      </x:c>
      <x:c r="R62" s="50" t="n">
        <x:f>IFERROR(INDEX('Six-Factor Calc'!$R$5:$R$121,MATCH($A62,'Six-Factor Calc'!$A$5:$A$121,0)),"")</x:f>
        <x:v>0.51875</x:v>
      </x:c>
      <x:c r="S62" s="317" t="n">
        <x:f>IFERROR(INDEX('Six-Factor Calc'!$S$5:$S$121,MATCH($A62,'Six-Factor Calc'!$A$5:$A$121,0)),"")</x:f>
        <x:v>-0.02891566265060243</x:v>
      </x:c>
      <x:c r="T62" s="47" t="str">
        <x:f>IFERROR(INDEX('Six-Factor Calc'!$T$5:$T$121,MATCH($A62,'Six-Factor Calc'!$A$5:$A$121,0)),"")</x:f>
        <x:v>OK</x:v>
      </x:c>
      <x:c r="U62" s="52" t="n">
        <x:f>IFERROR(INDEX('Six-Factor Calc'!$U$5:$U$121,MATCH($A62,'Six-Factor Calc'!$A$5:$A$121,0)),"")</x:f>
        <x:v>6.625</x:v>
      </x:c>
      <x:c r="V62" s="47" t="n">
        <x:f>IFERROR(INDEX('Six-Factor Calc'!$V$5:$V$121,MATCH($A62,'Six-Factor Calc'!$A$5:$A$121,0)),"")</x:f>
        <x:v>33</x:v>
      </x:c>
      <x:c r="W62" s="52" t="n">
        <x:f>IFERROR(INDEX('Six-Factor Calc'!$W$5:$W$121,MATCH($A62,'Six-Factor Calc'!$A$5:$A$121,0)),"")</x:f>
        <x:v>3.7931034482758617</x:v>
      </x:c>
      <x:c r="X62" s="47" t="n">
        <x:f>IFERROR(INDEX('Six-Factor Calc'!$X$5:$X$121,MATCH($A62,'Six-Factor Calc'!$A$5:$A$121,0)),"")</x:f>
        <x:v>85</x:v>
      </x:c>
      <x:c r="Y62" s="52" t="n">
        <x:f>IFERROR(INDEX('Six-Factor Calc'!$Y$5:$Y$121,MATCH($A62,'Six-Factor Calc'!$A$5:$A$121,0)),"")</x:f>
        <x:v>7.051724137931035</x:v>
      </x:c>
      <x:c r="Z62" s="47" t="n">
        <x:f>IFERROR(INDEX('Six-Factor Calc'!$Z$5:$Z$121,MATCH($A62,'Six-Factor Calc'!$A$5:$A$121,0)),"")</x:f>
        <x:v>39</x:v>
      </x:c>
      <x:c r="AA62" s="47" t="str">
        <x:f>IFERROR(INDEX('Six-Factor Calc'!$AA$5:$AA$121,MATCH($A62,'Six-Factor Calc'!$A$5:$A$121,0)),"")</x:f>
        <x:v>Finance</x:v>
      </x:c>
      <x:c r="AB62" s="54" t="n">
        <x:f>IFERROR(INDEX('Six-Factor Calc'!$AB$5:$AB$121,MATCH($A62,'Six-Factor Calc'!$A$5:$A$121,0)),"")</x:f>
        <x:v>46213</x:v>
      </x:c>
      <x:c r="AC62" s="54" t="n">
        <x:f>IFERROR(INDEX('Six-Factor Calc'!$AC$5:$AC$121,MATCH($A62,'Six-Factor Calc'!$A$5:$A$121,0)),"")</x:f>
        <x:v>46112</x:v>
      </x:c>
      <x:c r="AD62" s="54" t="n">
        <x:f>IFERROR(INDEX('Six-Factor Calc'!$AD$5:$AD$121,MATCH($A62,'Six-Factor Calc'!$A$5:$A$121,0)),"")</x:f>
        <x:v>46022</x:v>
      </x:c>
      <x:c r="AE62" s="47" t="str">
        <x:f>IFERROR(INDEX('Six-Factor Calc'!$AE$5:$AE$121,MATCH($A62,'Six-Factor Calc'!$A$5:$A$121,0)),"")</x:f>
        <x:v>OK</x:v>
      </x:c>
    </x:row>
    <x:row r="63">
      <x:c r="A63" s="12" t="n">
        <x:v>59</x:v>
      </x:c>
      <x:c r="B63" s="47" t="str">
        <x:f>IFERROR(INDEX('Six-Factor Calc'!$B$5:$B$121,MATCH($A63,'Six-Factor Calc'!$A$5:$A$121,0)),"")</x:f>
        <x:v>DTM</x:v>
      </x:c>
      <x:c r="C63" s="47" t="str">
        <x:f>IFERROR(INDEX('Six-Factor Calc'!$C$5:$C$121,MATCH($A63,'Six-Factor Calc'!$A$5:$A$121,0)),"")</x:f>
        <x:v>DT Midstream Inc.</x:v>
      </x:c>
      <x:c r="D63" s="49" t="str">
        <x:f>IFERROR(INDEX('Six-Factor Calc'!$D$5:$D$121,MATCH($A63,'Six-Factor Calc'!$A$5:$A$121,0)),"")</x:f>
        <x:v>Short</x:v>
      </x:c>
      <x:c r="E63" s="49" t="n">
        <x:f>IFERROR(INDEX('Six-Factor Calc'!$E$5:$E$121,MATCH($A63,'Six-Factor Calc'!$A$5:$A$121,0)),"")</x:f>
        <x:v>-0.003495</x:v>
      </x:c>
      <x:c r="F63" s="50" t="n">
        <x:f>IFERROR(INDEX('Six-Factor Calc'!$F$5:$F$121,MATCH($A63,'Six-Factor Calc'!$A$5:$A$121,0)),"")</x:f>
        <x:v>0.5194535769586267</x:v>
      </x:c>
      <x:c r="G63" s="50" t="n">
        <x:f>IFERROR(INDEX('Six-Factor Calc'!$G$5:$G$121,MATCH($A63,'Six-Factor Calc'!$A$5:$A$121,0)),"")</x:f>
        <x:v>0.12189031175199418</x:v>
      </x:c>
      <x:c r="H63" s="329" t="n">
        <x:f>IFERROR(INDEX('Six-Factor Calc'!$H$5:$H$121,MATCH($A63,'Six-Factor Calc'!$A$5:$A$121,0)),"")</x:f>
        <x:v>5.443716028349461</x:v>
      </x:c>
      <x:c r="I63" s="47" t="n">
        <x:f>IFERROR(INDEX('Six-Factor Calc'!$I$5:$I$121,MATCH($A63,'Six-Factor Calc'!$A$5:$A$121,0)),"")</x:f>
        <x:v>6</x:v>
      </x:c>
      <x:c r="J63" s="52" t="n">
        <x:f>IFERROR(INDEX('Six-Factor Calc'!$J$5:$J$121,MATCH($A63,'Six-Factor Calc'!$A$5:$A$121,0)),"")</x:f>
        <x:v>4.336206896551724</x:v>
      </x:c>
      <x:c r="K63" s="47" t="n">
        <x:f>IFERROR(INDEX('Six-Factor Calc'!$K$5:$K$121,MATCH($A63,'Six-Factor Calc'!$A$5:$A$121,0)),"")</x:f>
        <x:v>74</x:v>
      </x:c>
      <x:c r="L63" s="52" t="n">
        <x:f>IFERROR(INDEX('Six-Factor Calc'!$L$5:$L$121,MATCH($A63,'Six-Factor Calc'!$A$5:$A$121,0)),"")</x:f>
        <x:v>7.732213438735178</x:v>
      </x:c>
      <x:c r="M63" s="47" t="n">
        <x:f>IFERROR(INDEX('Six-Factor Calc'!$M$5:$M$121,MATCH($A63,'Six-Factor Calc'!$A$5:$A$121,0)),"")</x:f>
        <x:v>17</x:v>
      </x:c>
      <x:c r="N63" s="47" t="str">
        <x:f>IFERROR(INDEX('Six-Factor Calc'!$N$5:$N$121,MATCH($A63,'Six-Factor Calc'!$A$5:$A$121,0)),"")</x:f>
        <x:v>SUE + CAR3</x:v>
      </x:c>
      <x:c r="O63" s="52" t="n">
        <x:f>IFERROR(INDEX('Six-Factor Calc'!$O$5:$O$121,MATCH($A63,'Six-Factor Calc'!$A$5:$A$121,0)),"")</x:f>
        <x:v>5.266</x:v>
      </x:c>
      <x:c r="P63" s="47" t="n">
        <x:f>IFERROR(INDEX('Six-Factor Calc'!$P$5:$P$121,MATCH($A63,'Six-Factor Calc'!$A$5:$A$121,0)),"")</x:f>
        <x:v>60</x:v>
      </x:c>
      <x:c r="Q63" s="50" t="n">
        <x:f>IFERROR(INDEX('Six-Factor Calc'!$Q$5:$Q$121,MATCH($A63,'Six-Factor Calc'!$A$5:$A$121,0)),"")</x:f>
        <x:v>1.12646</x:v>
      </x:c>
      <x:c r="R63" s="50" t="n">
        <x:f>IFERROR(INDEX('Six-Factor Calc'!$R$5:$R$121,MATCH($A63,'Six-Factor Calc'!$A$5:$A$121,0)),"")</x:f>
        <x:v>1.1323</x:v>
      </x:c>
      <x:c r="S63" s="317" t="n">
        <x:f>IFERROR(INDEX('Six-Factor Calc'!$S$5:$S$121,MATCH($A63,'Six-Factor Calc'!$A$5:$A$121,0)),"")</x:f>
        <x:v>-0.005157643733992817</x:v>
      </x:c>
      <x:c r="T63" s="47" t="str">
        <x:f>IFERROR(INDEX('Six-Factor Calc'!$T$5:$T$121,MATCH($A63,'Six-Factor Calc'!$A$5:$A$121,0)),"")</x:f>
        <x:v>OK</x:v>
      </x:c>
      <x:c r="U63" s="52" t="n">
        <x:f>IFERROR(INDEX('Six-Factor Calc'!$U$5:$U$121,MATCH($A63,'Six-Factor Calc'!$A$5:$A$121,0)),"")</x:f>
        <x:v>3.0925674662668667</x:v>
      </x:c>
      <x:c r="V63" s="47" t="n">
        <x:f>IFERROR(INDEX('Six-Factor Calc'!$V$5:$V$121,MATCH($A63,'Six-Factor Calc'!$A$5:$A$121,0)),"")</x:f>
        <x:v>105</x:v>
      </x:c>
      <x:c r="W63" s="52" t="n">
        <x:f>IFERROR(INDEX('Six-Factor Calc'!$W$5:$W$121,MATCH($A63,'Six-Factor Calc'!$A$5:$A$121,0)),"")</x:f>
        <x:v>6.434137931034483</x:v>
      </x:c>
      <x:c r="X63" s="47" t="n">
        <x:f>IFERROR(INDEX('Six-Factor Calc'!$X$5:$X$121,MATCH($A63,'Six-Factor Calc'!$A$5:$A$121,0)),"")</x:f>
        <x:v>33</x:v>
      </x:c>
      <x:c r="Y63" s="52" t="n">
        <x:f>IFERROR(INDEX('Six-Factor Calc'!$Y$5:$Y$121,MATCH($A63,'Six-Factor Calc'!$A$5:$A$121,0)),"")</x:f>
        <x:v>4.413793103448276</x:v>
      </x:c>
      <x:c r="Z63" s="47" t="n">
        <x:f>IFERROR(INDEX('Six-Factor Calc'!$Z$5:$Z$121,MATCH($A63,'Six-Factor Calc'!$A$5:$A$121,0)),"")</x:f>
        <x:v>73</x:v>
      </x:c>
      <x:c r="AA63" s="47" t="str">
        <x:f>IFERROR(INDEX('Six-Factor Calc'!$AA$5:$AA$121,MATCH($A63,'Six-Factor Calc'!$A$5:$A$121,0)),"")</x:f>
        <x:v>Utilities</x:v>
      </x:c>
      <x:c r="AB63" s="54" t="n">
        <x:f>IFERROR(INDEX('Six-Factor Calc'!$AB$5:$AB$121,MATCH($A63,'Six-Factor Calc'!$A$5:$A$121,0)),"")</x:f>
        <x:v>46213</x:v>
      </x:c>
      <x:c r="AC63" s="54" t="n">
        <x:f>IFERROR(INDEX('Six-Factor Calc'!$AC$5:$AC$121,MATCH($A63,'Six-Factor Calc'!$A$5:$A$121,0)),"")</x:f>
        <x:v>46112</x:v>
      </x:c>
      <x:c r="AD63" s="54" t="n">
        <x:f>IFERROR(INDEX('Six-Factor Calc'!$AD$5:$AD$121,MATCH($A63,'Six-Factor Calc'!$A$5:$A$121,0)),"")</x:f>
        <x:v>46022</x:v>
      </x:c>
      <x:c r="AE63" s="47" t="str">
        <x:f>IFERROR(INDEX('Six-Factor Calc'!$AE$5:$AE$121,MATCH($A63,'Six-Factor Calc'!$A$5:$A$121,0)),"")</x:f>
        <x:v>OK</x:v>
      </x:c>
    </x:row>
    <x:row r="64">
      <x:c r="A64" s="12" t="n">
        <x:v>60</x:v>
      </x:c>
      <x:c r="B64" s="47" t="str">
        <x:f>IFERROR(INDEX('Six-Factor Calc'!$B$5:$B$121,MATCH($A64,'Six-Factor Calc'!$A$5:$A$121,0)),"")</x:f>
        <x:v>TW</x:v>
      </x:c>
      <x:c r="C64" s="47" t="str">
        <x:f>IFERROR(INDEX('Six-Factor Calc'!$C$5:$C$121,MATCH($A64,'Six-Factor Calc'!$A$5:$A$121,0)),"")</x:f>
        <x:v>Tradeweb Markets Inc.</x:v>
      </x:c>
      <x:c r="D64" s="49" t="str">
        <x:f>IFERROR(INDEX('Six-Factor Calc'!$D$5:$D$121,MATCH($A64,'Six-Factor Calc'!$A$5:$A$121,0)),"")</x:f>
        <x:v>Long</x:v>
      </x:c>
      <x:c r="E64" s="49" t="n">
        <x:f>IFERROR(INDEX('Six-Factor Calc'!$E$5:$E$121,MATCH($A64,'Six-Factor Calc'!$A$5:$A$121,0)),"")</x:f>
        <x:v>0.003702</x:v>
      </x:c>
      <x:c r="F64" s="50" t="n">
        <x:f>IFERROR(INDEX('Six-Factor Calc'!$F$5:$F$121,MATCH($A64,'Six-Factor Calc'!$A$5:$A$121,0)),"")</x:f>
        <x:v>-0.16368729402752658</x:v>
      </x:c>
      <x:c r="G64" s="50" t="n">
        <x:f>IFERROR(INDEX('Six-Factor Calc'!$G$5:$G$121,MATCH($A64,'Six-Factor Calc'!$A$5:$A$121,0)),"")</x:f>
        <x:v>-0.19884644534204612</x:v>
      </x:c>
      <x:c r="H64" s="329" t="n">
        <x:f>IFERROR(INDEX('Six-Factor Calc'!$H$5:$H$121,MATCH($A64,'Six-Factor Calc'!$A$5:$A$121,0)),"")</x:f>
        <x:v>5.383508586615783</x:v>
      </x:c>
      <x:c r="I64" s="47" t="n">
        <x:f>IFERROR(INDEX('Six-Factor Calc'!$I$5:$I$121,MATCH($A64,'Six-Factor Calc'!$A$5:$A$121,0)),"")</x:f>
        <x:v>6</x:v>
      </x:c>
      <x:c r="J64" s="52" t="n">
        <x:f>IFERROR(INDEX('Six-Factor Calc'!$J$5:$J$121,MATCH($A64,'Six-Factor Calc'!$A$5:$A$121,0)),"")</x:f>
        <x:v>6.741379310344828</x:v>
      </x:c>
      <x:c r="K64" s="47" t="n">
        <x:f>IFERROR(INDEX('Six-Factor Calc'!$K$5:$K$121,MATCH($A64,'Six-Factor Calc'!$A$5:$A$121,0)),"")</x:f>
        <x:v>43</x:v>
      </x:c>
      <x:c r="L64" s="52" t="n">
        <x:f>IFERROR(INDEX('Six-Factor Calc'!$L$5:$L$121,MATCH($A64,'Six-Factor Calc'!$A$5:$A$121,0)),"")</x:f>
        <x:v>7.431620553359684</x:v>
      </x:c>
      <x:c r="M64" s="47" t="n">
        <x:f>IFERROR(INDEX('Six-Factor Calc'!$M$5:$M$121,MATCH($A64,'Six-Factor Calc'!$A$5:$A$121,0)),"")</x:f>
        <x:v>20</x:v>
      </x:c>
      <x:c r="N64" s="47" t="str">
        <x:f>IFERROR(INDEX('Six-Factor Calc'!$N$5:$N$121,MATCH($A64,'Six-Factor Calc'!$A$5:$A$121,0)),"")</x:f>
        <x:v>SUE + CAR3</x:v>
      </x:c>
      <x:c r="O64" s="52" t="n">
        <x:f>IFERROR(INDEX('Six-Factor Calc'!$O$5:$O$121,MATCH($A64,'Six-Factor Calc'!$A$5:$A$121,0)),"")</x:f>
        <x:v>4.6450000000000005</x:v>
      </x:c>
      <x:c r="P64" s="47" t="n">
        <x:f>IFERROR(INDEX('Six-Factor Calc'!$P$5:$P$121,MATCH($A64,'Six-Factor Calc'!$A$5:$A$121,0)),"")</x:f>
        <x:v>68</x:v>
      </x:c>
      <x:c r="Q64" s="50" t="n">
        <x:f>IFERROR(INDEX('Six-Factor Calc'!$Q$5:$Q$121,MATCH($A64,'Six-Factor Calc'!$A$5:$A$121,0)),"")</x:f>
        <x:v>0.98933</x:v>
      </x:c>
      <x:c r="R64" s="50" t="n">
        <x:f>IFERROR(INDEX('Six-Factor Calc'!$R$5:$R$121,MATCH($A64,'Six-Factor Calc'!$A$5:$A$121,0)),"")</x:f>
        <x:v>0.99854</x:v>
      </x:c>
      <x:c r="S64" s="317" t="n">
        <x:f>IFERROR(INDEX('Six-Factor Calc'!$S$5:$S$121,MATCH($A64,'Six-Factor Calc'!$A$5:$A$121,0)),"")</x:f>
        <x:v>-0.009223466260740621</x:v>
      </x:c>
      <x:c r="T64" s="47" t="str">
        <x:f>IFERROR(INDEX('Six-Factor Calc'!$T$5:$T$121,MATCH($A64,'Six-Factor Calc'!$A$5:$A$121,0)),"")</x:f>
        <x:v>OK</x:v>
      </x:c>
      <x:c r="U64" s="52" t="n">
        <x:f>IFERROR(INDEX('Six-Factor Calc'!$U$5:$U$121,MATCH($A64,'Six-Factor Calc'!$A$5:$A$121,0)),"")</x:f>
        <x:v>4.103448275862069</x:v>
      </x:c>
      <x:c r="V64" s="47" t="n">
        <x:f>IFERROR(INDEX('Six-Factor Calc'!$V$5:$V$121,MATCH($A64,'Six-Factor Calc'!$A$5:$A$121,0)),"")</x:f>
        <x:v>89</x:v>
      </x:c>
      <x:c r="W64" s="52" t="n">
        <x:f>IFERROR(INDEX('Six-Factor Calc'!$W$5:$W$121,MATCH($A64,'Six-Factor Calc'!$A$5:$A$121,0)),"")</x:f>
        <x:v>2.629310344827586</x:v>
      </x:c>
      <x:c r="X64" s="47" t="n">
        <x:f>IFERROR(INDEX('Six-Factor Calc'!$X$5:$X$121,MATCH($A64,'Six-Factor Calc'!$A$5:$A$121,0)),"")</x:f>
        <x:v>104</x:v>
      </x:c>
      <x:c r="Y64" s="52" t="n">
        <x:f>IFERROR(INDEX('Six-Factor Calc'!$Y$5:$Y$121,MATCH($A64,'Six-Factor Calc'!$A$5:$A$121,0)),"")</x:f>
        <x:v>2.862068965517241</x:v>
      </x:c>
      <x:c r="Z64" s="47" t="n">
        <x:f>IFERROR(INDEX('Six-Factor Calc'!$Z$5:$Z$121,MATCH($A64,'Six-Factor Calc'!$A$5:$A$121,0)),"")</x:f>
        <x:v>93</x:v>
      </x:c>
      <x:c r="AA64" s="47" t="str">
        <x:f>IFERROR(INDEX('Six-Factor Calc'!$AA$5:$AA$121,MATCH($A64,'Six-Factor Calc'!$A$5:$A$121,0)),"")</x:f>
        <x:v>Finance</x:v>
      </x:c>
      <x:c r="AB64" s="54" t="n">
        <x:f>IFERROR(INDEX('Six-Factor Calc'!$AB$5:$AB$121,MATCH($A64,'Six-Factor Calc'!$A$5:$A$121,0)),"")</x:f>
        <x:v>46213</x:v>
      </x:c>
      <x:c r="AC64" s="54" t="n">
        <x:f>IFERROR(INDEX('Six-Factor Calc'!$AC$5:$AC$121,MATCH($A64,'Six-Factor Calc'!$A$5:$A$121,0)),"")</x:f>
        <x:v>46112</x:v>
      </x:c>
      <x:c r="AD64" s="54" t="n">
        <x:f>IFERROR(INDEX('Six-Factor Calc'!$AD$5:$AD$121,MATCH($A64,'Six-Factor Calc'!$A$5:$A$121,0)),"")</x:f>
        <x:v>46022</x:v>
      </x:c>
      <x:c r="AE64" s="47" t="str">
        <x:f>IFERROR(INDEX('Six-Factor Calc'!$AE$5:$AE$121,MATCH($A64,'Six-Factor Calc'!$A$5:$A$121,0)),"")</x:f>
        <x:v>OK</x:v>
      </x:c>
    </x:row>
    <x:row r="65">
      <x:c r="A65" s="12" t="n">
        <x:v>61</x:v>
      </x:c>
      <x:c r="B65" s="47" t="str">
        <x:f>IFERROR(INDEX('Six-Factor Calc'!$B$5:$B$121,MATCH($A65,'Six-Factor Calc'!$A$5:$A$121,0)),"")</x:f>
        <x:v>FCFS</x:v>
      </x:c>
      <x:c r="C65" s="47" t="str">
        <x:f>IFERROR(INDEX('Six-Factor Calc'!$C$5:$C$121,MATCH($A65,'Six-Factor Calc'!$A$5:$A$121,0)),"")</x:f>
        <x:v>FirstCash Holdings Inc.</x:v>
      </x:c>
      <x:c r="D65" s="49" t="str">
        <x:f>IFERROR(INDEX('Six-Factor Calc'!$D$5:$D$121,MATCH($A65,'Six-Factor Calc'!$A$5:$A$121,0)),"")</x:f>
        <x:v>Long</x:v>
      </x:c>
      <x:c r="E65" s="49" t="n">
        <x:f>IFERROR(INDEX('Six-Factor Calc'!$E$5:$E$121,MATCH($A65,'Six-Factor Calc'!$A$5:$A$121,0)),"")</x:f>
        <x:v>0.003759</x:v>
      </x:c>
      <x:c r="F65" s="50" t="n">
        <x:f>IFERROR(INDEX('Six-Factor Calc'!$F$5:$F$121,MATCH($A65,'Six-Factor Calc'!$A$5:$A$121,0)),"")</x:f>
        <x:v>0.1487927415036028</x:v>
      </x:c>
      <x:c r="G65" s="50" t="n">
        <x:f>IFERROR(INDEX('Six-Factor Calc'!$G$5:$G$121,MATCH($A65,'Six-Factor Calc'!$A$5:$A$121,0)),"")</x:f>
        <x:v>0.18576289690326486</x:v>
      </x:c>
      <x:c r="H65" s="329" t="n">
        <x:f>IFERROR(INDEX('Six-Factor Calc'!$H$5:$H$121,MATCH($A65,'Six-Factor Calc'!$A$5:$A$121,0)),"")</x:f>
        <x:v>5.382319204034346</x:v>
      </x:c>
      <x:c r="I65" s="47" t="n">
        <x:f>IFERROR(INDEX('Six-Factor Calc'!$I$5:$I$121,MATCH($A65,'Six-Factor Calc'!$A$5:$A$121,0)),"")</x:f>
        <x:v>6</x:v>
      </x:c>
      <x:c r="J65" s="52" t="n">
        <x:f>IFERROR(INDEX('Six-Factor Calc'!$J$5:$J$121,MATCH($A65,'Six-Factor Calc'!$A$5:$A$121,0)),"")</x:f>
        <x:v>2.7844827586206895</x:v>
      </x:c>
      <x:c r="K65" s="47" t="n">
        <x:f>IFERROR(INDEX('Six-Factor Calc'!$K$5:$K$121,MATCH($A65,'Six-Factor Calc'!$A$5:$A$121,0)),"")</x:f>
        <x:v>94</x:v>
      </x:c>
      <x:c r="L65" s="52" t="n">
        <x:f>IFERROR(INDEX('Six-Factor Calc'!$L$5:$L$121,MATCH($A65,'Six-Factor Calc'!$A$5:$A$121,0)),"")</x:f>
        <x:v>9.293873517786562</x:v>
      </x:c>
      <x:c r="M65" s="47" t="n">
        <x:f>IFERROR(INDEX('Six-Factor Calc'!$M$5:$M$121,MATCH($A65,'Six-Factor Calc'!$A$5:$A$121,0)),"")</x:f>
        <x:v>4</x:v>
      </x:c>
      <x:c r="N65" s="47" t="str">
        <x:f>IFERROR(INDEX('Six-Factor Calc'!$N$5:$N$121,MATCH($A65,'Six-Factor Calc'!$A$5:$A$121,0)),"")</x:f>
        <x:v>SUE + CAR3</x:v>
      </x:c>
      <x:c r="O65" s="52" t="n">
        <x:f>IFERROR(INDEX('Six-Factor Calc'!$O$5:$O$121,MATCH($A65,'Six-Factor Calc'!$A$5:$A$121,0)),"")</x:f>
        <x:v>6.7330000000000005</x:v>
      </x:c>
      <x:c r="P65" s="47" t="n">
        <x:f>IFERROR(INDEX('Six-Factor Calc'!$P$5:$P$121,MATCH($A65,'Six-Factor Calc'!$A$5:$A$121,0)),"")</x:f>
        <x:v>43</x:v>
      </x:c>
      <x:c r="Q65" s="50" t="n">
        <x:f>IFERROR(INDEX('Six-Factor Calc'!$Q$5:$Q$121,MATCH($A65,'Six-Factor Calc'!$A$5:$A$121,0)),"")</x:f>
        <x:v>2.744</x:v>
      </x:c>
      <x:c r="R65" s="50" t="n">
        <x:f>IFERROR(INDEX('Six-Factor Calc'!$R$5:$R$121,MATCH($A65,'Six-Factor Calc'!$A$5:$A$121,0)),"")</x:f>
        <x:v>2.734</x:v>
      </x:c>
      <x:c r="S65" s="317" t="n">
        <x:f>IFERROR(INDEX('Six-Factor Calc'!$S$5:$S$121,MATCH($A65,'Six-Factor Calc'!$A$5:$A$121,0)),"")</x:f>
        <x:v>0.0036576444769569243</x:v>
      </x:c>
      <x:c r="T65" s="47" t="str">
        <x:f>IFERROR(INDEX('Six-Factor Calc'!$T$5:$T$121,MATCH($A65,'Six-Factor Calc'!$A$5:$A$121,0)),"")</x:f>
        <x:v>OK</x:v>
      </x:c>
      <x:c r="U65" s="52" t="n">
        <x:f>IFERROR(INDEX('Six-Factor Calc'!$U$5:$U$121,MATCH($A65,'Six-Factor Calc'!$A$5:$A$121,0)),"")</x:f>
        <x:v>4.458691904047976</x:v>
      </x:c>
      <x:c r="V65" s="47" t="n">
        <x:f>IFERROR(INDEX('Six-Factor Calc'!$V$5:$V$121,MATCH($A65,'Six-Factor Calc'!$A$5:$A$121,0)),"")</x:f>
        <x:v>81</x:v>
      </x:c>
      <x:c r="W65" s="52" t="n">
        <x:f>IFERROR(INDEX('Six-Factor Calc'!$W$5:$W$121,MATCH($A65,'Six-Factor Calc'!$A$5:$A$121,0)),"")</x:f>
        <x:v>4.852931034482758</x:v>
      </x:c>
      <x:c r="X65" s="47" t="n">
        <x:f>IFERROR(INDEX('Six-Factor Calc'!$X$5:$X$121,MATCH($A65,'Six-Factor Calc'!$A$5:$A$121,0)),"")</x:f>
        <x:v>64</x:v>
      </x:c>
      <x:c r="Y65" s="52" t="n">
        <x:f>IFERROR(INDEX('Six-Factor Calc'!$Y$5:$Y$121,MATCH($A65,'Six-Factor Calc'!$A$5:$A$121,0)),"")</x:f>
        <x:v>1.853448275862069</x:v>
      </x:c>
      <x:c r="Z65" s="47" t="n">
        <x:f>IFERROR(INDEX('Six-Factor Calc'!$Z$5:$Z$121,MATCH($A65,'Six-Factor Calc'!$A$5:$A$121,0)),"")</x:f>
        <x:v>106</x:v>
      </x:c>
      <x:c r="AA65" s="47" t="str">
        <x:f>IFERROR(INDEX('Six-Factor Calc'!$AA$5:$AA$121,MATCH($A65,'Six-Factor Calc'!$A$5:$A$121,0)),"")</x:f>
        <x:v>Consumer Discretionary</x:v>
      </x:c>
      <x:c r="AB65" s="54" t="n">
        <x:f>IFERROR(INDEX('Six-Factor Calc'!$AB$5:$AB$121,MATCH($A65,'Six-Factor Calc'!$A$5:$A$121,0)),"")</x:f>
        <x:v>46213</x:v>
      </x:c>
      <x:c r="AC65" s="54" t="n">
        <x:f>IFERROR(INDEX('Six-Factor Calc'!$AC$5:$AC$121,MATCH($A65,'Six-Factor Calc'!$A$5:$A$121,0)),"")</x:f>
        <x:v>46112</x:v>
      </x:c>
      <x:c r="AD65" s="54" t="n">
        <x:f>IFERROR(INDEX('Six-Factor Calc'!$AD$5:$AD$121,MATCH($A65,'Six-Factor Calc'!$A$5:$A$121,0)),"")</x:f>
        <x:v>46022</x:v>
      </x:c>
      <x:c r="AE65" s="47" t="str">
        <x:f>IFERROR(INDEX('Six-Factor Calc'!$AE$5:$AE$121,MATCH($A65,'Six-Factor Calc'!$A$5:$A$121,0)),"")</x:f>
        <x:v>OK</x:v>
      </x:c>
    </x:row>
    <x:row r="66">
      <x:c r="A66" s="12" t="n">
        <x:v>62</x:v>
      </x:c>
      <x:c r="B66" s="47" t="str">
        <x:f>IFERROR(INDEX('Six-Factor Calc'!$B$5:$B$121,MATCH($A66,'Six-Factor Calc'!$A$5:$A$121,0)),"")</x:f>
        <x:v>SO</x:v>
      </x:c>
      <x:c r="C66" s="47" t="str">
        <x:f>IFERROR(INDEX('Six-Factor Calc'!$C$5:$C$121,MATCH($A66,'Six-Factor Calc'!$A$5:$A$121,0)),"")</x:f>
        <x:v>The Southern Co.</x:v>
      </x:c>
      <x:c r="D66" s="49" t="str">
        <x:f>IFERROR(INDEX('Six-Factor Calc'!$D$5:$D$121,MATCH($A66,'Six-Factor Calc'!$A$5:$A$121,0)),"")</x:f>
        <x:v>Long</x:v>
      </x:c>
      <x:c r="E66" s="49" t="n">
        <x:f>IFERROR(INDEX('Six-Factor Calc'!$E$5:$E$121,MATCH($A66,'Six-Factor Calc'!$A$5:$A$121,0)),"")</x:f>
        <x:v>0.00411</x:v>
      </x:c>
      <x:c r="F66" s="50" t="n">
        <x:f>IFERROR(INDEX('Six-Factor Calc'!$F$5:$F$121,MATCH($A66,'Six-Factor Calc'!$A$5:$A$121,0)),"")</x:f>
        <x:v>0.09161156049074157</x:v>
      </x:c>
      <x:c r="G66" s="50" t="n">
        <x:f>IFERROR(INDEX('Six-Factor Calc'!$G$5:$G$121,MATCH($A66,'Six-Factor Calc'!$A$5:$A$121,0)),"")</x:f>
        <x:v>-0.022205912231701038</x:v>
      </x:c>
      <x:c r="H66" s="329" t="n">
        <x:f>IFERROR(INDEX('Six-Factor Calc'!$H$5:$H$121,MATCH($A66,'Six-Factor Calc'!$A$5:$A$121,0)),"")</x:f>
        <x:v>5.348225773476898</x:v>
      </x:c>
      <x:c r="I66" s="47" t="n">
        <x:f>IFERROR(INDEX('Six-Factor Calc'!$I$5:$I$121,MATCH($A66,'Six-Factor Calc'!$A$5:$A$121,0)),"")</x:f>
        <x:v>6</x:v>
      </x:c>
      <x:c r="J66" s="52" t="n">
        <x:f>IFERROR(INDEX('Six-Factor Calc'!$J$5:$J$121,MATCH($A66,'Six-Factor Calc'!$A$5:$A$121,0)),"")</x:f>
        <x:v>6.818965517241379</x:v>
      </x:c>
      <x:c r="K66" s="47" t="n">
        <x:f>IFERROR(INDEX('Six-Factor Calc'!$K$5:$K$121,MATCH($A66,'Six-Factor Calc'!$A$5:$A$121,0)),"")</x:f>
        <x:v>42</x:v>
      </x:c>
      <x:c r="L66" s="52" t="n">
        <x:f>IFERROR(INDEX('Six-Factor Calc'!$L$5:$L$121,MATCH($A66,'Six-Factor Calc'!$A$5:$A$121,0)),"")</x:f>
        <x:v>5.677865612648222</x:v>
      </x:c>
      <x:c r="M66" s="47" t="n">
        <x:f>IFERROR(INDEX('Six-Factor Calc'!$M$5:$M$121,MATCH($A66,'Six-Factor Calc'!$A$5:$A$121,0)),"")</x:f>
        <x:v>57</x:v>
      </x:c>
      <x:c r="N66" s="47" t="str">
        <x:f>IFERROR(INDEX('Six-Factor Calc'!$N$5:$N$121,MATCH($A66,'Six-Factor Calc'!$A$5:$A$121,0)),"")</x:f>
        <x:v>SUE + CAR3</x:v>
      </x:c>
      <x:c r="O66" s="52" t="n">
        <x:f>IFERROR(INDEX('Six-Factor Calc'!$O$5:$O$121,MATCH($A66,'Six-Factor Calc'!$A$5:$A$121,0)),"")</x:f>
        <x:v>5.5</x:v>
      </x:c>
      <x:c r="P66" s="47" t="n">
        <x:f>IFERROR(INDEX('Six-Factor Calc'!$P$5:$P$121,MATCH($A66,'Six-Factor Calc'!$A$5:$A$121,0)),"")</x:f>
        <x:v>57</x:v>
      </x:c>
      <x:c r="Q66" s="50" t="n">
        <x:f>IFERROR(INDEX('Six-Factor Calc'!$Q$5:$Q$121,MATCH($A66,'Six-Factor Calc'!$A$5:$A$121,0)),"")</x:f>
        <x:v>1.66944</x:v>
      </x:c>
      <x:c r="R66" s="50" t="n">
        <x:f>IFERROR(INDEX('Six-Factor Calc'!$R$5:$R$121,MATCH($A66,'Six-Factor Calc'!$A$5:$A$121,0)),"")</x:f>
        <x:v>1.67561</x:v>
      </x:c>
      <x:c r="S66" s="317" t="n">
        <x:f>IFERROR(INDEX('Six-Factor Calc'!$S$5:$S$121,MATCH($A66,'Six-Factor Calc'!$A$5:$A$121,0)),"")</x:f>
        <x:v>-0.0036822410942880554</x:v>
      </x:c>
      <x:c r="T66" s="47" t="str">
        <x:f>IFERROR(INDEX('Six-Factor Calc'!$T$5:$T$121,MATCH($A66,'Six-Factor Calc'!$A$5:$A$121,0)),"")</x:f>
        <x:v>OK</x:v>
      </x:c>
      <x:c r="U66" s="52" t="n">
        <x:f>IFERROR(INDEX('Six-Factor Calc'!$U$5:$U$121,MATCH($A66,'Six-Factor Calc'!$A$5:$A$121,0)),"")</x:f>
        <x:v>4.3770239880059965</x:v>
      </x:c>
      <x:c r="V66" s="47" t="n">
        <x:f>IFERROR(INDEX('Six-Factor Calc'!$V$5:$V$121,MATCH($A66,'Six-Factor Calc'!$A$5:$A$121,0)),"")</x:f>
        <x:v>83</x:v>
      </x:c>
      <x:c r="W66" s="52" t="n">
        <x:f>IFERROR(INDEX('Six-Factor Calc'!$W$5:$W$121,MATCH($A66,'Six-Factor Calc'!$A$5:$A$121,0)),"")</x:f>
        <x:v>3.5960344827586206</x:v>
      </x:c>
      <x:c r="X66" s="47" t="n">
        <x:f>IFERROR(INDEX('Six-Factor Calc'!$X$5:$X$121,MATCH($A66,'Six-Factor Calc'!$A$5:$A$121,0)),"")</x:f>
        <x:v>87</x:v>
      </x:c>
      <x:c r="Y66" s="52" t="n">
        <x:f>IFERROR(INDEX('Six-Factor Calc'!$Y$5:$Y$121,MATCH($A66,'Six-Factor Calc'!$A$5:$A$121,0)),"")</x:f>
        <x:v>3.793103448275862</x:v>
      </x:c>
      <x:c r="Z66" s="47" t="n">
        <x:f>IFERROR(INDEX('Six-Factor Calc'!$Z$5:$Z$121,MATCH($A66,'Six-Factor Calc'!$A$5:$A$121,0)),"")</x:f>
        <x:v>81</x:v>
      </x:c>
      <x:c r="AA66" s="47" t="str">
        <x:f>IFERROR(INDEX('Six-Factor Calc'!$AA$5:$AA$121,MATCH($A66,'Six-Factor Calc'!$A$5:$A$121,0)),"")</x:f>
        <x:v>Utilities</x:v>
      </x:c>
      <x:c r="AB66" s="54" t="n">
        <x:f>IFERROR(INDEX('Six-Factor Calc'!$AB$5:$AB$121,MATCH($A66,'Six-Factor Calc'!$A$5:$A$121,0)),"")</x:f>
        <x:v>46213</x:v>
      </x:c>
      <x:c r="AC66" s="54" t="n">
        <x:f>IFERROR(INDEX('Six-Factor Calc'!$AC$5:$AC$121,MATCH($A66,'Six-Factor Calc'!$A$5:$A$121,0)),"")</x:f>
        <x:v>46112</x:v>
      </x:c>
      <x:c r="AD66" s="54" t="n">
        <x:f>IFERROR(INDEX('Six-Factor Calc'!$AD$5:$AD$121,MATCH($A66,'Six-Factor Calc'!$A$5:$A$121,0)),"")</x:f>
        <x:v>46022</x:v>
      </x:c>
      <x:c r="AE66" s="47" t="str">
        <x:f>IFERROR(INDEX('Six-Factor Calc'!$AE$5:$AE$121,MATCH($A66,'Six-Factor Calc'!$A$5:$A$121,0)),"")</x:f>
        <x:v>OK</x:v>
      </x:c>
    </x:row>
    <x:row r="67">
      <x:c r="A67" s="12" t="n">
        <x:v>63</x:v>
      </x:c>
      <x:c r="B67" s="47" t="str">
        <x:f>IFERROR(INDEX('Six-Factor Calc'!$B$5:$B$121,MATCH($A67,'Six-Factor Calc'!$A$5:$A$121,0)),"")</x:f>
        <x:v>VRSK</x:v>
      </x:c>
      <x:c r="C67" s="47" t="str">
        <x:f>IFERROR(INDEX('Six-Factor Calc'!$C$5:$C$121,MATCH($A67,'Six-Factor Calc'!$A$5:$A$121,0)),"")</x:f>
        <x:v>Verisk Analytics Inc.</x:v>
      </x:c>
      <x:c r="D67" s="49" t="str">
        <x:f>IFERROR(INDEX('Six-Factor Calc'!$D$5:$D$121,MATCH($A67,'Six-Factor Calc'!$A$5:$A$121,0)),"")</x:f>
        <x:v>Long</x:v>
      </x:c>
      <x:c r="E67" s="49" t="n">
        <x:f>IFERROR(INDEX('Six-Factor Calc'!$E$5:$E$121,MATCH($A67,'Six-Factor Calc'!$A$5:$A$121,0)),"")</x:f>
        <x:v>0.004463</x:v>
      </x:c>
      <x:c r="F67" s="50" t="n">
        <x:f>IFERROR(INDEX('Six-Factor Calc'!$F$5:$F$121,MATCH($A67,'Six-Factor Calc'!$A$5:$A$121,0)),"")</x:f>
        <x:v>0.3024343096505785</x:v>
      </x:c>
      <x:c r="G67" s="50" t="n">
        <x:f>IFERROR(INDEX('Six-Factor Calc'!$G$5:$G$121,MATCH($A67,'Six-Factor Calc'!$A$5:$A$121,0)),"")</x:f>
        <x:v>0.05602668777327396</x:v>
      </x:c>
      <x:c r="H67" s="329" t="n">
        <x:f>IFERROR(INDEX('Six-Factor Calc'!$H$5:$H$121,MATCH($A67,'Six-Factor Calc'!$A$5:$A$121,0)),"")</x:f>
        <x:v>5.335673436009268</x:v>
      </x:c>
      <x:c r="I67" s="47" t="n">
        <x:f>IFERROR(INDEX('Six-Factor Calc'!$I$5:$I$121,MATCH($A67,'Six-Factor Calc'!$A$5:$A$121,0)),"")</x:f>
        <x:v>6</x:v>
      </x:c>
      <x:c r="J67" s="52" t="n">
        <x:f>IFERROR(INDEX('Six-Factor Calc'!$J$5:$J$121,MATCH($A67,'Six-Factor Calc'!$A$5:$A$121,0)),"")</x:f>
        <x:v>8.137931034482758</x:v>
      </x:c>
      <x:c r="K67" s="47" t="n">
        <x:f>IFERROR(INDEX('Six-Factor Calc'!$K$5:$K$121,MATCH($A67,'Six-Factor Calc'!$A$5:$A$121,0)),"")</x:f>
        <x:v>25</x:v>
      </x:c>
      <x:c r="L67" s="52" t="n">
        <x:f>IFERROR(INDEX('Six-Factor Calc'!$L$5:$L$121,MATCH($A67,'Six-Factor Calc'!$A$5:$A$121,0)),"")</x:f>
        <x:v>6.9122529644268775</x:v>
      </x:c>
      <x:c r="M67" s="47" t="n">
        <x:f>IFERROR(INDEX('Six-Factor Calc'!$M$5:$M$121,MATCH($A67,'Six-Factor Calc'!$A$5:$A$121,0)),"")</x:f>
        <x:v>27</x:v>
      </x:c>
      <x:c r="N67" s="47" t="str">
        <x:f>IFERROR(INDEX('Six-Factor Calc'!$N$5:$N$121,MATCH($A67,'Six-Factor Calc'!$A$5:$A$121,0)),"")</x:f>
        <x:v>SUE + CAR3</x:v>
      </x:c>
      <x:c r="O67" s="52" t="n">
        <x:f>IFERROR(INDEX('Six-Factor Calc'!$O$5:$O$121,MATCH($A67,'Six-Factor Calc'!$A$5:$A$121,0)),"")</x:f>
        <x:v>4.4830000000000005</x:v>
      </x:c>
      <x:c r="P67" s="47" t="n">
        <x:f>IFERROR(INDEX('Six-Factor Calc'!$P$5:$P$121,MATCH($A67,'Six-Factor Calc'!$A$5:$A$121,0)),"")</x:f>
        <x:v>70</x:v>
      </x:c>
      <x:c r="Q67" s="50" t="n">
        <x:f>IFERROR(INDEX('Six-Factor Calc'!$Q$5:$Q$121,MATCH($A67,'Six-Factor Calc'!$A$5:$A$121,0)),"")</x:f>
        <x:v>1.92751</x:v>
      </x:c>
      <x:c r="R67" s="50" t="n">
        <x:f>IFERROR(INDEX('Six-Factor Calc'!$R$5:$R$121,MATCH($A67,'Six-Factor Calc'!$A$5:$A$121,0)),"")</x:f>
        <x:v>1.94792</x:v>
      </x:c>
      <x:c r="S67" s="317" t="n">
        <x:f>IFERROR(INDEX('Six-Factor Calc'!$S$5:$S$121,MATCH($A67,'Six-Factor Calc'!$A$5:$A$121,0)),"")</x:f>
        <x:v>-0.010477843032568093</x:v>
      </x:c>
      <x:c r="T67" s="47" t="str">
        <x:f>IFERROR(INDEX('Six-Factor Calc'!$T$5:$T$121,MATCH($A67,'Six-Factor Calc'!$A$5:$A$121,0)),"")</x:f>
        <x:v>OK</x:v>
      </x:c>
      <x:c r="U67" s="52" t="n">
        <x:f>IFERROR(INDEX('Six-Factor Calc'!$U$5:$U$121,MATCH($A67,'Six-Factor Calc'!$A$5:$A$121,0)),"")</x:f>
        <x:v>3.0114055472263868</x:v>
      </x:c>
      <x:c r="V67" s="47" t="n">
        <x:f>IFERROR(INDEX('Six-Factor Calc'!$V$5:$V$121,MATCH($A67,'Six-Factor Calc'!$A$5:$A$121,0)),"")</x:f>
        <x:v>108</x:v>
      </x:c>
      <x:c r="W67" s="52" t="n">
        <x:f>IFERROR(INDEX('Six-Factor Calc'!$W$5:$W$121,MATCH($A67,'Six-Factor Calc'!$A$5:$A$121,0)),"")</x:f>
        <x:v>2.6463793103448277</x:v>
      </x:c>
      <x:c r="X67" s="47" t="n">
        <x:f>IFERROR(INDEX('Six-Factor Calc'!$X$5:$X$121,MATCH($A67,'Six-Factor Calc'!$A$5:$A$121,0)),"")</x:f>
        <x:v>103</x:v>
      </x:c>
      <x:c r="Y67" s="52" t="n">
        <x:f>IFERROR(INDEX('Six-Factor Calc'!$Y$5:$Y$121,MATCH($A67,'Six-Factor Calc'!$A$5:$A$121,0)),"")</x:f>
        <x:v>1.7758620689655173</x:v>
      </x:c>
      <x:c r="Z67" s="47" t="n">
        <x:f>IFERROR(INDEX('Six-Factor Calc'!$Z$5:$Z$121,MATCH($A67,'Six-Factor Calc'!$A$5:$A$121,0)),"")</x:f>
        <x:v>107</x:v>
      </x:c>
      <x:c r="AA67" s="47" t="str">
        <x:f>IFERROR(INDEX('Six-Factor Calc'!$AA$5:$AA$121,MATCH($A67,'Six-Factor Calc'!$A$5:$A$121,0)),"")</x:f>
        <x:v>Industrials</x:v>
      </x:c>
      <x:c r="AB67" s="54" t="n">
        <x:f>IFERROR(INDEX('Six-Factor Calc'!$AB$5:$AB$121,MATCH($A67,'Six-Factor Calc'!$A$5:$A$121,0)),"")</x:f>
        <x:v>46213</x:v>
      </x:c>
      <x:c r="AC67" s="54" t="n">
        <x:f>IFERROR(INDEX('Six-Factor Calc'!$AC$5:$AC$121,MATCH($A67,'Six-Factor Calc'!$A$5:$A$121,0)),"")</x:f>
        <x:v>46112</x:v>
      </x:c>
      <x:c r="AD67" s="54" t="n">
        <x:f>IFERROR(INDEX('Six-Factor Calc'!$AD$5:$AD$121,MATCH($A67,'Six-Factor Calc'!$A$5:$A$121,0)),"")</x:f>
        <x:v>46022</x:v>
      </x:c>
      <x:c r="AE67" s="47" t="str">
        <x:f>IFERROR(INDEX('Six-Factor Calc'!$AE$5:$AE$121,MATCH($A67,'Six-Factor Calc'!$A$5:$A$121,0)),"")</x:f>
        <x:v>OK</x:v>
      </x:c>
    </x:row>
    <x:row r="68">
      <x:c r="A68" s="12" t="n">
        <x:v>64</x:v>
      </x:c>
      <x:c r="B68" s="47" t="str">
        <x:f>IFERROR(INDEX('Six-Factor Calc'!$B$5:$B$121,MATCH($A68,'Six-Factor Calc'!$A$5:$A$121,0)),"")</x:f>
        <x:v>OHI</x:v>
      </x:c>
      <x:c r="C68" s="47" t="str">
        <x:f>IFERROR(INDEX('Six-Factor Calc'!$C$5:$C$121,MATCH($A68,'Six-Factor Calc'!$A$5:$A$121,0)),"")</x:f>
        <x:v>Omega Healthcare Investors Inc. REIT</x:v>
      </x:c>
      <x:c r="D68" s="49" t="str">
        <x:f>IFERROR(INDEX('Six-Factor Calc'!$D$5:$D$121,MATCH($A68,'Six-Factor Calc'!$A$5:$A$121,0)),"")</x:f>
        <x:v>Long</x:v>
      </x:c>
      <x:c r="E68" s="49" t="n">
        <x:f>IFERROR(INDEX('Six-Factor Calc'!$E$5:$E$121,MATCH($A68,'Six-Factor Calc'!$A$5:$A$121,0)),"")</x:f>
        <x:v>0.003987</x:v>
      </x:c>
      <x:c r="F68" s="50" t="n">
        <x:f>IFERROR(INDEX('Six-Factor Calc'!$F$5:$F$121,MATCH($A68,'Six-Factor Calc'!$A$5:$A$121,0)),"")</x:f>
        <x:v>0.12887613982159576</x:v>
      </x:c>
      <x:c r="G68" s="50" t="n">
        <x:f>IFERROR(INDEX('Six-Factor Calc'!$G$5:$G$121,MATCH($A68,'Six-Factor Calc'!$A$5:$A$121,0)),"")</x:f>
        <x:v>0.05251383074076414</x:v>
      </x:c>
      <x:c r="H68" s="329" t="n">
        <x:f>IFERROR(INDEX('Six-Factor Calc'!$H$5:$H$121,MATCH($A68,'Six-Factor Calc'!$A$5:$A$121,0)),"")</x:f>
        <x:v>5.3197928990050425</x:v>
      </x:c>
      <x:c r="I68" s="47" t="n">
        <x:f>IFERROR(INDEX('Six-Factor Calc'!$I$5:$I$121,MATCH($A68,'Six-Factor Calc'!$A$5:$A$121,0)),"")</x:f>
        <x:v>6</x:v>
      </x:c>
      <x:c r="J68" s="52" t="n">
        <x:f>IFERROR(INDEX('Six-Factor Calc'!$J$5:$J$121,MATCH($A68,'Six-Factor Calc'!$A$5:$A$121,0)),"")</x:f>
        <x:v>3.4827586206896552</x:v>
      </x:c>
      <x:c r="K68" s="47" t="n">
        <x:f>IFERROR(INDEX('Six-Factor Calc'!$K$5:$K$121,MATCH($A68,'Six-Factor Calc'!$A$5:$A$121,0)),"")</x:f>
        <x:v>85</x:v>
      </x:c>
      <x:c r="L68" s="52" t="n">
        <x:f>IFERROR(INDEX('Six-Factor Calc'!$L$5:$L$121,MATCH($A68,'Six-Factor Calc'!$A$5:$A$121,0)),"")</x:f>
        <x:v>8.089723320158102</x:v>
      </x:c>
      <x:c r="M68" s="47" t="n">
        <x:f>IFERROR(INDEX('Six-Factor Calc'!$M$5:$M$121,MATCH($A68,'Six-Factor Calc'!$A$5:$A$121,0)),"")</x:f>
        <x:v>13</x:v>
      </x:c>
      <x:c r="N68" s="47" t="str">
        <x:f>IFERROR(INDEX('Six-Factor Calc'!$N$5:$N$121,MATCH($A68,'Six-Factor Calc'!$A$5:$A$121,0)),"")</x:f>
        <x:v>SUE + CAR3</x:v>
      </x:c>
      <x:c r="O68" s="52" t="n">
        <x:f>IFERROR(INDEX('Six-Factor Calc'!$O$5:$O$121,MATCH($A68,'Six-Factor Calc'!$A$5:$A$121,0)),"")</x:f>
        <x:v>2.629</x:v>
      </x:c>
      <x:c r="P68" s="47" t="n">
        <x:f>IFERROR(INDEX('Six-Factor Calc'!$P$5:$P$121,MATCH($A68,'Six-Factor Calc'!$A$5:$A$121,0)),"")</x:f>
        <x:v>94</x:v>
      </x:c>
      <x:c r="Q68" s="50" t="n">
        <x:f>IFERROR(INDEX('Six-Factor Calc'!$Q$5:$Q$121,MATCH($A68,'Six-Factor Calc'!$A$5:$A$121,0)),"")</x:f>
        <x:v>0.47</x:v>
      </x:c>
      <x:c r="R68" s="50" t="n">
        <x:f>IFERROR(INDEX('Six-Factor Calc'!$R$5:$R$121,MATCH($A68,'Six-Factor Calc'!$A$5:$A$121,0)),"")</x:f>
        <x:v>0.49333</x:v>
      </x:c>
      <x:c r="S68" s="317" t="n">
        <x:f>IFERROR(INDEX('Six-Factor Calc'!$S$5:$S$121,MATCH($A68,'Six-Factor Calc'!$A$5:$A$121,0)),"")</x:f>
        <x:v>-0.04729086007337891</x:v>
      </x:c>
      <x:c r="T68" s="47" t="str">
        <x:f>IFERROR(INDEX('Six-Factor Calc'!$T$5:$T$121,MATCH($A68,'Six-Factor Calc'!$A$5:$A$121,0)),"")</x:f>
        <x:v>THIN COVERAGE</x:v>
      </x:c>
      <x:c r="U68" s="52" t="n">
        <x:f>IFERROR(INDEX('Six-Factor Calc'!$U$5:$U$121,MATCH($A68,'Six-Factor Calc'!$A$5:$A$121,0)),"")</x:f>
        <x:v>5.422413793103448</x:v>
      </x:c>
      <x:c r="V68" s="47" t="n">
        <x:f>IFERROR(INDEX('Six-Factor Calc'!$V$5:$V$121,MATCH($A68,'Six-Factor Calc'!$A$5:$A$121,0)),"")</x:f>
        <x:v>60</x:v>
      </x:c>
      <x:c r="W68" s="52" t="n">
        <x:f>IFERROR(INDEX('Six-Factor Calc'!$W$5:$W$121,MATCH($A68,'Six-Factor Calc'!$A$5:$A$121,0)),"")</x:f>
        <x:v>8.370689655172413</x:v>
      </x:c>
      <x:c r="X68" s="47" t="n">
        <x:f>IFERROR(INDEX('Six-Factor Calc'!$X$5:$X$121,MATCH($A68,'Six-Factor Calc'!$A$5:$A$121,0)),"")</x:f>
        <x:v>9</x:v>
      </x:c>
      <x:c r="Y68" s="52" t="n">
        <x:f>IFERROR(INDEX('Six-Factor Calc'!$Y$5:$Y$121,MATCH($A68,'Six-Factor Calc'!$A$5:$A$121,0)),"")</x:f>
        <x:v>4.103448275862069</x:v>
      </x:c>
      <x:c r="Z68" s="47" t="n">
        <x:f>IFERROR(INDEX('Six-Factor Calc'!$Z$5:$Z$121,MATCH($A68,'Six-Factor Calc'!$A$5:$A$121,0)),"")</x:f>
        <x:v>77</x:v>
      </x:c>
      <x:c r="AA68" s="47" t="str">
        <x:f>IFERROR(INDEX('Six-Factor Calc'!$AA$5:$AA$121,MATCH($A68,'Six-Factor Calc'!$A$5:$A$121,0)),"")</x:f>
        <x:v>Real Estate</x:v>
      </x:c>
      <x:c r="AB68" s="54" t="n">
        <x:f>IFERROR(INDEX('Six-Factor Calc'!$AB$5:$AB$121,MATCH($A68,'Six-Factor Calc'!$A$5:$A$121,0)),"")</x:f>
        <x:v>46213</x:v>
      </x:c>
      <x:c r="AC68" s="54" t="n">
        <x:f>IFERROR(INDEX('Six-Factor Calc'!$AC$5:$AC$121,MATCH($A68,'Six-Factor Calc'!$A$5:$A$121,0)),"")</x:f>
        <x:v>46112</x:v>
      </x:c>
      <x:c r="AD68" s="54" t="n">
        <x:f>IFERROR(INDEX('Six-Factor Calc'!$AD$5:$AD$121,MATCH($A68,'Six-Factor Calc'!$A$5:$A$121,0)),"")</x:f>
        <x:v>46022</x:v>
      </x:c>
      <x:c r="AE68" s="47" t="str">
        <x:f>IFERROR(INDEX('Six-Factor Calc'!$AE$5:$AE$121,MATCH($A68,'Six-Factor Calc'!$A$5:$A$121,0)),"")</x:f>
        <x:v>OK</x:v>
      </x:c>
    </x:row>
    <x:row r="69">
      <x:c r="A69" s="12" t="n">
        <x:v>65</x:v>
      </x:c>
      <x:c r="B69" s="47" t="str">
        <x:f>IFERROR(INDEX('Six-Factor Calc'!$B$5:$B$121,MATCH($A69,'Six-Factor Calc'!$A$5:$A$121,0)),"")</x:f>
        <x:v>DLB</x:v>
      </x:c>
      <x:c r="C69" s="47" t="str">
        <x:f>IFERROR(INDEX('Six-Factor Calc'!$C$5:$C$121,MATCH($A69,'Six-Factor Calc'!$A$5:$A$121,0)),"")</x:f>
        <x:v>Dolby Laboratories Inc.</x:v>
      </x:c>
      <x:c r="D69" s="49" t="str">
        <x:f>IFERROR(INDEX('Six-Factor Calc'!$D$5:$D$121,MATCH($A69,'Six-Factor Calc'!$A$5:$A$121,0)),"")</x:f>
        <x:v>Long</x:v>
      </x:c>
      <x:c r="E69" s="49" t="n">
        <x:f>IFERROR(INDEX('Six-Factor Calc'!$E$5:$E$121,MATCH($A69,'Six-Factor Calc'!$A$5:$A$121,0)),"")</x:f>
        <x:v>0.003682</x:v>
      </x:c>
      <x:c r="F69" s="50" t="n">
        <x:f>IFERROR(INDEX('Six-Factor Calc'!$F$5:$F$121,MATCH($A69,'Six-Factor Calc'!$A$5:$A$121,0)),"")</x:f>
        <x:v>0.49078032651442527</x:v>
      </x:c>
      <x:c r="G69" s="50" t="n">
        <x:f>IFERROR(INDEX('Six-Factor Calc'!$G$5:$G$121,MATCH($A69,'Six-Factor Calc'!$A$5:$A$121,0)),"")</x:f>
        <x:v>0.12315525009675633</x:v>
      </x:c>
      <x:c r="H69" s="329" t="n">
        <x:f>IFERROR(INDEX('Six-Factor Calc'!$H$5:$H$121,MATCH($A69,'Six-Factor Calc'!$A$5:$A$121,0)),"")</x:f>
        <x:v>5.316441938121848</x:v>
      </x:c>
      <x:c r="I69" s="47" t="n">
        <x:f>IFERROR(INDEX('Six-Factor Calc'!$I$5:$I$121,MATCH($A69,'Six-Factor Calc'!$A$5:$A$121,0)),"")</x:f>
        <x:v>6</x:v>
      </x:c>
      <x:c r="J69" s="52" t="n">
        <x:f>IFERROR(INDEX('Six-Factor Calc'!$J$5:$J$121,MATCH($A69,'Six-Factor Calc'!$A$5:$A$121,0)),"")</x:f>
        <x:v>5.422413793103448</x:v>
      </x:c>
      <x:c r="K69" s="47" t="n">
        <x:f>IFERROR(INDEX('Six-Factor Calc'!$K$5:$K$121,MATCH($A69,'Six-Factor Calc'!$A$5:$A$121,0)),"")</x:f>
        <x:v>60</x:v>
      </x:c>
      <x:c r="L69" s="52" t="n">
        <x:f>IFERROR(INDEX('Six-Factor Calc'!$L$5:$L$121,MATCH($A69,'Six-Factor Calc'!$A$5:$A$121,0)),"")</x:f>
        <x:v>3.431422924901186</x:v>
      </x:c>
      <x:c r="M69" s="47" t="n">
        <x:f>IFERROR(INDEX('Six-Factor Calc'!$M$5:$M$121,MATCH($A69,'Six-Factor Calc'!$A$5:$A$121,0)),"")</x:f>
        <x:v>100</x:v>
      </x:c>
      <x:c r="N69" s="47" t="str">
        <x:f>IFERROR(INDEX('Six-Factor Calc'!$N$5:$N$121,MATCH($A69,'Six-Factor Calc'!$A$5:$A$121,0)),"")</x:f>
        <x:v>SUE + CAR3</x:v>
      </x:c>
      <x:c r="O69" s="52" t="n">
        <x:f>IFERROR(INDEX('Six-Factor Calc'!$O$5:$O$121,MATCH($A69,'Six-Factor Calc'!$A$5:$A$121,0)),"")</x:f>
        <x:v>4.411</x:v>
      </x:c>
      <x:c r="P69" s="47" t="n">
        <x:f>IFERROR(INDEX('Six-Factor Calc'!$P$5:$P$121,MATCH($A69,'Six-Factor Calc'!$A$5:$A$121,0)),"")</x:f>
        <x:v>71</x:v>
      </x:c>
      <x:c r="Q69" s="50" t="n">
        <x:f>IFERROR(INDEX('Six-Factor Calc'!$Q$5:$Q$121,MATCH($A69,'Six-Factor Calc'!$A$5:$A$121,0)),"")</x:f>
        <x:v>1.19667</x:v>
      </x:c>
      <x:c r="R69" s="50" t="n">
        <x:f>IFERROR(INDEX('Six-Factor Calc'!$R$5:$R$121,MATCH($A69,'Six-Factor Calc'!$A$5:$A$121,0)),"")</x:f>
        <x:v>1.21</x:v>
      </x:c>
      <x:c r="S69" s="317" t="n">
        <x:f>IFERROR(INDEX('Six-Factor Calc'!$S$5:$S$121,MATCH($A69,'Six-Factor Calc'!$A$5:$A$121,0)),"")</x:f>
        <x:v>-0.011016528925619887</x:v>
      </x:c>
      <x:c r="T69" s="47" t="str">
        <x:f>IFERROR(INDEX('Six-Factor Calc'!$T$5:$T$121,MATCH($A69,'Six-Factor Calc'!$A$5:$A$121,0)),"")</x:f>
        <x:v>OK</x:v>
      </x:c>
      <x:c r="U69" s="52" t="n">
        <x:f>IFERROR(INDEX('Six-Factor Calc'!$U$5:$U$121,MATCH($A69,'Six-Factor Calc'!$A$5:$A$121,0)),"")</x:f>
        <x:v>6.974137931034482</x:v>
      </x:c>
      <x:c r="V69" s="47" t="n">
        <x:f>IFERROR(INDEX('Six-Factor Calc'!$V$5:$V$121,MATCH($A69,'Six-Factor Calc'!$A$5:$A$121,0)),"")</x:f>
        <x:v>29</x:v>
      </x:c>
      <x:c r="W69" s="52" t="n">
        <x:f>IFERROR(INDEX('Six-Factor Calc'!$W$5:$W$121,MATCH($A69,'Six-Factor Calc'!$A$5:$A$121,0)),"")</x:f>
        <x:v>7.594827586206897</x:v>
      </x:c>
      <x:c r="X69" s="47" t="n">
        <x:f>IFERROR(INDEX('Six-Factor Calc'!$X$5:$X$121,MATCH($A69,'Six-Factor Calc'!$A$5:$A$121,0)),"")</x:f>
        <x:v>17</x:v>
      </x:c>
      <x:c r="Y69" s="52" t="n">
        <x:f>IFERROR(INDEX('Six-Factor Calc'!$Y$5:$Y$121,MATCH($A69,'Six-Factor Calc'!$A$5:$A$121,0)),"")</x:f>
        <x:v>6.741379310344828</x:v>
      </x:c>
      <x:c r="Z69" s="47" t="n">
        <x:f>IFERROR(INDEX('Six-Factor Calc'!$Z$5:$Z$121,MATCH($A69,'Six-Factor Calc'!$A$5:$A$121,0)),"")</x:f>
        <x:v>43</x:v>
      </x:c>
      <x:c r="AA69" s="47" t="str">
        <x:f>IFERROR(INDEX('Six-Factor Calc'!$AA$5:$AA$121,MATCH($A69,'Six-Factor Calc'!$A$5:$A$121,0)),"")</x:f>
        <x:v>Miscellaneous</x:v>
      </x:c>
      <x:c r="AB69" s="54" t="n">
        <x:f>IFERROR(INDEX('Six-Factor Calc'!$AB$5:$AB$121,MATCH($A69,'Six-Factor Calc'!$A$5:$A$121,0)),"")</x:f>
        <x:v>46213</x:v>
      </x:c>
      <x:c r="AC69" s="54" t="n">
        <x:f>IFERROR(INDEX('Six-Factor Calc'!$AC$5:$AC$121,MATCH($A69,'Six-Factor Calc'!$A$5:$A$121,0)),"")</x:f>
        <x:v>46108</x:v>
      </x:c>
      <x:c r="AD69" s="54" t="n">
        <x:f>IFERROR(INDEX('Six-Factor Calc'!$AD$5:$AD$121,MATCH($A69,'Six-Factor Calc'!$A$5:$A$121,0)),"")</x:f>
        <x:v>45926</x:v>
      </x:c>
      <x:c r="AE69" s="47" t="str">
        <x:f>IFERROR(INDEX('Six-Factor Calc'!$AE$5:$AE$121,MATCH($A69,'Six-Factor Calc'!$A$5:$A$121,0)),"")</x:f>
        <x:v>OK</x:v>
      </x:c>
    </x:row>
    <x:row r="70">
      <x:c r="A70" s="12" t="n">
        <x:v>66</x:v>
      </x:c>
      <x:c r="B70" s="47" t="str">
        <x:f>IFERROR(INDEX('Six-Factor Calc'!$B$5:$B$121,MATCH($A70,'Six-Factor Calc'!$A$5:$A$121,0)),"")</x:f>
        <x:v>FAST</x:v>
      </x:c>
      <x:c r="C70" s="47" t="str">
        <x:f>IFERROR(INDEX('Six-Factor Calc'!$C$5:$C$121,MATCH($A70,'Six-Factor Calc'!$A$5:$A$121,0)),"")</x:f>
        <x:v>Fastenal Co.</x:v>
      </x:c>
      <x:c r="D70" s="49" t="str">
        <x:f>IFERROR(INDEX('Six-Factor Calc'!$D$5:$D$121,MATCH($A70,'Six-Factor Calc'!$A$5:$A$121,0)),"")</x:f>
        <x:v>Long</x:v>
      </x:c>
      <x:c r="E70" s="49" t="n">
        <x:f>IFERROR(INDEX('Six-Factor Calc'!$E$5:$E$121,MATCH($A70,'Six-Factor Calc'!$A$5:$A$121,0)),"")</x:f>
        <x:v>0.004237</x:v>
      </x:c>
      <x:c r="F70" s="50" t="n">
        <x:f>IFERROR(INDEX('Six-Factor Calc'!$F$5:$F$121,MATCH($A70,'Six-Factor Calc'!$A$5:$A$121,0)),"")</x:f>
        <x:v>0.2840875443450334</x:v>
      </x:c>
      <x:c r="G70" s="50" t="n">
        <x:f>IFERROR(INDEX('Six-Factor Calc'!$G$5:$G$121,MATCH($A70,'Six-Factor Calc'!$A$5:$A$121,0)),"")</x:f>
        <x:v>0.010094951266704715</x:v>
      </x:c>
      <x:c r="H70" s="329" t="n">
        <x:f>IFERROR(INDEX('Six-Factor Calc'!$H$5:$H$121,MATCH($A70,'Six-Factor Calc'!$A$5:$A$121,0)),"")</x:f>
        <x:v>5.301017786561264</x:v>
      </x:c>
      <x:c r="I70" s="47" t="n">
        <x:f>IFERROR(INDEX('Six-Factor Calc'!$I$5:$I$121,MATCH($A70,'Six-Factor Calc'!$A$5:$A$121,0)),"")</x:f>
        <x:v>6</x:v>
      </x:c>
      <x:c r="J70" s="52" t="n">
        <x:f>IFERROR(INDEX('Six-Factor Calc'!$J$5:$J$121,MATCH($A70,'Six-Factor Calc'!$A$5:$A$121,0)),"")</x:f>
        <x:v>9.612068965517242</x:v>
      </x:c>
      <x:c r="K70" s="47" t="n">
        <x:f>IFERROR(INDEX('Six-Factor Calc'!$K$5:$K$121,MATCH($A70,'Six-Factor Calc'!$A$5:$A$121,0)),"")</x:f>
        <x:v>6</x:v>
      </x:c>
      <x:c r="L70" s="52" t="n">
        <x:f>IFERROR(INDEX('Six-Factor Calc'!$L$5:$L$121,MATCH($A70,'Six-Factor Calc'!$A$5:$A$121,0)),"")</x:f>
        <x:v>1.6332015810276679</x:v>
      </x:c>
      <x:c r="M70" s="47" t="n">
        <x:f>IFERROR(INDEX('Six-Factor Calc'!$M$5:$M$121,MATCH($A70,'Six-Factor Calc'!$A$5:$A$121,0)),"")</x:f>
        <x:v>114</x:v>
      </x:c>
      <x:c r="N70" s="47" t="str">
        <x:f>IFERROR(INDEX('Six-Factor Calc'!$N$5:$N$121,MATCH($A70,'Six-Factor Calc'!$A$5:$A$121,0)),"")</x:f>
        <x:v>SUE + CAR3</x:v>
      </x:c>
      <x:c r="O70" s="52" t="n">
        <x:f>IFERROR(INDEX('Six-Factor Calc'!$O$5:$O$121,MATCH($A70,'Six-Factor Calc'!$A$5:$A$121,0)),"")</x:f>
        <x:v>7.75</x:v>
      </x:c>
      <x:c r="P70" s="47" t="n">
        <x:f>IFERROR(INDEX('Six-Factor Calc'!$P$5:$P$121,MATCH($A70,'Six-Factor Calc'!$A$5:$A$121,0)),"")</x:f>
        <x:v>30</x:v>
      </x:c>
      <x:c r="Q70" s="50" t="n">
        <x:f>IFERROR(INDEX('Six-Factor Calc'!$Q$5:$Q$121,MATCH($A70,'Six-Factor Calc'!$A$5:$A$121,0)),"")</x:f>
        <x:v>0.33183</x:v>
      </x:c>
      <x:c r="R70" s="50" t="n">
        <x:f>IFERROR(INDEX('Six-Factor Calc'!$R$5:$R$121,MATCH($A70,'Six-Factor Calc'!$A$5:$A$121,0)),"")</x:f>
        <x:v>0.32721</x:v>
      </x:c>
      <x:c r="S70" s="317" t="n">
        <x:f>IFERROR(INDEX('Six-Factor Calc'!$S$5:$S$121,MATCH($A70,'Six-Factor Calc'!$A$5:$A$121,0)),"")</x:f>
        <x:v>0.014119372879802002</x:v>
      </x:c>
      <x:c r="T70" s="47" t="str">
        <x:f>IFERROR(INDEX('Six-Factor Calc'!$T$5:$T$121,MATCH($A70,'Six-Factor Calc'!$A$5:$A$121,0)),"")</x:f>
        <x:v>OK</x:v>
      </x:c>
      <x:c r="U70" s="52" t="n">
        <x:f>IFERROR(INDEX('Six-Factor Calc'!$U$5:$U$121,MATCH($A70,'Six-Factor Calc'!$A$5:$A$121,0)),"")</x:f>
        <x:v>2.5381634182908543</x:v>
      </x:c>
      <x:c r="V70" s="47" t="n">
        <x:f>IFERROR(INDEX('Six-Factor Calc'!$V$5:$V$121,MATCH($A70,'Six-Factor Calc'!$A$5:$A$121,0)),"")</x:f>
        <x:v>115</x:v>
      </x:c>
      <x:c r="W70" s="52" t="n">
        <x:f>IFERROR(INDEX('Six-Factor Calc'!$W$5:$W$121,MATCH($A70,'Six-Factor Calc'!$A$5:$A$121,0)),"")</x:f>
        <x:v>4.295862068965517</x:v>
      </x:c>
      <x:c r="X70" s="47" t="n">
        <x:f>IFERROR(INDEX('Six-Factor Calc'!$X$5:$X$121,MATCH($A70,'Six-Factor Calc'!$A$5:$A$121,0)),"")</x:f>
        <x:v>78</x:v>
      </x:c>
      <x:c r="Y70" s="52" t="n">
        <x:f>IFERROR(INDEX('Six-Factor Calc'!$Y$5:$Y$121,MATCH($A70,'Six-Factor Calc'!$A$5:$A$121,0)),"")</x:f>
        <x:v>3.9482758620689653</x:v>
      </x:c>
      <x:c r="Z70" s="47" t="n">
        <x:f>IFERROR(INDEX('Six-Factor Calc'!$Z$5:$Z$121,MATCH($A70,'Six-Factor Calc'!$A$5:$A$121,0)),"")</x:f>
        <x:v>79</x:v>
      </x:c>
      <x:c r="AA70" s="47" t="str">
        <x:f>IFERROR(INDEX('Six-Factor Calc'!$AA$5:$AA$121,MATCH($A70,'Six-Factor Calc'!$A$5:$A$121,0)),"")</x:f>
        <x:v>Consumer Discretionary</x:v>
      </x:c>
      <x:c r="AB70" s="54" t="n">
        <x:f>IFERROR(INDEX('Six-Factor Calc'!$AB$5:$AB$121,MATCH($A70,'Six-Factor Calc'!$A$5:$A$121,0)),"")</x:f>
        <x:v>46213</x:v>
      </x:c>
      <x:c r="AC70" s="54" t="n">
        <x:f>IFERROR(INDEX('Six-Factor Calc'!$AC$5:$AC$121,MATCH($A70,'Six-Factor Calc'!$A$5:$A$121,0)),"")</x:f>
        <x:v>46112</x:v>
      </x:c>
      <x:c r="AD70" s="54" t="n">
        <x:f>IFERROR(INDEX('Six-Factor Calc'!$AD$5:$AD$121,MATCH($A70,'Six-Factor Calc'!$A$5:$A$121,0)),"")</x:f>
        <x:v>46022</x:v>
      </x:c>
      <x:c r="AE70" s="47" t="str">
        <x:f>IFERROR(INDEX('Six-Factor Calc'!$AE$5:$AE$121,MATCH($A70,'Six-Factor Calc'!$A$5:$A$121,0)),"")</x:f>
        <x:v>OK</x:v>
      </x:c>
    </x:row>
    <x:row r="71">
      <x:c r="A71" s="12" t="n">
        <x:v>67</x:v>
      </x:c>
      <x:c r="B71" s="47" t="str">
        <x:f>IFERROR(INDEX('Six-Factor Calc'!$B$5:$B$121,MATCH($A71,'Six-Factor Calc'!$A$5:$A$121,0)),"")</x:f>
        <x:v>COR</x:v>
      </x:c>
      <x:c r="C71" s="47" t="str">
        <x:f>IFERROR(INDEX('Six-Factor Calc'!$C$5:$C$121,MATCH($A71,'Six-Factor Calc'!$A$5:$A$121,0)),"")</x:f>
        <x:v>Cencora Inc.</x:v>
      </x:c>
      <x:c r="D71" s="49" t="str">
        <x:f>IFERROR(INDEX('Six-Factor Calc'!$D$5:$D$121,MATCH($A71,'Six-Factor Calc'!$A$5:$A$121,0)),"")</x:f>
        <x:v>Long</x:v>
      </x:c>
      <x:c r="E71" s="49" t="n">
        <x:f>IFERROR(INDEX('Six-Factor Calc'!$E$5:$E$121,MATCH($A71,'Six-Factor Calc'!$A$5:$A$121,0)),"")</x:f>
        <x:v>0.004696</x:v>
      </x:c>
      <x:c r="F71" s="50" t="n">
        <x:f>IFERROR(INDEX('Six-Factor Calc'!$F$5:$F$121,MATCH($A71,'Six-Factor Calc'!$A$5:$A$121,0)),"")</x:f>
        <x:v>0.24796735153613417</x:v>
      </x:c>
      <x:c r="G71" s="50" t="n">
        <x:f>IFERROR(INDEX('Six-Factor Calc'!$G$5:$G$121,MATCH($A71,'Six-Factor Calc'!$A$5:$A$121,0)),"")</x:f>
        <x:v>0.13143462077868343</x:v>
      </x:c>
      <x:c r="H71" s="329" t="n">
        <x:f>IFERROR(INDEX('Six-Factor Calc'!$H$5:$H$121,MATCH($A71,'Six-Factor Calc'!$A$5:$A$121,0)),"")</x:f>
        <x:v>5.291154933896688</x:v>
      </x:c>
      <x:c r="I71" s="47" t="n">
        <x:f>IFERROR(INDEX('Six-Factor Calc'!$I$5:$I$121,MATCH($A71,'Six-Factor Calc'!$A$5:$A$121,0)),"")</x:f>
        <x:v>6</x:v>
      </x:c>
      <x:c r="J71" s="52" t="n">
        <x:f>IFERROR(INDEX('Six-Factor Calc'!$J$5:$J$121,MATCH($A71,'Six-Factor Calc'!$A$5:$A$121,0)),"")</x:f>
        <x:v>7.478448275862069</x:v>
      </x:c>
      <x:c r="K71" s="47" t="n">
        <x:f>IFERROR(INDEX('Six-Factor Calc'!$K$5:$K$121,MATCH($A71,'Six-Factor Calc'!$A$5:$A$121,0)),"")</x:f>
        <x:v>33</x:v>
      </x:c>
      <x:c r="L71" s="52" t="n">
        <x:f>IFERROR(INDEX('Six-Factor Calc'!$L$5:$L$121,MATCH($A71,'Six-Factor Calc'!$A$5:$A$121,0)),"")</x:f>
        <x:v>5.130039525691699</x:v>
      </x:c>
      <x:c r="M71" s="47" t="n">
        <x:f>IFERROR(INDEX('Six-Factor Calc'!$M$5:$M$121,MATCH($A71,'Six-Factor Calc'!$A$5:$A$121,0)),"")</x:f>
        <x:v>71</x:v>
      </x:c>
      <x:c r="N71" s="47" t="str">
        <x:f>IFERROR(INDEX('Six-Factor Calc'!$N$5:$N$121,MATCH($A71,'Six-Factor Calc'!$A$5:$A$121,0)),"")</x:f>
        <x:v>SUE + CAR3</x:v>
      </x:c>
      <x:c r="O71" s="52" t="n">
        <x:f>IFERROR(INDEX('Six-Factor Calc'!$O$5:$O$121,MATCH($A71,'Six-Factor Calc'!$A$5:$A$121,0)),"")</x:f>
        <x:v>5.1850000000000005</x:v>
      </x:c>
      <x:c r="P71" s="47" t="n">
        <x:f>IFERROR(INDEX('Six-Factor Calc'!$P$5:$P$121,MATCH($A71,'Six-Factor Calc'!$A$5:$A$121,0)),"")</x:f>
        <x:v>61</x:v>
      </x:c>
      <x:c r="Q71" s="50" t="n">
        <x:f>IFERROR(INDEX('Six-Factor Calc'!$Q$5:$Q$121,MATCH($A71,'Six-Factor Calc'!$A$5:$A$121,0)),"")</x:f>
        <x:v>4.58376</x:v>
      </x:c>
      <x:c r="R71" s="50" t="n">
        <x:f>IFERROR(INDEX('Six-Factor Calc'!$R$5:$R$121,MATCH($A71,'Six-Factor Calc'!$A$5:$A$121,0)),"")</x:f>
        <x:v>4.60848</x:v>
      </x:c>
      <x:c r="S71" s="317" t="n">
        <x:f>IFERROR(INDEX('Six-Factor Calc'!$S$5:$S$121,MATCH($A71,'Six-Factor Calc'!$A$5:$A$121,0)),"")</x:f>
        <x:v>-0.0053640245807729005</x:v>
      </x:c>
      <x:c r="T71" s="47" t="str">
        <x:f>IFERROR(INDEX('Six-Factor Calc'!$T$5:$T$121,MATCH($A71,'Six-Factor Calc'!$A$5:$A$121,0)),"")</x:f>
        <x:v>OK</x:v>
      </x:c>
      <x:c r="U71" s="52" t="n">
        <x:f>IFERROR(INDEX('Six-Factor Calc'!$U$5:$U$121,MATCH($A71,'Six-Factor Calc'!$A$5:$A$121,0)),"")</x:f>
        <x:v>4.824831334332833</x:v>
      </x:c>
      <x:c r="V71" s="47" t="n">
        <x:f>IFERROR(INDEX('Six-Factor Calc'!$V$5:$V$121,MATCH($A71,'Six-Factor Calc'!$A$5:$A$121,0)),"")</x:f>
        <x:v>76</x:v>
      </x:c>
      <x:c r="W71" s="52" t="n">
        <x:f>IFERROR(INDEX('Six-Factor Calc'!$W$5:$W$121,MATCH($A71,'Six-Factor Calc'!$A$5:$A$121,0)),"")</x:f>
        <x:v>5.028275862068965</x:v>
      </x:c>
      <x:c r="X71" s="47" t="n">
        <x:f>IFERROR(INDEX('Six-Factor Calc'!$X$5:$X$121,MATCH($A71,'Six-Factor Calc'!$A$5:$A$121,0)),"")</x:f>
        <x:v>60</x:v>
      </x:c>
      <x:c r="Y71" s="52" t="n">
        <x:f>IFERROR(INDEX('Six-Factor Calc'!$Y$5:$Y$121,MATCH($A71,'Six-Factor Calc'!$A$5:$A$121,0)),"")</x:f>
        <x:v>1.6206896551724137</x:v>
      </x:c>
      <x:c r="Z71" s="47" t="n">
        <x:f>IFERROR(INDEX('Six-Factor Calc'!$Z$5:$Z$121,MATCH($A71,'Six-Factor Calc'!$A$5:$A$121,0)),"")</x:f>
        <x:v>109</x:v>
      </x:c>
      <x:c r="AA71" s="47" t="str">
        <x:f>IFERROR(INDEX('Six-Factor Calc'!$AA$5:$AA$121,MATCH($A71,'Six-Factor Calc'!$A$5:$A$121,0)),"")</x:f>
        <x:v>Health Care</x:v>
      </x:c>
      <x:c r="AB71" s="54" t="n">
        <x:f>IFERROR(INDEX('Six-Factor Calc'!$AB$5:$AB$121,MATCH($A71,'Six-Factor Calc'!$A$5:$A$121,0)),"")</x:f>
        <x:v>46213</x:v>
      </x:c>
      <x:c r="AC71" s="54" t="n">
        <x:f>IFERROR(INDEX('Six-Factor Calc'!$AC$5:$AC$121,MATCH($A71,'Six-Factor Calc'!$A$5:$A$121,0)),"")</x:f>
        <x:v>46112</x:v>
      </x:c>
      <x:c r="AD71" s="54" t="n">
        <x:f>IFERROR(INDEX('Six-Factor Calc'!$AD$5:$AD$121,MATCH($A71,'Six-Factor Calc'!$A$5:$A$121,0)),"")</x:f>
        <x:v>45930</x:v>
      </x:c>
      <x:c r="AE71" s="47" t="str">
        <x:f>IFERROR(INDEX('Six-Factor Calc'!$AE$5:$AE$121,MATCH($A71,'Six-Factor Calc'!$A$5:$A$121,0)),"")</x:f>
        <x:v>OK</x:v>
      </x:c>
    </x:row>
    <x:row r="72">
      <x:c r="A72" s="12" t="n">
        <x:v>68</x:v>
      </x:c>
      <x:c r="B72" s="47" t="str">
        <x:f>IFERROR(INDEX('Six-Factor Calc'!$B$5:$B$121,MATCH($A72,'Six-Factor Calc'!$A$5:$A$121,0)),"")</x:f>
        <x:v>TMUS</x:v>
      </x:c>
      <x:c r="C72" s="47" t="str">
        <x:f>IFERROR(INDEX('Six-Factor Calc'!$C$5:$C$121,MATCH($A72,'Six-Factor Calc'!$A$5:$A$121,0)),"")</x:f>
        <x:v>T-Mobile US Inc.</x:v>
      </x:c>
      <x:c r="D72" s="49" t="str">
        <x:f>IFERROR(INDEX('Six-Factor Calc'!$D$5:$D$121,MATCH($A72,'Six-Factor Calc'!$A$5:$A$121,0)),"")</x:f>
        <x:v>Long</x:v>
      </x:c>
      <x:c r="E72" s="49" t="n">
        <x:f>IFERROR(INDEX('Six-Factor Calc'!$E$5:$E$121,MATCH($A72,'Six-Factor Calc'!$A$5:$A$121,0)),"")</x:f>
        <x:v>0.003871</x:v>
      </x:c>
      <x:c r="F72" s="50" t="n">
        <x:f>IFERROR(INDEX('Six-Factor Calc'!$F$5:$F$121,MATCH($A72,'Six-Factor Calc'!$A$5:$A$121,0)),"")</x:f>
        <x:v>0.014164695333075817</x:v>
      </x:c>
      <x:c r="G72" s="50" t="n">
        <x:f>IFERROR(INDEX('Six-Factor Calc'!$G$5:$G$121,MATCH($A72,'Six-Factor Calc'!$A$5:$A$121,0)),"")</x:f>
        <x:v>-0.13145411950553626</x:v>
      </x:c>
      <x:c r="H72" s="329" t="n">
        <x:f>IFERROR(INDEX('Six-Factor Calc'!$H$5:$H$121,MATCH($A72,'Six-Factor Calc'!$A$5:$A$121,0)),"")</x:f>
        <x:v>5.284232043069374</x:v>
      </x:c>
      <x:c r="I72" s="47" t="n">
        <x:f>IFERROR(INDEX('Six-Factor Calc'!$I$5:$I$121,MATCH($A72,'Six-Factor Calc'!$A$5:$A$121,0)),"")</x:f>
        <x:v>6</x:v>
      </x:c>
      <x:c r="J72" s="52" t="n">
        <x:f>IFERROR(INDEX('Six-Factor Calc'!$J$5:$J$121,MATCH($A72,'Six-Factor Calc'!$A$5:$A$121,0)),"")</x:f>
        <x:v>3.1724137931034484</x:v>
      </x:c>
      <x:c r="K72" s="47" t="n">
        <x:f>IFERROR(INDEX('Six-Factor Calc'!$K$5:$K$121,MATCH($A72,'Six-Factor Calc'!$A$5:$A$121,0)),"")</x:f>
        <x:v>89</x:v>
      </x:c>
      <x:c r="L72" s="52" t="n">
        <x:f>IFERROR(INDEX('Six-Factor Calc'!$L$5:$L$121,MATCH($A72,'Six-Factor Calc'!$A$5:$A$121,0)),"")</x:f>
        <x:v>5.642292490118577</x:v>
      </x:c>
      <x:c r="M72" s="47" t="n">
        <x:f>IFERROR(INDEX('Six-Factor Calc'!$M$5:$M$121,MATCH($A72,'Six-Factor Calc'!$A$5:$A$121,0)),"")</x:f>
        <x:v>59</x:v>
      </x:c>
      <x:c r="N72" s="47" t="str">
        <x:f>IFERROR(INDEX('Six-Factor Calc'!$N$5:$N$121,MATCH($A72,'Six-Factor Calc'!$A$5:$A$121,0)),"")</x:f>
        <x:v>SUE + CAR3</x:v>
      </x:c>
      <x:c r="O72" s="52" t="n">
        <x:f>IFERROR(INDEX('Six-Factor Calc'!$O$5:$O$121,MATCH($A72,'Six-Factor Calc'!$A$5:$A$121,0)),"")</x:f>
        <x:v>7.353999999999999</x:v>
      </x:c>
      <x:c r="P72" s="47" t="n">
        <x:f>IFERROR(INDEX('Six-Factor Calc'!$P$5:$P$121,MATCH($A72,'Six-Factor Calc'!$A$5:$A$121,0)),"")</x:f>
        <x:v>35</x:v>
      </x:c>
      <x:c r="Q72" s="50" t="n">
        <x:f>IFERROR(INDEX('Six-Factor Calc'!$Q$5:$Q$121,MATCH($A72,'Six-Factor Calc'!$A$5:$A$121,0)),"")</x:f>
        <x:v>2.9015</x:v>
      </x:c>
      <x:c r="R72" s="50" t="n">
        <x:f>IFERROR(INDEX('Six-Factor Calc'!$R$5:$R$121,MATCH($A72,'Six-Factor Calc'!$A$5:$A$121,0)),"")</x:f>
        <x:v>2.87715</x:v>
      </x:c>
      <x:c r="S72" s="317" t="n">
        <x:f>IFERROR(INDEX('Six-Factor Calc'!$S$5:$S$121,MATCH($A72,'Six-Factor Calc'!$A$5:$A$121,0)),"")</x:f>
        <x:v>0.008463236188589436</x:v>
      </x:c>
      <x:c r="T72" s="47" t="str">
        <x:f>IFERROR(INDEX('Six-Factor Calc'!$T$5:$T$121,MATCH($A72,'Six-Factor Calc'!$A$5:$A$121,0)),"")</x:f>
        <x:v>OK</x:v>
      </x:c>
      <x:c r="U72" s="52" t="n">
        <x:f>IFERROR(INDEX('Six-Factor Calc'!$U$5:$U$121,MATCH($A72,'Six-Factor Calc'!$A$5:$A$121,0)),"")</x:f>
        <x:v>6.285206146926537</x:v>
      </x:c>
      <x:c r="V72" s="47" t="n">
        <x:f>IFERROR(INDEX('Six-Factor Calc'!$V$5:$V$121,MATCH($A72,'Six-Factor Calc'!$A$5:$A$121,0)),"")</x:f>
        <x:v>39</x:v>
      </x:c>
      <x:c r="W72" s="52" t="n">
        <x:f>IFERROR(INDEX('Six-Factor Calc'!$W$5:$W$121,MATCH($A72,'Six-Factor Calc'!$A$5:$A$121,0)),"")</x:f>
        <x:v>5.3743103448275855</x:v>
      </x:c>
      <x:c r="X72" s="47" t="n">
        <x:f>IFERROR(INDEX('Six-Factor Calc'!$X$5:$X$121,MATCH($A72,'Six-Factor Calc'!$A$5:$A$121,0)),"")</x:f>
        <x:v>55</x:v>
      </x:c>
      <x:c r="Y72" s="52" t="n">
        <x:f>IFERROR(INDEX('Six-Factor Calc'!$Y$5:$Y$121,MATCH($A72,'Six-Factor Calc'!$A$5:$A$121,0)),"")</x:f>
        <x:v>5.0344827586206895</x:v>
      </x:c>
      <x:c r="Z72" s="47" t="n">
        <x:f>IFERROR(INDEX('Six-Factor Calc'!$Z$5:$Z$121,MATCH($A72,'Six-Factor Calc'!$A$5:$A$121,0)),"")</x:f>
        <x:v>65</x:v>
      </x:c>
      <x:c r="AA72" s="47" t="str">
        <x:f>IFERROR(INDEX('Six-Factor Calc'!$AA$5:$AA$121,MATCH($A72,'Six-Factor Calc'!$A$5:$A$121,0)),"")</x:f>
        <x:v>Telecommunications</x:v>
      </x:c>
      <x:c r="AB72" s="54" t="n">
        <x:f>IFERROR(INDEX('Six-Factor Calc'!$AB$5:$AB$121,MATCH($A72,'Six-Factor Calc'!$A$5:$A$121,0)),"")</x:f>
        <x:v>46213</x:v>
      </x:c>
      <x:c r="AC72" s="54" t="n">
        <x:f>IFERROR(INDEX('Six-Factor Calc'!$AC$5:$AC$121,MATCH($A72,'Six-Factor Calc'!$A$5:$A$121,0)),"")</x:f>
        <x:v>46112</x:v>
      </x:c>
      <x:c r="AD72" s="54" t="n">
        <x:f>IFERROR(INDEX('Six-Factor Calc'!$AD$5:$AD$121,MATCH($A72,'Six-Factor Calc'!$A$5:$A$121,0)),"")</x:f>
        <x:v>46022</x:v>
      </x:c>
      <x:c r="AE72" s="47" t="str">
        <x:f>IFERROR(INDEX('Six-Factor Calc'!$AE$5:$AE$121,MATCH($A72,'Six-Factor Calc'!$A$5:$A$121,0)),"")</x:f>
        <x:v>OK</x:v>
      </x:c>
    </x:row>
    <x:row r="73">
      <x:c r="A73" s="12" t="n">
        <x:v>69</x:v>
      </x:c>
      <x:c r="B73" s="47" t="str">
        <x:f>IFERROR(INDEX('Six-Factor Calc'!$B$5:$B$121,MATCH($A73,'Six-Factor Calc'!$A$5:$A$121,0)),"")</x:f>
        <x:v>LYB</x:v>
      </x:c>
      <x:c r="C73" s="47" t="str">
        <x:f>IFERROR(INDEX('Six-Factor Calc'!$C$5:$C$121,MATCH($A73,'Six-Factor Calc'!$A$5:$A$121,0)),"")</x:f>
        <x:v>LyondellBasell Industries NV</x:v>
      </x:c>
      <x:c r="D73" s="49" t="str">
        <x:f>IFERROR(INDEX('Six-Factor Calc'!$D$5:$D$121,MATCH($A73,'Six-Factor Calc'!$A$5:$A$121,0)),"")</x:f>
        <x:v>Long</x:v>
      </x:c>
      <x:c r="E73" s="49" t="n">
        <x:f>IFERROR(INDEX('Six-Factor Calc'!$E$5:$E$121,MATCH($A73,'Six-Factor Calc'!$A$5:$A$121,0)),"")</x:f>
        <x:v>0.003198</x:v>
      </x:c>
      <x:c r="F73" s="50" t="n">
        <x:f>IFERROR(INDEX('Six-Factor Calc'!$F$5:$F$121,MATCH($A73,'Six-Factor Calc'!$A$5:$A$121,0)),"")</x:f>
        <x:v>-0.18151811083830863</x:v>
      </x:c>
      <x:c r="G73" s="50" t="n">
        <x:f>IFERROR(INDEX('Six-Factor Calc'!$G$5:$G$121,MATCH($A73,'Six-Factor Calc'!$A$5:$A$121,0)),"")</x:f>
        <x:v>-0.21271241474656938</x:v>
      </x:c>
      <x:c r="H73" s="329" t="n">
        <x:f>IFERROR(INDEX('Six-Factor Calc'!$H$5:$H$121,MATCH($A73,'Six-Factor Calc'!$A$5:$A$121,0)),"")</x:f>
        <x:v>5.267874403707237</x:v>
      </x:c>
      <x:c r="I73" s="47" t="n">
        <x:f>IFERROR(INDEX('Six-Factor Calc'!$I$5:$I$121,MATCH($A73,'Six-Factor Calc'!$A$5:$A$121,0)),"")</x:f>
        <x:v>6</x:v>
      </x:c>
      <x:c r="J73" s="52" t="n">
        <x:f>IFERROR(INDEX('Six-Factor Calc'!$J$5:$J$121,MATCH($A73,'Six-Factor Calc'!$A$5:$A$121,0)),"")</x:f>
        <x:v>4.181034482758621</x:v>
      </x:c>
      <x:c r="K73" s="47" t="n">
        <x:f>IFERROR(INDEX('Six-Factor Calc'!$K$5:$K$121,MATCH($A73,'Six-Factor Calc'!$A$5:$A$121,0)),"")</x:f>
        <x:v>76</x:v>
      </x:c>
      <x:c r="L73" s="52" t="n">
        <x:f>IFERROR(INDEX('Six-Factor Calc'!$L$5:$L$121,MATCH($A73,'Six-Factor Calc'!$A$5:$A$121,0)),"")</x:f>
        <x:v>5.9055335968379445</x:v>
      </x:c>
      <x:c r="M73" s="47" t="n">
        <x:f>IFERROR(INDEX('Six-Factor Calc'!$M$5:$M$121,MATCH($A73,'Six-Factor Calc'!$A$5:$A$121,0)),"")</x:f>
        <x:v>52</x:v>
      </x:c>
      <x:c r="N73" s="47" t="str">
        <x:f>IFERROR(INDEX('Six-Factor Calc'!$N$5:$N$121,MATCH($A73,'Six-Factor Calc'!$A$5:$A$121,0)),"")</x:f>
        <x:v>SUE + CAR3</x:v>
      </x:c>
      <x:c r="O73" s="52" t="n">
        <x:f>IFERROR(INDEX('Six-Factor Calc'!$O$5:$O$121,MATCH($A73,'Six-Factor Calc'!$A$5:$A$121,0)),"")</x:f>
        <x:v>1.846</x:v>
      </x:c>
      <x:c r="P73" s="47" t="n">
        <x:f>IFERROR(INDEX('Six-Factor Calc'!$P$5:$P$121,MATCH($A73,'Six-Factor Calc'!$A$5:$A$121,0)),"")</x:f>
        <x:v>104</x:v>
      </x:c>
      <x:c r="Q73" s="50" t="n">
        <x:f>IFERROR(INDEX('Six-Factor Calc'!$Q$5:$Q$121,MATCH($A73,'Six-Factor Calc'!$A$5:$A$121,0)),"")</x:f>
        <x:v>2.77135</x:v>
      </x:c>
      <x:c r="R73" s="50" t="n">
        <x:f>IFERROR(INDEX('Six-Factor Calc'!$R$5:$R$121,MATCH($A73,'Six-Factor Calc'!$A$5:$A$121,0)),"")</x:f>
        <x:v>3.28017</x:v>
      </x:c>
      <x:c r="S73" s="317" t="n">
        <x:f>IFERROR(INDEX('Six-Factor Calc'!$S$5:$S$121,MATCH($A73,'Six-Factor Calc'!$A$5:$A$121,0)),"")</x:f>
        <x:v>-0.15512000902392256</x:v>
      </x:c>
      <x:c r="T73" s="47" t="str">
        <x:f>IFERROR(INDEX('Six-Factor Calc'!$T$5:$T$121,MATCH($A73,'Six-Factor Calc'!$A$5:$A$121,0)),"")</x:f>
        <x:v>OK</x:v>
      </x:c>
      <x:c r="U73" s="52" t="n">
        <x:f>IFERROR(INDEX('Six-Factor Calc'!$U$5:$U$121,MATCH($A73,'Six-Factor Calc'!$A$5:$A$121,0)),"")</x:f>
        <x:v>5.8807121439280365</x:v>
      </x:c>
      <x:c r="V73" s="47" t="n">
        <x:f>IFERROR(INDEX('Six-Factor Calc'!$V$5:$V$121,MATCH($A73,'Six-Factor Calc'!$A$5:$A$121,0)),"")</x:f>
        <x:v>48</x:v>
      </x:c>
      <x:c r="W73" s="52" t="n">
        <x:f>IFERROR(INDEX('Six-Factor Calc'!$W$5:$W$121,MATCH($A73,'Six-Factor Calc'!$A$5:$A$121,0)),"")</x:f>
        <x:v>6.919827586206897</x:v>
      </x:c>
      <x:c r="X73" s="47" t="n">
        <x:f>IFERROR(INDEX('Six-Factor Calc'!$X$5:$X$121,MATCH($A73,'Six-Factor Calc'!$A$5:$A$121,0)),"")</x:f>
        <x:v>24</x:v>
      </x:c>
      <x:c r="Y73" s="52" t="n">
        <x:f>IFERROR(INDEX('Six-Factor Calc'!$Y$5:$Y$121,MATCH($A73,'Six-Factor Calc'!$A$5:$A$121,0)),"")</x:f>
        <x:v>9.14655172413793</x:v>
      </x:c>
      <x:c r="Z73" s="47" t="n">
        <x:f>IFERROR(INDEX('Six-Factor Calc'!$Z$5:$Z$121,MATCH($A73,'Six-Factor Calc'!$A$5:$A$121,0)),"")</x:f>
        <x:v>12</x:v>
      </x:c>
      <x:c r="AA73" s="47" t="str">
        <x:f>IFERROR(INDEX('Six-Factor Calc'!$AA$5:$AA$121,MATCH($A73,'Six-Factor Calc'!$A$5:$A$121,0)),"")</x:f>
        <x:v>Industrials</x:v>
      </x:c>
      <x:c r="AB73" s="54" t="n">
        <x:f>IFERROR(INDEX('Six-Factor Calc'!$AB$5:$AB$121,MATCH($A73,'Six-Factor Calc'!$A$5:$A$121,0)),"")</x:f>
        <x:v>46213</x:v>
      </x:c>
      <x:c r="AC73" s="54" t="n">
        <x:f>IFERROR(INDEX('Six-Factor Calc'!$AC$5:$AC$121,MATCH($A73,'Six-Factor Calc'!$A$5:$A$121,0)),"")</x:f>
        <x:v>46112</x:v>
      </x:c>
      <x:c r="AD73" s="54" t="n">
        <x:f>IFERROR(INDEX('Six-Factor Calc'!$AD$5:$AD$121,MATCH($A73,'Six-Factor Calc'!$A$5:$A$121,0)),"")</x:f>
        <x:v>46022</x:v>
      </x:c>
      <x:c r="AE73" s="47" t="str">
        <x:f>IFERROR(INDEX('Six-Factor Calc'!$AE$5:$AE$121,MATCH($A73,'Six-Factor Calc'!$A$5:$A$121,0)),"")</x:f>
        <x:v>OK</x:v>
      </x:c>
    </x:row>
    <x:row r="74">
      <x:c r="A74" s="12" t="n">
        <x:v>70</x:v>
      </x:c>
      <x:c r="B74" s="47" t="str">
        <x:f>IFERROR(INDEX('Six-Factor Calc'!$B$5:$B$121,MATCH($A74,'Six-Factor Calc'!$A$5:$A$121,0)),"")</x:f>
        <x:v>L</x:v>
      </x:c>
      <x:c r="C74" s="47" t="str">
        <x:f>IFERROR(INDEX('Six-Factor Calc'!$C$5:$C$121,MATCH($A74,'Six-Factor Calc'!$A$5:$A$121,0)),"")</x:f>
        <x:v>Loews Corp.</x:v>
      </x:c>
      <x:c r="D74" s="49" t="str">
        <x:f>IFERROR(INDEX('Six-Factor Calc'!$D$5:$D$121,MATCH($A74,'Six-Factor Calc'!$A$5:$A$121,0)),"")</x:f>
        <x:v>Long</x:v>
      </x:c>
      <x:c r="E74" s="49" t="n">
        <x:f>IFERROR(INDEX('Six-Factor Calc'!$E$5:$E$121,MATCH($A74,'Six-Factor Calc'!$A$5:$A$121,0)),"")</x:f>
        <x:v>0.004152</x:v>
      </x:c>
      <x:c r="F74" s="50" t="n">
        <x:f>IFERROR(INDEX('Six-Factor Calc'!$F$5:$F$121,MATCH($A74,'Six-Factor Calc'!$A$5:$A$121,0)),"")</x:f>
        <x:v>0.3055094389238638</x:v>
      </x:c>
      <x:c r="G74" s="50" t="n">
        <x:f>IFERROR(INDEX('Six-Factor Calc'!$G$5:$G$121,MATCH($A74,'Six-Factor Calc'!$A$5:$A$121,0)),"")</x:f>
        <x:v>0.030763278832981158</x:v>
      </x:c>
      <x:c r="H74" s="329" t="n">
        <x:f>IFERROR(INDEX('Six-Factor Calc'!$H$5:$H$121,MATCH($A74,'Six-Factor Calc'!$A$5:$A$121,0)),"")</x:f>
        <x:v>5.244261959929125</x:v>
      </x:c>
      <x:c r="I74" s="47" t="n">
        <x:f>IFERROR(INDEX('Six-Factor Calc'!$I$5:$I$121,MATCH($A74,'Six-Factor Calc'!$A$5:$A$121,0)),"")</x:f>
        <x:v>5</x:v>
      </x:c>
      <x:c r="J74" s="52" t="n">
        <x:f>IFERROR(INDEX('Six-Factor Calc'!$J$5:$J$121,MATCH($A74,'Six-Factor Calc'!$A$5:$A$121,0)),"")</x:f>
        <x:v>5.267241379310345</x:v>
      </x:c>
      <x:c r="K74" s="47" t="n">
        <x:f>IFERROR(INDEX('Six-Factor Calc'!$K$5:$K$121,MATCH($A74,'Six-Factor Calc'!$A$5:$A$121,0)),"")</x:f>
        <x:v>62</x:v>
      </x:c>
      <x:c r="L74" s="52" t="n">
        <x:f>IFERROR(INDEX('Six-Factor Calc'!$L$5:$L$121,MATCH($A74,'Six-Factor Calc'!$A$5:$A$121,0)),"")</x:f>
        <x:v>3.0009881422924902</x:v>
      </x:c>
      <x:c r="M74" s="47" t="n">
        <x:f>IFERROR(INDEX('Six-Factor Calc'!$M$5:$M$121,MATCH($A74,'Six-Factor Calc'!$A$5:$A$121,0)),"")</x:f>
        <x:v>103</x:v>
      </x:c>
      <x:c r="N74" s="47" t="str">
        <x:f>IFERROR(INDEX('Six-Factor Calc'!$N$5:$N$121,MATCH($A74,'Six-Factor Calc'!$A$5:$A$121,0)),"")</x:f>
        <x:v>SUE + CAR3</x:v>
      </x:c>
      <x:c r="O74" s="52" t="str">
        <x:f>IFERROR(INDEX('Six-Factor Calc'!$O$5:$O$121,MATCH($A74,'Six-Factor Calc'!$A$5:$A$121,0)),"")</x:f>
      </x:c>
      <x:c r="P74" s="47" t="str">
        <x:f>IFERROR(INDEX('Six-Factor Calc'!$P$5:$P$121,MATCH($A74,'Six-Factor Calc'!$A$5:$A$121,0)),"")</x:f>
      </x:c>
      <x:c r="Q74" s="50" t="str">
        <x:f>IFERROR(INDEX('Six-Factor Calc'!$Q$5:$Q$121,MATCH($A74,'Six-Factor Calc'!$A$5:$A$121,0)),"")</x:f>
      </x:c>
      <x:c r="R74" s="50" t="str">
        <x:f>IFERROR(INDEX('Six-Factor Calc'!$R$5:$R$121,MATCH($A74,'Six-Factor Calc'!$A$5:$A$121,0)),"")</x:f>
      </x:c>
      <x:c r="S74" s="317" t="str">
        <x:f>IFERROR(INDEX('Six-Factor Calc'!$S$5:$S$121,MATCH($A74,'Six-Factor Calc'!$A$5:$A$121,0)),"")</x:f>
      </x:c>
      <x:c r="T74" s="47" t="str">
        <x:f>IFERROR(INDEX('Six-Factor Calc'!$T$5:$T$121,MATCH($A74,'Six-Factor Calc'!$A$5:$A$121,0)),"")</x:f>
        <x:v>NO CURRENT-QUARTER DATA</x:v>
      </x:c>
      <x:c r="U74" s="52" t="n">
        <x:f>IFERROR(INDEX('Six-Factor Calc'!$U$5:$U$121,MATCH($A74,'Six-Factor Calc'!$A$5:$A$121,0)),"")</x:f>
        <x:v>8.40948275862069</x:v>
      </x:c>
      <x:c r="V74" s="47" t="n">
        <x:f>IFERROR(INDEX('Six-Factor Calc'!$V$5:$V$121,MATCH($A74,'Six-Factor Calc'!$A$5:$A$121,0)),"")</x:f>
        <x:v>14</x:v>
      </x:c>
      <x:c r="W74" s="52" t="n">
        <x:f>IFERROR(INDEX('Six-Factor Calc'!$W$5:$W$121,MATCH($A74,'Six-Factor Calc'!$A$5:$A$121,0)),"")</x:f>
        <x:v>6.586206896551724</x:v>
      </x:c>
      <x:c r="X74" s="47" t="n">
        <x:f>IFERROR(INDEX('Six-Factor Calc'!$X$5:$X$121,MATCH($A74,'Six-Factor Calc'!$A$5:$A$121,0)),"")</x:f>
        <x:v>31</x:v>
      </x:c>
      <x:c r="Y74" s="52" t="n">
        <x:f>IFERROR(INDEX('Six-Factor Calc'!$Y$5:$Y$121,MATCH($A74,'Six-Factor Calc'!$A$5:$A$121,0)),"")</x:f>
        <x:v>5.732758620689655</x:v>
      </x:c>
      <x:c r="Z74" s="47" t="n">
        <x:f>IFERROR(INDEX('Six-Factor Calc'!$Z$5:$Z$121,MATCH($A74,'Six-Factor Calc'!$A$5:$A$121,0)),"")</x:f>
        <x:v>56</x:v>
      </x:c>
      <x:c r="AA74" s="47" t="str">
        <x:f>IFERROR(INDEX('Six-Factor Calc'!$AA$5:$AA$121,MATCH($A74,'Six-Factor Calc'!$A$5:$A$121,0)),"")</x:f>
        <x:v>Finance</x:v>
      </x:c>
      <x:c r="AB74" s="54" t="n">
        <x:f>IFERROR(INDEX('Six-Factor Calc'!$AB$5:$AB$121,MATCH($A74,'Six-Factor Calc'!$A$5:$A$121,0)),"")</x:f>
        <x:v>46213</x:v>
      </x:c>
      <x:c r="AC74" s="54" t="n">
        <x:f>IFERROR(INDEX('Six-Factor Calc'!$AC$5:$AC$121,MATCH($A74,'Six-Factor Calc'!$A$5:$A$121,0)),"")</x:f>
        <x:v>46112</x:v>
      </x:c>
      <x:c r="AD74" s="54" t="n">
        <x:f>IFERROR(INDEX('Six-Factor Calc'!$AD$5:$AD$121,MATCH($A74,'Six-Factor Calc'!$A$5:$A$121,0)),"")</x:f>
        <x:v>46022</x:v>
      </x:c>
      <x:c r="AE74" s="47" t="str">
        <x:f>IFERROR(INDEX('Six-Factor Calc'!$AE$5:$AE$121,MATCH($A74,'Six-Factor Calc'!$A$5:$A$121,0)),"")</x:f>
        <x:v>OK</x:v>
      </x:c>
    </x:row>
    <x:row r="75">
      <x:c r="A75" s="12" t="n">
        <x:v>71</x:v>
      </x:c>
      <x:c r="B75" s="47" t="str">
        <x:f>IFERROR(INDEX('Six-Factor Calc'!$B$5:$B$121,MATCH($A75,'Six-Factor Calc'!$A$5:$A$121,0)),"")</x:f>
        <x:v>WELL</x:v>
      </x:c>
      <x:c r="C75" s="47" t="str">
        <x:f>IFERROR(INDEX('Six-Factor Calc'!$C$5:$C$121,MATCH($A75,'Six-Factor Calc'!$A$5:$A$121,0)),"")</x:f>
        <x:v>Welltower Inc. REIT</x:v>
      </x:c>
      <x:c r="D75" s="49" t="str">
        <x:f>IFERROR(INDEX('Six-Factor Calc'!$D$5:$D$121,MATCH($A75,'Six-Factor Calc'!$A$5:$A$121,0)),"")</x:f>
        <x:v>Long</x:v>
      </x:c>
      <x:c r="E75" s="49" t="n">
        <x:f>IFERROR(INDEX('Six-Factor Calc'!$E$5:$E$121,MATCH($A75,'Six-Factor Calc'!$A$5:$A$121,0)),"")</x:f>
        <x:v>0.004381</x:v>
      </x:c>
      <x:c r="F75" s="50" t="n">
        <x:f>IFERROR(INDEX('Six-Factor Calc'!$F$5:$F$121,MATCH($A75,'Six-Factor Calc'!$A$5:$A$121,0)),"")</x:f>
        <x:v>0.3778856916466246</x:v>
      </x:c>
      <x:c r="G75" s="50" t="n">
        <x:f>IFERROR(INDEX('Six-Factor Calc'!$G$5:$G$121,MATCH($A75,'Six-Factor Calc'!$A$5:$A$121,0)),"")</x:f>
        <x:v>0.09811960782404805</x:v>
      </x:c>
      <x:c r="H75" s="329" t="n">
        <x:f>IFERROR(INDEX('Six-Factor Calc'!$H$5:$H$121,MATCH($A75,'Six-Factor Calc'!$A$5:$A$121,0)),"")</x:f>
        <x:v>5.170600926809322</x:v>
      </x:c>
      <x:c r="I75" s="47" t="n">
        <x:f>IFERROR(INDEX('Six-Factor Calc'!$I$5:$I$121,MATCH($A75,'Six-Factor Calc'!$A$5:$A$121,0)),"")</x:f>
        <x:v>6</x:v>
      </x:c>
      <x:c r="J75" s="52" t="n">
        <x:f>IFERROR(INDEX('Six-Factor Calc'!$J$5:$J$121,MATCH($A75,'Six-Factor Calc'!$A$5:$A$121,0)),"")</x:f>
        <x:v>3.25</x:v>
      </x:c>
      <x:c r="K75" s="47" t="n">
        <x:f>IFERROR(INDEX('Six-Factor Calc'!$K$5:$K$121,MATCH($A75,'Six-Factor Calc'!$A$5:$A$121,0)),"")</x:f>
        <x:v>88</x:v>
      </x:c>
      <x:c r="L75" s="52" t="n">
        <x:f>IFERROR(INDEX('Six-Factor Calc'!$L$5:$L$121,MATCH($A75,'Six-Factor Calc'!$A$5:$A$121,0)),"")</x:f>
        <x:v>8.4899209486166</x:v>
      </x:c>
      <x:c r="M75" s="47" t="n">
        <x:f>IFERROR(INDEX('Six-Factor Calc'!$M$5:$M$121,MATCH($A75,'Six-Factor Calc'!$A$5:$A$121,0)),"")</x:f>
        <x:v>10</x:v>
      </x:c>
      <x:c r="N75" s="47" t="str">
        <x:f>IFERROR(INDEX('Six-Factor Calc'!$N$5:$N$121,MATCH($A75,'Six-Factor Calc'!$A$5:$A$121,0)),"")</x:f>
        <x:v>SUE + CAR3</x:v>
      </x:c>
      <x:c r="O75" s="52" t="n">
        <x:f>IFERROR(INDEX('Six-Factor Calc'!$O$5:$O$121,MATCH($A75,'Six-Factor Calc'!$A$5:$A$121,0)),"")</x:f>
        <x:v>8.361999999999998</x:v>
      </x:c>
      <x:c r="P75" s="47" t="n">
        <x:f>IFERROR(INDEX('Six-Factor Calc'!$P$5:$P$121,MATCH($A75,'Six-Factor Calc'!$A$5:$A$121,0)),"")</x:f>
        <x:v>22</x:v>
      </x:c>
      <x:c r="Q75" s="50" t="n">
        <x:f>IFERROR(INDEX('Six-Factor Calc'!$Q$5:$Q$121,MATCH($A75,'Six-Factor Calc'!$A$5:$A$121,0)),"")</x:f>
        <x:v>0.68</x:v>
      </x:c>
      <x:c r="R75" s="50" t="n">
        <x:f>IFERROR(INDEX('Six-Factor Calc'!$R$5:$R$121,MATCH($A75,'Six-Factor Calc'!$A$5:$A$121,0)),"")</x:f>
        <x:v>0.665</x:v>
      </x:c>
      <x:c r="S75" s="317" t="n">
        <x:f>IFERROR(INDEX('Six-Factor Calc'!$S$5:$S$121,MATCH($A75,'Six-Factor Calc'!$A$5:$A$121,0)),"")</x:f>
        <x:v>0.02255639097744363</x:v>
      </x:c>
      <x:c r="T75" s="47" t="str">
        <x:f>IFERROR(INDEX('Six-Factor Calc'!$T$5:$T$121,MATCH($A75,'Six-Factor Calc'!$A$5:$A$121,0)),"")</x:f>
        <x:v>THIN COVERAGE</x:v>
      </x:c>
      <x:c r="U75" s="52" t="n">
        <x:f>IFERROR(INDEX('Six-Factor Calc'!$U$5:$U$121,MATCH($A75,'Six-Factor Calc'!$A$5:$A$121,0)),"")</x:f>
        <x:v>3.0172413793103448</x:v>
      </x:c>
      <x:c r="V75" s="47" t="n">
        <x:f>IFERROR(INDEX('Six-Factor Calc'!$V$5:$V$121,MATCH($A75,'Six-Factor Calc'!$A$5:$A$121,0)),"")</x:f>
        <x:v>107</x:v>
      </x:c>
      <x:c r="W75" s="52" t="n">
        <x:f>IFERROR(INDEX('Six-Factor Calc'!$W$5:$W$121,MATCH($A75,'Six-Factor Calc'!$A$5:$A$121,0)),"")</x:f>
        <x:v>1.387931034482759</x:v>
      </x:c>
      <x:c r="X75" s="47" t="n">
        <x:f>IFERROR(INDEX('Six-Factor Calc'!$X$5:$X$121,MATCH($A75,'Six-Factor Calc'!$A$5:$A$121,0)),"")</x:f>
        <x:v>114</x:v>
      </x:c>
      <x:c r="Y75" s="52" t="n">
        <x:f>IFERROR(INDEX('Six-Factor Calc'!$Y$5:$Y$121,MATCH($A75,'Six-Factor Calc'!$A$5:$A$121,0)),"")</x:f>
        <x:v>3.1724137931034484</x:v>
      </x:c>
      <x:c r="Z75" s="47" t="n">
        <x:f>IFERROR(INDEX('Six-Factor Calc'!$Z$5:$Z$121,MATCH($A75,'Six-Factor Calc'!$A$5:$A$121,0)),"")</x:f>
        <x:v>89</x:v>
      </x:c>
      <x:c r="AA75" s="47" t="str">
        <x:f>IFERROR(INDEX('Six-Factor Calc'!$AA$5:$AA$121,MATCH($A75,'Six-Factor Calc'!$A$5:$A$121,0)),"")</x:f>
        <x:v>Real Estate</x:v>
      </x:c>
      <x:c r="AB75" s="54" t="n">
        <x:f>IFERROR(INDEX('Six-Factor Calc'!$AB$5:$AB$121,MATCH($A75,'Six-Factor Calc'!$A$5:$A$121,0)),"")</x:f>
        <x:v>46213</x:v>
      </x:c>
      <x:c r="AC75" s="54" t="n">
        <x:f>IFERROR(INDEX('Six-Factor Calc'!$AC$5:$AC$121,MATCH($A75,'Six-Factor Calc'!$A$5:$A$121,0)),"")</x:f>
        <x:v>46112</x:v>
      </x:c>
      <x:c r="AD75" s="54" t="n">
        <x:f>IFERROR(INDEX('Six-Factor Calc'!$AD$5:$AD$121,MATCH($A75,'Six-Factor Calc'!$A$5:$A$121,0)),"")</x:f>
        <x:v>46022</x:v>
      </x:c>
      <x:c r="AE75" s="47" t="str">
        <x:f>IFERROR(INDEX('Six-Factor Calc'!$AE$5:$AE$121,MATCH($A75,'Six-Factor Calc'!$A$5:$A$121,0)),"")</x:f>
        <x:v>OK</x:v>
      </x:c>
    </x:row>
    <x:row r="76">
      <x:c r="A76" s="12" t="n">
        <x:v>72</x:v>
      </x:c>
      <x:c r="B76" s="47" t="str">
        <x:f>IFERROR(INDEX('Six-Factor Calc'!$B$5:$B$121,MATCH($A76,'Six-Factor Calc'!$A$5:$A$121,0)),"")</x:f>
        <x:v>BJ</x:v>
      </x:c>
      <x:c r="C76" s="47" t="str">
        <x:f>IFERROR(INDEX('Six-Factor Calc'!$C$5:$C$121,MATCH($A76,'Six-Factor Calc'!$A$5:$A$121,0)),"")</x:f>
        <x:v>BJ's Wholesale Club Holdings Inc.</x:v>
      </x:c>
      <x:c r="D76" s="49" t="str">
        <x:f>IFERROR(INDEX('Six-Factor Calc'!$D$5:$D$121,MATCH($A76,'Six-Factor Calc'!$A$5:$A$121,0)),"")</x:f>
        <x:v>Long</x:v>
      </x:c>
      <x:c r="E76" s="49" t="n">
        <x:f>IFERROR(INDEX('Six-Factor Calc'!$E$5:$E$121,MATCH($A76,'Six-Factor Calc'!$A$5:$A$121,0)),"")</x:f>
        <x:v>0.003785</x:v>
      </x:c>
      <x:c r="F76" s="50" t="n">
        <x:f>IFERROR(INDEX('Six-Factor Calc'!$F$5:$F$121,MATCH($A76,'Six-Factor Calc'!$A$5:$A$121,0)),"")</x:f>
        <x:v>-0.2261360462125055</x:v>
      </x:c>
      <x:c r="G76" s="50" t="n">
        <x:f>IFERROR(INDEX('Six-Factor Calc'!$G$5:$G$121,MATCH($A76,'Six-Factor Calc'!$A$5:$A$121,0)),"")</x:f>
        <x:v>-0.1283237108376308</x:v>
      </x:c>
      <x:c r="H76" s="329" t="n">
        <x:f>IFERROR(INDEX('Six-Factor Calc'!$H$5:$H$121,MATCH($A76,'Six-Factor Calc'!$A$5:$A$121,0)),"")</x:f>
        <x:v>5.116063854436418</x:v>
      </x:c>
      <x:c r="I76" s="47" t="n">
        <x:f>IFERROR(INDEX('Six-Factor Calc'!$I$5:$I$121,MATCH($A76,'Six-Factor Calc'!$A$5:$A$121,0)),"")</x:f>
        <x:v>6</x:v>
      </x:c>
      <x:c r="J76" s="52" t="n">
        <x:f>IFERROR(INDEX('Six-Factor Calc'!$J$5:$J$121,MATCH($A76,'Six-Factor Calc'!$A$5:$A$121,0)),"")</x:f>
        <x:v>7.75</x:v>
      </x:c>
      <x:c r="K76" s="47" t="n">
        <x:f>IFERROR(INDEX('Six-Factor Calc'!$K$5:$K$121,MATCH($A76,'Six-Factor Calc'!$A$5:$A$121,0)),"")</x:f>
        <x:v>30</x:v>
      </x:c>
      <x:c r="L76" s="52" t="n">
        <x:f>IFERROR(INDEX('Six-Factor Calc'!$L$5:$L$121,MATCH($A76,'Six-Factor Calc'!$A$5:$A$121,0)),"")</x:f>
        <x:v>2.2539525691699605</x:v>
      </x:c>
      <x:c r="M76" s="47" t="n">
        <x:f>IFERROR(INDEX('Six-Factor Calc'!$M$5:$M$121,MATCH($A76,'Six-Factor Calc'!$A$5:$A$121,0)),"")</x:f>
        <x:v>111</x:v>
      </x:c>
      <x:c r="N76" s="47" t="str">
        <x:f>IFERROR(INDEX('Six-Factor Calc'!$N$5:$N$121,MATCH($A76,'Six-Factor Calc'!$A$5:$A$121,0)),"")</x:f>
        <x:v>SUE + CAR3</x:v>
      </x:c>
      <x:c r="O76" s="52" t="n">
        <x:f>IFERROR(INDEX('Six-Factor Calc'!$O$5:$O$121,MATCH($A76,'Six-Factor Calc'!$A$5:$A$121,0)),"")</x:f>
        <x:v>6.814</x:v>
      </x:c>
      <x:c r="P76" s="47" t="n">
        <x:f>IFERROR(INDEX('Six-Factor Calc'!$P$5:$P$121,MATCH($A76,'Six-Factor Calc'!$A$5:$A$121,0)),"")</x:f>
        <x:v>42</x:v>
      </x:c>
      <x:c r="Q76" s="50" t="n">
        <x:f>IFERROR(INDEX('Six-Factor Calc'!$Q$5:$Q$121,MATCH($A76,'Six-Factor Calc'!$A$5:$A$121,0)),"")</x:f>
        <x:v>1.1621</x:v>
      </x:c>
      <x:c r="R76" s="50" t="n">
        <x:f>IFERROR(INDEX('Six-Factor Calc'!$R$5:$R$121,MATCH($A76,'Six-Factor Calc'!$A$5:$A$121,0)),"")</x:f>
        <x:v>1.15764</x:v>
      </x:c>
      <x:c r="S76" s="317" t="n">
        <x:f>IFERROR(INDEX('Six-Factor Calc'!$S$5:$S$121,MATCH($A76,'Six-Factor Calc'!$A$5:$A$121,0)),"")</x:f>
        <x:v>0.003852665768287126</x:v>
      </x:c>
      <x:c r="T76" s="47" t="str">
        <x:f>IFERROR(INDEX('Six-Factor Calc'!$T$5:$T$121,MATCH($A76,'Six-Factor Calc'!$A$5:$A$121,0)),"")</x:f>
        <x:v>OK</x:v>
      </x:c>
      <x:c r="U76" s="52" t="n">
        <x:f>IFERROR(INDEX('Six-Factor Calc'!$U$5:$U$121,MATCH($A76,'Six-Factor Calc'!$A$5:$A$121,0)),"")</x:f>
        <x:v>5.276922788605697</x:v>
      </x:c>
      <x:c r="V76" s="47" t="n">
        <x:f>IFERROR(INDEX('Six-Factor Calc'!$V$5:$V$121,MATCH($A76,'Six-Factor Calc'!$A$5:$A$121,0)),"")</x:f>
        <x:v>66</x:v>
      </x:c>
      <x:c r="W76" s="52" t="n">
        <x:f>IFERROR(INDEX('Six-Factor Calc'!$W$5:$W$121,MATCH($A76,'Six-Factor Calc'!$A$5:$A$121,0)),"")</x:f>
        <x:v>3.468793103448276</x:v>
      </x:c>
      <x:c r="X76" s="47" t="n">
        <x:f>IFERROR(INDEX('Six-Factor Calc'!$X$5:$X$121,MATCH($A76,'Six-Factor Calc'!$A$5:$A$121,0)),"")</x:f>
        <x:v>90</x:v>
      </x:c>
      <x:c r="Y76" s="52" t="n">
        <x:f>IFERROR(INDEX('Six-Factor Calc'!$Y$5:$Y$121,MATCH($A76,'Six-Factor Calc'!$A$5:$A$121,0)),"")</x:f>
        <x:v>4.568965517241379</x:v>
      </x:c>
      <x:c r="Z76" s="47" t="n">
        <x:f>IFERROR(INDEX('Six-Factor Calc'!$Z$5:$Z$121,MATCH($A76,'Six-Factor Calc'!$A$5:$A$121,0)),"")</x:f>
        <x:v>71</x:v>
      </x:c>
      <x:c r="AA76" s="47" t="str">
        <x:f>IFERROR(INDEX('Six-Factor Calc'!$AA$5:$AA$121,MATCH($A76,'Six-Factor Calc'!$A$5:$A$121,0)),"")</x:f>
        <x:v>Consumer Discretionary</x:v>
      </x:c>
      <x:c r="AB76" s="54" t="n">
        <x:f>IFERROR(INDEX('Six-Factor Calc'!$AB$5:$AB$121,MATCH($A76,'Six-Factor Calc'!$A$5:$A$121,0)),"")</x:f>
        <x:v>46213</x:v>
      </x:c>
      <x:c r="AC76" s="54" t="n">
        <x:f>IFERROR(INDEX('Six-Factor Calc'!$AC$5:$AC$121,MATCH($A76,'Six-Factor Calc'!$A$5:$A$121,0)),"")</x:f>
        <x:v>46144</x:v>
      </x:c>
      <x:c r="AD76" s="54" t="n">
        <x:f>IFERROR(INDEX('Six-Factor Calc'!$AD$5:$AD$121,MATCH($A76,'Six-Factor Calc'!$A$5:$A$121,0)),"")</x:f>
        <x:v>46053</x:v>
      </x:c>
      <x:c r="AE76" s="47" t="str">
        <x:f>IFERROR(INDEX('Six-Factor Calc'!$AE$5:$AE$121,MATCH($A76,'Six-Factor Calc'!$A$5:$A$121,0)),"")</x:f>
        <x:v>OK</x:v>
      </x:c>
    </x:row>
    <x:row r="77">
      <x:c r="A77" s="12" t="n">
        <x:v>73</x:v>
      </x:c>
      <x:c r="B77" s="47" t="str">
        <x:f>IFERROR(INDEX('Six-Factor Calc'!$B$5:$B$121,MATCH($A77,'Six-Factor Calc'!$A$5:$A$121,0)),"")</x:f>
        <x:v>VRTX</x:v>
      </x:c>
      <x:c r="C77" s="47" t="str">
        <x:f>IFERROR(INDEX('Six-Factor Calc'!$C$5:$C$121,MATCH($A77,'Six-Factor Calc'!$A$5:$A$121,0)),"")</x:f>
        <x:v>Vertex Pharmaceuticals Inc.</x:v>
      </x:c>
      <x:c r="D77" s="49" t="str">
        <x:f>IFERROR(INDEX('Six-Factor Calc'!$D$5:$D$121,MATCH($A77,'Six-Factor Calc'!$A$5:$A$121,0)),"")</x:f>
        <x:v>Long</x:v>
      </x:c>
      <x:c r="E77" s="49" t="n">
        <x:f>IFERROR(INDEX('Six-Factor Calc'!$E$5:$E$121,MATCH($A77,'Six-Factor Calc'!$A$5:$A$121,0)),"")</x:f>
        <x:v>0.004173</x:v>
      </x:c>
      <x:c r="F77" s="50" t="n">
        <x:f>IFERROR(INDEX('Six-Factor Calc'!$F$5:$F$121,MATCH($A77,'Six-Factor Calc'!$A$5:$A$121,0)),"")</x:f>
        <x:v>0.20477015834181894</x:v>
      </x:c>
      <x:c r="G77" s="50" t="n">
        <x:f>IFERROR(INDEX('Six-Factor Calc'!$G$5:$G$121,MATCH($A77,'Six-Factor Calc'!$A$5:$A$121,0)),"")</x:f>
        <x:v>0.1799309433653593</x:v>
      </x:c>
      <x:c r="H77" s="329" t="n">
        <x:f>IFERROR(INDEX('Six-Factor Calc'!$H$5:$H$121,MATCH($A77,'Six-Factor Calc'!$A$5:$A$121,0)),"")</x:f>
        <x:v>5.004449775112444</x:v>
      </x:c>
      <x:c r="I77" s="47" t="n">
        <x:f>IFERROR(INDEX('Six-Factor Calc'!$I$5:$I$121,MATCH($A77,'Six-Factor Calc'!$A$5:$A$121,0)),"")</x:f>
        <x:v>6</x:v>
      </x:c>
      <x:c r="J77" s="52" t="n">
        <x:f>IFERROR(INDEX('Six-Factor Calc'!$J$5:$J$121,MATCH($A77,'Six-Factor Calc'!$A$5:$A$121,0)),"")</x:f>
        <x:v>6.896551724137931</x:v>
      </x:c>
      <x:c r="K77" s="47" t="n">
        <x:f>IFERROR(INDEX('Six-Factor Calc'!$K$5:$K$121,MATCH($A77,'Six-Factor Calc'!$A$5:$A$121,0)),"")</x:f>
        <x:v>41</x:v>
      </x:c>
      <x:c r="L77" s="52" t="n">
        <x:f>IFERROR(INDEX('Six-Factor Calc'!$L$5:$L$121,MATCH($A77,'Six-Factor Calc'!$A$5:$A$121,0)),"")</x:f>
        <x:v>5.1869565217391305</x:v>
      </x:c>
      <x:c r="M77" s="47" t="n">
        <x:f>IFERROR(INDEX('Six-Factor Calc'!$M$5:$M$121,MATCH($A77,'Six-Factor Calc'!$A$5:$A$121,0)),"")</x:f>
        <x:v>70</x:v>
      </x:c>
      <x:c r="N77" s="47" t="str">
        <x:f>IFERROR(INDEX('Six-Factor Calc'!$N$5:$N$121,MATCH($A77,'Six-Factor Calc'!$A$5:$A$121,0)),"")</x:f>
        <x:v>SUE + CAR3</x:v>
      </x:c>
      <x:c r="O77" s="52" t="n">
        <x:f>IFERROR(INDEX('Six-Factor Calc'!$O$5:$O$121,MATCH($A77,'Six-Factor Calc'!$A$5:$A$121,0)),"")</x:f>
        <x:v>4.879</x:v>
      </x:c>
      <x:c r="P77" s="47" t="n">
        <x:f>IFERROR(INDEX('Six-Factor Calc'!$P$5:$P$121,MATCH($A77,'Six-Factor Calc'!$A$5:$A$121,0)),"")</x:f>
        <x:v>65</x:v>
      </x:c>
      <x:c r="Q77" s="50" t="n">
        <x:f>IFERROR(INDEX('Six-Factor Calc'!$Q$5:$Q$121,MATCH($A77,'Six-Factor Calc'!$A$5:$A$121,0)),"")</x:f>
        <x:v>4.86724</x:v>
      </x:c>
      <x:c r="R77" s="50" t="n">
        <x:f>IFERROR(INDEX('Six-Factor Calc'!$R$5:$R$121,MATCH($A77,'Six-Factor Calc'!$A$5:$A$121,0)),"")</x:f>
        <x:v>4.90386</x:v>
      </x:c>
      <x:c r="S77" s="317" t="n">
        <x:f>IFERROR(INDEX('Six-Factor Calc'!$S$5:$S$121,MATCH($A77,'Six-Factor Calc'!$A$5:$A$121,0)),"")</x:f>
        <x:v>-0.007467586758186429</x:v>
      </x:c>
      <x:c r="T77" s="47" t="str">
        <x:f>IFERROR(INDEX('Six-Factor Calc'!$T$5:$T$121,MATCH($A77,'Six-Factor Calc'!$A$5:$A$121,0)),"")</x:f>
        <x:v>OK</x:v>
      </x:c>
      <x:c r="U77" s="52" t="n">
        <x:f>IFERROR(INDEX('Six-Factor Calc'!$U$5:$U$121,MATCH($A77,'Six-Factor Calc'!$A$5:$A$121,0)),"")</x:f>
        <x:v>2.838826836581709</x:v>
      </x:c>
      <x:c r="V77" s="47" t="n">
        <x:f>IFERROR(INDEX('Six-Factor Calc'!$V$5:$V$121,MATCH($A77,'Six-Factor Calc'!$A$5:$A$121,0)),"")</x:f>
        <x:v>110</x:v>
      </x:c>
      <x:c r="W77" s="52" t="n">
        <x:f>IFERROR(INDEX('Six-Factor Calc'!$W$5:$W$121,MATCH($A77,'Six-Factor Calc'!$A$5:$A$121,0)),"")</x:f>
        <x:v>4.212068965517242</x:v>
      </x:c>
      <x:c r="X77" s="47" t="n">
        <x:f>IFERROR(INDEX('Six-Factor Calc'!$X$5:$X$121,MATCH($A77,'Six-Factor Calc'!$A$5:$A$121,0)),"")</x:f>
        <x:v>80</x:v>
      </x:c>
      <x:c r="Y77" s="52" t="n">
        <x:f>IFERROR(INDEX('Six-Factor Calc'!$Y$5:$Y$121,MATCH($A77,'Six-Factor Calc'!$A$5:$A$121,0)),"")</x:f>
        <x:v>3.4827586206896552</x:v>
      </x:c>
      <x:c r="Z77" s="47" t="n">
        <x:f>IFERROR(INDEX('Six-Factor Calc'!$Z$5:$Z$121,MATCH($A77,'Six-Factor Calc'!$A$5:$A$121,0)),"")</x:f>
        <x:v>85</x:v>
      </x:c>
      <x:c r="AA77" s="47" t="str">
        <x:f>IFERROR(INDEX('Six-Factor Calc'!$AA$5:$AA$121,MATCH($A77,'Six-Factor Calc'!$A$5:$A$121,0)),"")</x:f>
        <x:v>Health Care</x:v>
      </x:c>
      <x:c r="AB77" s="54" t="n">
        <x:f>IFERROR(INDEX('Six-Factor Calc'!$AB$5:$AB$121,MATCH($A77,'Six-Factor Calc'!$A$5:$A$121,0)),"")</x:f>
        <x:v>46213</x:v>
      </x:c>
      <x:c r="AC77" s="54" t="n">
        <x:f>IFERROR(INDEX('Six-Factor Calc'!$AC$5:$AC$121,MATCH($A77,'Six-Factor Calc'!$A$5:$A$121,0)),"")</x:f>
        <x:v>46112</x:v>
      </x:c>
      <x:c r="AD77" s="54" t="n">
        <x:f>IFERROR(INDEX('Six-Factor Calc'!$AD$5:$AD$121,MATCH($A77,'Six-Factor Calc'!$A$5:$A$121,0)),"")</x:f>
        <x:v>46022</x:v>
      </x:c>
      <x:c r="AE77" s="47" t="str">
        <x:f>IFERROR(INDEX('Six-Factor Calc'!$AE$5:$AE$121,MATCH($A77,'Six-Factor Calc'!$A$5:$A$121,0)),"")</x:f>
        <x:v>OK</x:v>
      </x:c>
    </x:row>
    <x:row r="78">
      <x:c r="A78" s="12" t="n">
        <x:v>74</x:v>
      </x:c>
      <x:c r="B78" s="47" t="str">
        <x:f>IFERROR(INDEX('Six-Factor Calc'!$B$5:$B$121,MATCH($A78,'Six-Factor Calc'!$A$5:$A$121,0)),"")</x:f>
        <x:v>G</x:v>
      </x:c>
      <x:c r="C78" s="47" t="str">
        <x:f>IFERROR(INDEX('Six-Factor Calc'!$C$5:$C$121,MATCH($A78,'Six-Factor Calc'!$A$5:$A$121,0)),"")</x:f>
        <x:v>Genpact Ltd.</x:v>
      </x:c>
      <x:c r="D78" s="49" t="str">
        <x:f>IFERROR(INDEX('Six-Factor Calc'!$D$5:$D$121,MATCH($A78,'Six-Factor Calc'!$A$5:$A$121,0)),"")</x:f>
        <x:v>Long</x:v>
      </x:c>
      <x:c r="E78" s="49" t="n">
        <x:f>IFERROR(INDEX('Six-Factor Calc'!$E$5:$E$121,MATCH($A78,'Six-Factor Calc'!$A$5:$A$121,0)),"")</x:f>
        <x:v>0.003687</x:v>
      </x:c>
      <x:c r="F78" s="50" t="n">
        <x:f>IFERROR(INDEX('Six-Factor Calc'!$F$5:$F$121,MATCH($A78,'Six-Factor Calc'!$A$5:$A$121,0)),"")</x:f>
        <x:v>0.2642708356459945</x:v>
      </x:c>
      <x:c r="G78" s="50" t="n">
        <x:f>IFERROR(INDEX('Six-Factor Calc'!$G$5:$G$121,MATCH($A78,'Six-Factor Calc'!$A$5:$A$121,0)),"")</x:f>
        <x:v>0.15447144416502606</x:v>
      </x:c>
      <x:c r="H78" s="329" t="n">
        <x:f>IFERROR(INDEX('Six-Factor Calc'!$H$5:$H$121,MATCH($A78,'Six-Factor Calc'!$A$5:$A$121,0)),"")</x:f>
        <x:v>4.973363295624916</x:v>
      </x:c>
      <x:c r="I78" s="47" t="n">
        <x:f>IFERROR(INDEX('Six-Factor Calc'!$I$5:$I$121,MATCH($A78,'Six-Factor Calc'!$A$5:$A$121,0)),"")</x:f>
        <x:v>6</x:v>
      </x:c>
      <x:c r="J78" s="52" t="n">
        <x:f>IFERROR(INDEX('Six-Factor Calc'!$J$5:$J$121,MATCH($A78,'Six-Factor Calc'!$A$5:$A$121,0)),"")</x:f>
        <x:v>5.112068965517242</x:v>
      </x:c>
      <x:c r="K78" s="47" t="n">
        <x:f>IFERROR(INDEX('Six-Factor Calc'!$K$5:$K$121,MATCH($A78,'Six-Factor Calc'!$A$5:$A$121,0)),"")</x:f>
        <x:v>64</x:v>
      </x:c>
      <x:c r="L78" s="52" t="n">
        <x:f>IFERROR(INDEX('Six-Factor Calc'!$L$5:$L$121,MATCH($A78,'Six-Factor Calc'!$A$5:$A$121,0)),"")</x:f>
        <x:v>4.185573122529645</x:v>
      </x:c>
      <x:c r="M78" s="47" t="n">
        <x:f>IFERROR(INDEX('Six-Factor Calc'!$M$5:$M$121,MATCH($A78,'Six-Factor Calc'!$A$5:$A$121,0)),"")</x:f>
        <x:v>85</x:v>
      </x:c>
      <x:c r="N78" s="47" t="str">
        <x:f>IFERROR(INDEX('Six-Factor Calc'!$N$5:$N$121,MATCH($A78,'Six-Factor Calc'!$A$5:$A$121,0)),"")</x:f>
        <x:v>SUE + CAR3</x:v>
      </x:c>
      <x:c r="O78" s="52" t="n">
        <x:f>IFERROR(INDEX('Six-Factor Calc'!$O$5:$O$121,MATCH($A78,'Six-Factor Calc'!$A$5:$A$121,0)),"")</x:f>
        <x:v>5.572</x:v>
      </x:c>
      <x:c r="P78" s="47" t="n">
        <x:f>IFERROR(INDEX('Six-Factor Calc'!$P$5:$P$121,MATCH($A78,'Six-Factor Calc'!$A$5:$A$121,0)),"")</x:f>
        <x:v>56</x:v>
      </x:c>
      <x:c r="Q78" s="50" t="n">
        <x:f>IFERROR(INDEX('Six-Factor Calc'!$Q$5:$Q$121,MATCH($A78,'Six-Factor Calc'!$A$5:$A$121,0)),"")</x:f>
        <x:v>1.04408</x:v>
      </x:c>
      <x:c r="R78" s="50" t="n">
        <x:f>IFERROR(INDEX('Six-Factor Calc'!$R$5:$R$121,MATCH($A78,'Six-Factor Calc'!$A$5:$A$121,0)),"")</x:f>
        <x:v>1.04775</x:v>
      </x:c>
      <x:c r="S78" s="317" t="n">
        <x:f>IFERROR(INDEX('Six-Factor Calc'!$S$5:$S$121,MATCH($A78,'Six-Factor Calc'!$A$5:$A$121,0)),"")</x:f>
        <x:v>-0.0035027439751849796</x:v>
      </x:c>
      <x:c r="T78" s="47" t="str">
        <x:f>IFERROR(INDEX('Six-Factor Calc'!$T$5:$T$121,MATCH($A78,'Six-Factor Calc'!$A$5:$A$121,0)),"")</x:f>
        <x:v>OK</x:v>
      </x:c>
      <x:c r="U78" s="52" t="n">
        <x:f>IFERROR(INDEX('Six-Factor Calc'!$U$5:$U$121,MATCH($A78,'Six-Factor Calc'!$A$5:$A$121,0)),"")</x:f>
        <x:v>8.391368065967017</x:v>
      </x:c>
      <x:c r="V78" s="47" t="n">
        <x:f>IFERROR(INDEX('Six-Factor Calc'!$V$5:$V$121,MATCH($A78,'Six-Factor Calc'!$A$5:$A$121,0)),"")</x:f>
        <x:v>16</x:v>
      </x:c>
      <x:c r="W78" s="52" t="n">
        <x:f>IFERROR(INDEX('Six-Factor Calc'!$W$5:$W$121,MATCH($A78,'Six-Factor Calc'!$A$5:$A$121,0)),"")</x:f>
        <x:v>4.306724137931035</x:v>
      </x:c>
      <x:c r="X78" s="47" t="n">
        <x:f>IFERROR(INDEX('Six-Factor Calc'!$X$5:$X$121,MATCH($A78,'Six-Factor Calc'!$A$5:$A$121,0)),"")</x:f>
        <x:v>77</x:v>
      </x:c>
      <x:c r="Y78" s="52" t="n">
        <x:f>IFERROR(INDEX('Six-Factor Calc'!$Y$5:$Y$121,MATCH($A78,'Six-Factor Calc'!$A$5:$A$121,0)),"")</x:f>
        <x:v>2.7844827586206895</x:v>
      </x:c>
      <x:c r="Z78" s="47" t="n">
        <x:f>IFERROR(INDEX('Six-Factor Calc'!$Z$5:$Z$121,MATCH($A78,'Six-Factor Calc'!$A$5:$A$121,0)),"")</x:f>
        <x:v>94</x:v>
      </x:c>
      <x:c r="AA78" s="47" t="str">
        <x:f>IFERROR(INDEX('Six-Factor Calc'!$AA$5:$AA$121,MATCH($A78,'Six-Factor Calc'!$A$5:$A$121,0)),"")</x:f>
        <x:v>Consumer Discretionary</x:v>
      </x:c>
      <x:c r="AB78" s="54" t="n">
        <x:f>IFERROR(INDEX('Six-Factor Calc'!$AB$5:$AB$121,MATCH($A78,'Six-Factor Calc'!$A$5:$A$121,0)),"")</x:f>
        <x:v>46213</x:v>
      </x:c>
      <x:c r="AC78" s="54" t="n">
        <x:f>IFERROR(INDEX('Six-Factor Calc'!$AC$5:$AC$121,MATCH($A78,'Six-Factor Calc'!$A$5:$A$121,0)),"")</x:f>
        <x:v>46112</x:v>
      </x:c>
      <x:c r="AD78" s="54" t="n">
        <x:f>IFERROR(INDEX('Six-Factor Calc'!$AD$5:$AD$121,MATCH($A78,'Six-Factor Calc'!$A$5:$A$121,0)),"")</x:f>
        <x:v>46022</x:v>
      </x:c>
      <x:c r="AE78" s="47" t="str">
        <x:f>IFERROR(INDEX('Six-Factor Calc'!$AE$5:$AE$121,MATCH($A78,'Six-Factor Calc'!$A$5:$A$121,0)),"")</x:f>
        <x:v>OK</x:v>
      </x:c>
    </x:row>
    <x:row r="79">
      <x:c r="A79" s="12" t="n">
        <x:v>75</x:v>
      </x:c>
      <x:c r="B79" s="47" t="str">
        <x:f>IFERROR(INDEX('Six-Factor Calc'!$B$5:$B$121,MATCH($A79,'Six-Factor Calc'!$A$5:$A$121,0)),"")</x:f>
        <x:v>TSCO</x:v>
      </x:c>
      <x:c r="C79" s="47" t="str">
        <x:f>IFERROR(INDEX('Six-Factor Calc'!$C$5:$C$121,MATCH($A79,'Six-Factor Calc'!$A$5:$A$121,0)),"")</x:f>
        <x:v>Tractor Supply Co.</x:v>
      </x:c>
      <x:c r="D79" s="49" t="str">
        <x:f>IFERROR(INDEX('Six-Factor Calc'!$D$5:$D$121,MATCH($A79,'Six-Factor Calc'!$A$5:$A$121,0)),"")</x:f>
        <x:v>Long</x:v>
      </x:c>
      <x:c r="E79" s="49" t="n">
        <x:f>IFERROR(INDEX('Six-Factor Calc'!$E$5:$E$121,MATCH($A79,'Six-Factor Calc'!$A$5:$A$121,0)),"")</x:f>
        <x:v>0.003872</x:v>
      </x:c>
      <x:c r="F79" s="50" t="n">
        <x:f>IFERROR(INDEX('Six-Factor Calc'!$F$5:$F$121,MATCH($A79,'Six-Factor Calc'!$A$5:$A$121,0)),"")</x:f>
        <x:v>0.28816253291639826</x:v>
      </x:c>
      <x:c r="G79" s="50" t="n">
        <x:f>IFERROR(INDEX('Six-Factor Calc'!$G$5:$G$121,MATCH($A79,'Six-Factor Calc'!$A$5:$A$121,0)),"")</x:f>
        <x:v>0.08401604455484028</x:v>
      </x:c>
      <x:c r="H79" s="329" t="n">
        <x:f>IFERROR(INDEX('Six-Factor Calc'!$H$5:$H$121,MATCH($A79,'Six-Factor Calc'!$A$5:$A$121,0)),"")</x:f>
        <x:v>4.940980509745127</x:v>
      </x:c>
      <x:c r="I79" s="47" t="n">
        <x:f>IFERROR(INDEX('Six-Factor Calc'!$I$5:$I$121,MATCH($A79,'Six-Factor Calc'!$A$5:$A$121,0)),"")</x:f>
        <x:v>6</x:v>
      </x:c>
      <x:c r="J79" s="52" t="n">
        <x:f>IFERROR(INDEX('Six-Factor Calc'!$J$5:$J$121,MATCH($A79,'Six-Factor Calc'!$A$5:$A$121,0)),"")</x:f>
        <x:v>9.379310344827585</x:v>
      </x:c>
      <x:c r="K79" s="47" t="n">
        <x:f>IFERROR(INDEX('Six-Factor Calc'!$K$5:$K$121,MATCH($A79,'Six-Factor Calc'!$A$5:$A$121,0)),"")</x:f>
        <x:v>9</x:v>
      </x:c>
      <x:c r="L79" s="52" t="n">
        <x:f>IFERROR(INDEX('Six-Factor Calc'!$L$5:$L$121,MATCH($A79,'Six-Factor Calc'!$A$5:$A$121,0)),"")</x:f>
        <x:v>2.467391304347826</x:v>
      </x:c>
      <x:c r="M79" s="47" t="n">
        <x:f>IFERROR(INDEX('Six-Factor Calc'!$M$5:$M$121,MATCH($A79,'Six-Factor Calc'!$A$5:$A$121,0)),"")</x:f>
        <x:v>108</x:v>
      </x:c>
      <x:c r="N79" s="47" t="str">
        <x:f>IFERROR(INDEX('Six-Factor Calc'!$N$5:$N$121,MATCH($A79,'Six-Factor Calc'!$A$5:$A$121,0)),"")</x:f>
        <x:v>SUE + CAR3</x:v>
      </x:c>
      <x:c r="O79" s="52" t="n">
        <x:f>IFERROR(INDEX('Six-Factor Calc'!$O$5:$O$121,MATCH($A79,'Six-Factor Calc'!$A$5:$A$121,0)),"")</x:f>
        <x:v>1.612</x:v>
      </x:c>
      <x:c r="P79" s="47" t="n">
        <x:f>IFERROR(INDEX('Six-Factor Calc'!$P$5:$P$121,MATCH($A79,'Six-Factor Calc'!$A$5:$A$121,0)),"")</x:f>
        <x:v>107</x:v>
      </x:c>
      <x:c r="Q79" s="50" t="n">
        <x:f>IFERROR(INDEX('Six-Factor Calc'!$Q$5:$Q$121,MATCH($A79,'Six-Factor Calc'!$A$5:$A$121,0)),"")</x:f>
        <x:v>0.40769</x:v>
      </x:c>
      <x:c r="R79" s="50" t="n">
        <x:f>IFERROR(INDEX('Six-Factor Calc'!$R$5:$R$121,MATCH($A79,'Six-Factor Calc'!$A$5:$A$121,0)),"")</x:f>
        <x:v>0.50009</x:v>
      </x:c>
      <x:c r="S79" s="317" t="n">
        <x:f>IFERROR(INDEX('Six-Factor Calc'!$S$5:$S$121,MATCH($A79,'Six-Factor Calc'!$A$5:$A$121,0)),"")</x:f>
        <x:v>-0.1847667419864425</x:v>
      </x:c>
      <x:c r="T79" s="47" t="str">
        <x:f>IFERROR(INDEX('Six-Factor Calc'!$T$5:$T$121,MATCH($A79,'Six-Factor Calc'!$A$5:$A$121,0)),"")</x:f>
        <x:v>OK</x:v>
      </x:c>
      <x:c r="U79" s="52" t="n">
        <x:f>IFERROR(INDEX('Six-Factor Calc'!$U$5:$U$121,MATCH($A79,'Six-Factor Calc'!$A$5:$A$121,0)),"")</x:f>
        <x:v>5.620056221889055</x:v>
      </x:c>
      <x:c r="V79" s="47" t="n">
        <x:f>IFERROR(INDEX('Six-Factor Calc'!$V$5:$V$121,MATCH($A79,'Six-Factor Calc'!$A$5:$A$121,0)),"")</x:f>
        <x:v>53</x:v>
      </x:c>
      <x:c r="W79" s="52" t="n">
        <x:f>IFERROR(INDEX('Six-Factor Calc'!$W$5:$W$121,MATCH($A79,'Six-Factor Calc'!$A$5:$A$121,0)),"")</x:f>
        <x:v>2.4136206896551724</x:v>
      </x:c>
      <x:c r="X79" s="47" t="n">
        <x:f>IFERROR(INDEX('Six-Factor Calc'!$X$5:$X$121,MATCH($A79,'Six-Factor Calc'!$A$5:$A$121,0)),"")</x:f>
        <x:v>107</x:v>
      </x:c>
      <x:c r="Y79" s="52" t="n">
        <x:f>IFERROR(INDEX('Six-Factor Calc'!$Y$5:$Y$121,MATCH($A79,'Six-Factor Calc'!$A$5:$A$121,0)),"")</x:f>
        <x:v>7.362068965517241</x:v>
      </x:c>
      <x:c r="Z79" s="47" t="n">
        <x:f>IFERROR(INDEX('Six-Factor Calc'!$Z$5:$Z$121,MATCH($A79,'Six-Factor Calc'!$A$5:$A$121,0)),"")</x:f>
        <x:v>35</x:v>
      </x:c>
      <x:c r="AA79" s="47" t="str">
        <x:f>IFERROR(INDEX('Six-Factor Calc'!$AA$5:$AA$121,MATCH($A79,'Six-Factor Calc'!$A$5:$A$121,0)),"")</x:f>
        <x:v>Consumer Discretionary</x:v>
      </x:c>
      <x:c r="AB79" s="54" t="n">
        <x:f>IFERROR(INDEX('Six-Factor Calc'!$AB$5:$AB$121,MATCH($A79,'Six-Factor Calc'!$A$5:$A$121,0)),"")</x:f>
        <x:v>46213</x:v>
      </x:c>
      <x:c r="AC79" s="54" t="n">
        <x:f>IFERROR(INDEX('Six-Factor Calc'!$AC$5:$AC$121,MATCH($A79,'Six-Factor Calc'!$A$5:$A$121,0)),"")</x:f>
        <x:v>46109</x:v>
      </x:c>
      <x:c r="AD79" s="54" t="n">
        <x:f>IFERROR(INDEX('Six-Factor Calc'!$AD$5:$AD$121,MATCH($A79,'Six-Factor Calc'!$A$5:$A$121,0)),"")</x:f>
        <x:v>46018</x:v>
      </x:c>
      <x:c r="AE79" s="47" t="str">
        <x:f>IFERROR(INDEX('Six-Factor Calc'!$AE$5:$AE$121,MATCH($A79,'Six-Factor Calc'!$A$5:$A$121,0)),"")</x:f>
        <x:v>OK</x:v>
      </x:c>
    </x:row>
    <x:row r="80">
      <x:c r="A80" s="12" t="n">
        <x:v>76</x:v>
      </x:c>
      <x:c r="B80" s="47" t="str">
        <x:f>IFERROR(INDEX('Six-Factor Calc'!$B$5:$B$121,MATCH($A80,'Six-Factor Calc'!$A$5:$A$121,0)),"")</x:f>
        <x:v>T</x:v>
      </x:c>
      <x:c r="C80" s="47" t="str">
        <x:f>IFERROR(INDEX('Six-Factor Calc'!$C$5:$C$121,MATCH($A80,'Six-Factor Calc'!$A$5:$A$121,0)),"")</x:f>
        <x:v>AT&amp;T Inc.</x:v>
      </x:c>
      <x:c r="D80" s="49" t="str">
        <x:f>IFERROR(INDEX('Six-Factor Calc'!$D$5:$D$121,MATCH($A80,'Six-Factor Calc'!$A$5:$A$121,0)),"")</x:f>
        <x:v>Long</x:v>
      </x:c>
      <x:c r="E80" s="49" t="n">
        <x:f>IFERROR(INDEX('Six-Factor Calc'!$E$5:$E$121,MATCH($A80,'Six-Factor Calc'!$A$5:$A$121,0)),"")</x:f>
        <x:v>0.003343</x:v>
      </x:c>
      <x:c r="F80" s="50" t="n">
        <x:f>IFERROR(INDEX('Six-Factor Calc'!$F$5:$F$121,MATCH($A80,'Six-Factor Calc'!$A$5:$A$121,0)),"")</x:f>
        <x:v>-0.29191779073391977</x:v>
      </x:c>
      <x:c r="G80" s="50" t="n">
        <x:f>IFERROR(INDEX('Six-Factor Calc'!$G$5:$G$121,MATCH($A80,'Six-Factor Calc'!$A$5:$A$121,0)),"")</x:f>
        <x:v>-0.24577810426140084</x:v>
      </x:c>
      <x:c r="H80" s="329" t="n">
        <x:f>IFERROR(INDEX('Six-Factor Calc'!$H$5:$H$121,MATCH($A80,'Six-Factor Calc'!$A$5:$A$121,0)),"")</x:f>
        <x:v>4.891319408477579</x:v>
      </x:c>
      <x:c r="I80" s="47" t="n">
        <x:f>IFERROR(INDEX('Six-Factor Calc'!$I$5:$I$121,MATCH($A80,'Six-Factor Calc'!$A$5:$A$121,0)),"")</x:f>
        <x:v>6</x:v>
      </x:c>
      <x:c r="J80" s="52" t="n">
        <x:f>IFERROR(INDEX('Six-Factor Calc'!$J$5:$J$121,MATCH($A80,'Six-Factor Calc'!$A$5:$A$121,0)),"")</x:f>
        <x:v>3.560344827586207</x:v>
      </x:c>
      <x:c r="K80" s="47" t="n">
        <x:f>IFERROR(INDEX('Six-Factor Calc'!$K$5:$K$121,MATCH($A80,'Six-Factor Calc'!$A$5:$A$121,0)),"")</x:f>
        <x:v>84</x:v>
      </x:c>
      <x:c r="L80" s="52" t="n">
        <x:f>IFERROR(INDEX('Six-Factor Calc'!$L$5:$L$121,MATCH($A80,'Six-Factor Calc'!$A$5:$A$121,0)),"")</x:f>
        <x:v>5.628063241106719</x:v>
      </x:c>
      <x:c r="M80" s="47" t="n">
        <x:f>IFERROR(INDEX('Six-Factor Calc'!$M$5:$M$121,MATCH($A80,'Six-Factor Calc'!$A$5:$A$121,0)),"")</x:f>
        <x:v>60</x:v>
      </x:c>
      <x:c r="N80" s="47" t="str">
        <x:f>IFERROR(INDEX('Six-Factor Calc'!$N$5:$N$121,MATCH($A80,'Six-Factor Calc'!$A$5:$A$121,0)),"")</x:f>
        <x:v>SUE + CAR3</x:v>
      </x:c>
      <x:c r="O80" s="52" t="n">
        <x:f>IFERROR(INDEX('Six-Factor Calc'!$O$5:$O$121,MATCH($A80,'Six-Factor Calc'!$A$5:$A$121,0)),"")</x:f>
        <x:v>5.104</x:v>
      </x:c>
      <x:c r="P80" s="47" t="n">
        <x:f>IFERROR(INDEX('Six-Factor Calc'!$P$5:$P$121,MATCH($A80,'Six-Factor Calc'!$A$5:$A$121,0)),"")</x:f>
        <x:v>62</x:v>
      </x:c>
      <x:c r="Q80" s="50" t="n">
        <x:f>IFERROR(INDEX('Six-Factor Calc'!$Q$5:$Q$121,MATCH($A80,'Six-Factor Calc'!$A$5:$A$121,0)),"")</x:f>
        <x:v>0.60395</x:v>
      </x:c>
      <x:c r="R80" s="50" t="n">
        <x:f>IFERROR(INDEX('Six-Factor Calc'!$R$5:$R$121,MATCH($A80,'Six-Factor Calc'!$A$5:$A$121,0)),"")</x:f>
        <x:v>0.60746</x:v>
      </x:c>
      <x:c r="S80" s="317" t="n">
        <x:f>IFERROR(INDEX('Six-Factor Calc'!$S$5:$S$121,MATCH($A80,'Six-Factor Calc'!$A$5:$A$121,0)),"")</x:f>
        <x:v>-0.005778158232640854</x:v>
      </x:c>
      <x:c r="T80" s="47" t="str">
        <x:f>IFERROR(INDEX('Six-Factor Calc'!$T$5:$T$121,MATCH($A80,'Six-Factor Calc'!$A$5:$A$121,0)),"")</x:f>
        <x:v>OK</x:v>
      </x:c>
      <x:c r="U80" s="52" t="n">
        <x:f>IFERROR(INDEX('Six-Factor Calc'!$U$5:$U$121,MATCH($A80,'Six-Factor Calc'!$A$5:$A$121,0)),"")</x:f>
        <x:v>8.734197901049475</x:v>
      </x:c>
      <x:c r="V80" s="47" t="n">
        <x:f>IFERROR(INDEX('Six-Factor Calc'!$V$5:$V$121,MATCH($A80,'Six-Factor Calc'!$A$5:$A$121,0)),"")</x:f>
        <x:v>9</x:v>
      </x:c>
      <x:c r="W80" s="52" t="n">
        <x:f>IFERROR(INDEX('Six-Factor Calc'!$W$5:$W$121,MATCH($A80,'Six-Factor Calc'!$A$5:$A$121,0)),"")</x:f>
        <x:v>4.561206896551725</x:v>
      </x:c>
      <x:c r="X80" s="47" t="n">
        <x:f>IFERROR(INDEX('Six-Factor Calc'!$X$5:$X$121,MATCH($A80,'Six-Factor Calc'!$A$5:$A$121,0)),"")</x:f>
        <x:v>68</x:v>
      </x:c>
      <x:c r="Y80" s="52" t="n">
        <x:f>IFERROR(INDEX('Six-Factor Calc'!$Y$5:$Y$121,MATCH($A80,'Six-Factor Calc'!$A$5:$A$121,0)),"")</x:f>
        <x:v>2.396551724137931</x:v>
      </x:c>
      <x:c r="Z80" s="47" t="n">
        <x:f>IFERROR(INDEX('Six-Factor Calc'!$Z$5:$Z$121,MATCH($A80,'Six-Factor Calc'!$A$5:$A$121,0)),"")</x:f>
        <x:v>99</x:v>
      </x:c>
      <x:c r="AA80" s="47" t="str">
        <x:f>IFERROR(INDEX('Six-Factor Calc'!$AA$5:$AA$121,MATCH($A80,'Six-Factor Calc'!$A$5:$A$121,0)),"")</x:f>
        <x:v>Telecommunications</x:v>
      </x:c>
      <x:c r="AB80" s="54" t="n">
        <x:f>IFERROR(INDEX('Six-Factor Calc'!$AB$5:$AB$121,MATCH($A80,'Six-Factor Calc'!$A$5:$A$121,0)),"")</x:f>
        <x:v>46213</x:v>
      </x:c>
      <x:c r="AC80" s="54" t="n">
        <x:f>IFERROR(INDEX('Six-Factor Calc'!$AC$5:$AC$121,MATCH($A80,'Six-Factor Calc'!$A$5:$A$121,0)),"")</x:f>
        <x:v>46112</x:v>
      </x:c>
      <x:c r="AD80" s="54" t="n">
        <x:f>IFERROR(INDEX('Six-Factor Calc'!$AD$5:$AD$121,MATCH($A80,'Six-Factor Calc'!$A$5:$A$121,0)),"")</x:f>
        <x:v>46022</x:v>
      </x:c>
      <x:c r="AE80" s="47" t="str">
        <x:f>IFERROR(INDEX('Six-Factor Calc'!$AE$5:$AE$121,MATCH($A80,'Six-Factor Calc'!$A$5:$A$121,0)),"")</x:f>
        <x:v>OK</x:v>
      </x:c>
    </x:row>
    <x:row r="81">
      <x:c r="A81" s="12" t="n">
        <x:v>77</x:v>
      </x:c>
      <x:c r="B81" s="47" t="str">
        <x:f>IFERROR(INDEX('Six-Factor Calc'!$B$5:$B$121,MATCH($A81,'Six-Factor Calc'!$A$5:$A$121,0)),"")</x:f>
        <x:v>MRSH</x:v>
      </x:c>
      <x:c r="C81" s="47" t="str">
        <x:f>IFERROR(INDEX('Six-Factor Calc'!$C$5:$C$121,MATCH($A81,'Six-Factor Calc'!$A$5:$A$121,0)),"")</x:f>
        <x:v>Marsh and McLennan Cos. Inc.</x:v>
      </x:c>
      <x:c r="D81" s="49" t="str">
        <x:f>IFERROR(INDEX('Six-Factor Calc'!$D$5:$D$121,MATCH($A81,'Six-Factor Calc'!$A$5:$A$121,0)),"")</x:f>
        <x:v>Long</x:v>
      </x:c>
      <x:c r="E81" s="49" t="n">
        <x:f>IFERROR(INDEX('Six-Factor Calc'!$E$5:$E$121,MATCH($A81,'Six-Factor Calc'!$A$5:$A$121,0)),"")</x:f>
        <x:v>0.004293</x:v>
      </x:c>
      <x:c r="F81" s="50" t="n">
        <x:f>IFERROR(INDEX('Six-Factor Calc'!$F$5:$F$121,MATCH($A81,'Six-Factor Calc'!$A$5:$A$121,0)),"")</x:f>
        <x:v>0.16171120689280682</x:v>
      </x:c>
      <x:c r="G81" s="50" t="n">
        <x:f>IFERROR(INDEX('Six-Factor Calc'!$G$5:$G$121,MATCH($A81,'Six-Factor Calc'!$A$5:$A$121,0)),"")</x:f>
        <x:v>-0.08191835007011287</x:v>
      </x:c>
      <x:c r="H81" s="329" t="n">
        <x:f>IFERROR(INDEX('Six-Factor Calc'!$H$5:$H$121,MATCH($A81,'Six-Factor Calc'!$A$5:$A$121,0)),"")</x:f>
        <x:v>4.879850483848983</x:v>
      </x:c>
      <x:c r="I81" s="47" t="n">
        <x:f>IFERROR(INDEX('Six-Factor Calc'!$I$5:$I$121,MATCH($A81,'Six-Factor Calc'!$A$5:$A$121,0)),"")</x:f>
        <x:v>6</x:v>
      </x:c>
      <x:c r="J81" s="52" t="n">
        <x:f>IFERROR(INDEX('Six-Factor Calc'!$J$5:$J$121,MATCH($A81,'Six-Factor Calc'!$A$5:$A$121,0)),"")</x:f>
        <x:v>3.9482758620689653</x:v>
      </x:c>
      <x:c r="K81" s="47" t="n">
        <x:f>IFERROR(INDEX('Six-Factor Calc'!$K$5:$K$121,MATCH($A81,'Six-Factor Calc'!$A$5:$A$121,0)),"")</x:f>
        <x:v>79</x:v>
      </x:c>
      <x:c r="L81" s="52" t="n">
        <x:f>IFERROR(INDEX('Six-Factor Calc'!$L$5:$L$121,MATCH($A81,'Six-Factor Calc'!$A$5:$A$121,0)),"")</x:f>
        <x:v>3.9009881422924897</x:v>
      </x:c>
      <x:c r="M81" s="47" t="n">
        <x:f>IFERROR(INDEX('Six-Factor Calc'!$M$5:$M$121,MATCH($A81,'Six-Factor Calc'!$A$5:$A$121,0)),"")</x:f>
        <x:v>90</x:v>
      </x:c>
      <x:c r="N81" s="47" t="str">
        <x:f>IFERROR(INDEX('Six-Factor Calc'!$N$5:$N$121,MATCH($A81,'Six-Factor Calc'!$A$5:$A$121,0)),"")</x:f>
        <x:v>SUE + CAR3</x:v>
      </x:c>
      <x:c r="O81" s="52" t="n">
        <x:f>IFERROR(INDEX('Six-Factor Calc'!$O$5:$O$121,MATCH($A81,'Six-Factor Calc'!$A$5:$A$121,0)),"")</x:f>
        <x:v>5.419</x:v>
      </x:c>
      <x:c r="P81" s="47" t="n">
        <x:f>IFERROR(INDEX('Six-Factor Calc'!$P$5:$P$121,MATCH($A81,'Six-Factor Calc'!$A$5:$A$121,0)),"")</x:f>
        <x:v>58</x:v>
      </x:c>
      <x:c r="Q81" s="50" t="n">
        <x:f>IFERROR(INDEX('Six-Factor Calc'!$Q$5:$Q$121,MATCH($A81,'Six-Factor Calc'!$A$5:$A$121,0)),"")</x:f>
        <x:v>1.9766</x:v>
      </x:c>
      <x:c r="R81" s="50" t="n">
        <x:f>IFERROR(INDEX('Six-Factor Calc'!$R$5:$R$121,MATCH($A81,'Six-Factor Calc'!$A$5:$A$121,0)),"")</x:f>
        <x:v>1.98461</x:v>
      </x:c>
      <x:c r="S81" s="317" t="n">
        <x:f>IFERROR(INDEX('Six-Factor Calc'!$S$5:$S$121,MATCH($A81,'Six-Factor Calc'!$A$5:$A$121,0)),"")</x:f>
        <x:v>-0.004036057462171445</x:v>
      </x:c>
      <x:c r="T81" s="47" t="str">
        <x:f>IFERROR(INDEX('Six-Factor Calc'!$T$5:$T$121,MATCH($A81,'Six-Factor Calc'!$A$5:$A$121,0)),"")</x:f>
        <x:v>OK</x:v>
      </x:c>
      <x:c r="U81" s="52" t="n">
        <x:f>IFERROR(INDEX('Six-Factor Calc'!$U$5:$U$121,MATCH($A81,'Six-Factor Calc'!$A$5:$A$121,0)),"")</x:f>
        <x:v>4.336206896551724</x:v>
      </x:c>
      <x:c r="V81" s="47" t="n">
        <x:f>IFERROR(INDEX('Six-Factor Calc'!$V$5:$V$121,MATCH($A81,'Six-Factor Calc'!$A$5:$A$121,0)),"")</x:f>
        <x:v>85</x:v>
      </x:c>
      <x:c r="W81" s="52" t="n">
        <x:f>IFERROR(INDEX('Six-Factor Calc'!$W$5:$W$121,MATCH($A81,'Six-Factor Calc'!$A$5:$A$121,0)),"")</x:f>
        <x:v>7.517241379310345</x:v>
      </x:c>
      <x:c r="X81" s="47" t="n">
        <x:f>IFERROR(INDEX('Six-Factor Calc'!$X$5:$X$121,MATCH($A81,'Six-Factor Calc'!$A$5:$A$121,0)),"")</x:f>
        <x:v>18</x:v>
      </x:c>
      <x:c r="Y81" s="52" t="n">
        <x:f>IFERROR(INDEX('Six-Factor Calc'!$Y$5:$Y$121,MATCH($A81,'Six-Factor Calc'!$A$5:$A$121,0)),"")</x:f>
        <x:v>6.275862068965517</x:v>
      </x:c>
      <x:c r="Z81" s="47" t="n">
        <x:f>IFERROR(INDEX('Six-Factor Calc'!$Z$5:$Z$121,MATCH($A81,'Six-Factor Calc'!$A$5:$A$121,0)),"")</x:f>
        <x:v>49</x:v>
      </x:c>
      <x:c r="AA81" s="47" t="str">
        <x:f>IFERROR(INDEX('Six-Factor Calc'!$AA$5:$AA$121,MATCH($A81,'Six-Factor Calc'!$A$5:$A$121,0)),"")</x:f>
        <x:v>Finance</x:v>
      </x:c>
      <x:c r="AB81" s="54" t="n">
        <x:f>IFERROR(INDEX('Six-Factor Calc'!$AB$5:$AB$121,MATCH($A81,'Six-Factor Calc'!$A$5:$A$121,0)),"")</x:f>
        <x:v>46213</x:v>
      </x:c>
      <x:c r="AC81" s="54" t="n">
        <x:f>IFERROR(INDEX('Six-Factor Calc'!$AC$5:$AC$121,MATCH($A81,'Six-Factor Calc'!$A$5:$A$121,0)),"")</x:f>
        <x:v>46112</x:v>
      </x:c>
      <x:c r="AD81" s="54" t="n">
        <x:f>IFERROR(INDEX('Six-Factor Calc'!$AD$5:$AD$121,MATCH($A81,'Six-Factor Calc'!$A$5:$A$121,0)),"")</x:f>
        <x:v>46022</x:v>
      </x:c>
      <x:c r="AE81" s="47" t="str">
        <x:f>IFERROR(INDEX('Six-Factor Calc'!$AE$5:$AE$121,MATCH($A81,'Six-Factor Calc'!$A$5:$A$121,0)),"")</x:f>
        <x:v>OK</x:v>
      </x:c>
    </x:row>
    <x:row r="82">
      <x:c r="A82" s="12" t="n">
        <x:v>78</x:v>
      </x:c>
      <x:c r="B82" s="47" t="str">
        <x:f>IFERROR(INDEX('Six-Factor Calc'!$B$5:$B$121,MATCH($A82,'Six-Factor Calc'!$A$5:$A$121,0)),"")</x:f>
        <x:v>ABT</x:v>
      </x:c>
      <x:c r="C82" s="47" t="str">
        <x:f>IFERROR(INDEX('Six-Factor Calc'!$C$5:$C$121,MATCH($A82,'Six-Factor Calc'!$A$5:$A$121,0)),"")</x:f>
        <x:v>Abbott Laboratories</x:v>
      </x:c>
      <x:c r="D82" s="49" t="str">
        <x:f>IFERROR(INDEX('Six-Factor Calc'!$D$5:$D$121,MATCH($A82,'Six-Factor Calc'!$A$5:$A$121,0)),"")</x:f>
        <x:v>Long</x:v>
      </x:c>
      <x:c r="E82" s="49" t="n">
        <x:f>IFERROR(INDEX('Six-Factor Calc'!$E$5:$E$121,MATCH($A82,'Six-Factor Calc'!$A$5:$A$121,0)),"")</x:f>
        <x:v>0.004361</x:v>
      </x:c>
      <x:c r="F82" s="50" t="n">
        <x:f>IFERROR(INDEX('Six-Factor Calc'!$F$5:$F$121,MATCH($A82,'Six-Factor Calc'!$A$5:$A$121,0)),"")</x:f>
        <x:v>0.4510200603121302</x:v>
      </x:c>
      <x:c r="G82" s="50" t="n">
        <x:f>IFERROR(INDEX('Six-Factor Calc'!$G$5:$G$121,MATCH($A82,'Six-Factor Calc'!$A$5:$A$121,0)),"")</x:f>
        <x:v>0.17762185868052782</x:v>
      </x:c>
      <x:c r="H82" s="329" t="n">
        <x:f>IFERROR(INDEX('Six-Factor Calc'!$H$5:$H$121,MATCH($A82,'Six-Factor Calc'!$A$5:$A$121,0)),"")</x:f>
        <x:v>4.877433760392531</x:v>
      </x:c>
      <x:c r="I82" s="47" t="n">
        <x:f>IFERROR(INDEX('Six-Factor Calc'!$I$5:$I$121,MATCH($A82,'Six-Factor Calc'!$A$5:$A$121,0)),"")</x:f>
        <x:v>6</x:v>
      </x:c>
      <x:c r="J82" s="52" t="n">
        <x:f>IFERROR(INDEX('Six-Factor Calc'!$J$5:$J$121,MATCH($A82,'Six-Factor Calc'!$A$5:$A$121,0)),"")</x:f>
        <x:v>4.956896551724138</x:v>
      </x:c>
      <x:c r="K82" s="47" t="n">
        <x:f>IFERROR(INDEX('Six-Factor Calc'!$K$5:$K$121,MATCH($A82,'Six-Factor Calc'!$A$5:$A$121,0)),"")</x:f>
        <x:v>66</x:v>
      </x:c>
      <x:c r="L82" s="52" t="n">
        <x:f>IFERROR(INDEX('Six-Factor Calc'!$L$5:$L$121,MATCH($A82,'Six-Factor Calc'!$A$5:$A$121,0)),"")</x:f>
        <x:v>3.324703557312253</x:v>
      </x:c>
      <x:c r="M82" s="47" t="n">
        <x:f>IFERROR(INDEX('Six-Factor Calc'!$M$5:$M$121,MATCH($A82,'Six-Factor Calc'!$A$5:$A$121,0)),"")</x:f>
        <x:v>101</x:v>
      </x:c>
      <x:c r="N82" s="47" t="str">
        <x:f>IFERROR(INDEX('Six-Factor Calc'!$N$5:$N$121,MATCH($A82,'Six-Factor Calc'!$A$5:$A$121,0)),"")</x:f>
        <x:v>SUE + CAR3</x:v>
      </x:c>
      <x:c r="O82" s="52" t="n">
        <x:f>IFERROR(INDEX('Six-Factor Calc'!$O$5:$O$121,MATCH($A82,'Six-Factor Calc'!$A$5:$A$121,0)),"")</x:f>
        <x:v>5.8870000000000005</x:v>
      </x:c>
      <x:c r="P82" s="47" t="n">
        <x:f>IFERROR(INDEX('Six-Factor Calc'!$P$5:$P$121,MATCH($A82,'Six-Factor Calc'!$A$5:$A$121,0)),"")</x:f>
        <x:v>52</x:v>
      </x:c>
      <x:c r="Q82" s="50" t="n">
        <x:f>IFERROR(INDEX('Six-Factor Calc'!$Q$5:$Q$121,MATCH($A82,'Six-Factor Calc'!$A$5:$A$121,0)),"")</x:f>
        <x:v>1.41931</x:v>
      </x:c>
      <x:c r="R82" s="50" t="n">
        <x:f>IFERROR(INDEX('Six-Factor Calc'!$R$5:$R$121,MATCH($A82,'Six-Factor Calc'!$A$5:$A$121,0)),"")</x:f>
        <x:v>1.42094</x:v>
      </x:c>
      <x:c r="S82" s="317" t="n">
        <x:f>IFERROR(INDEX('Six-Factor Calc'!$S$5:$S$121,MATCH($A82,'Six-Factor Calc'!$A$5:$A$121,0)),"")</x:f>
        <x:v>-0.0011471279575492421</x:v>
      </x:c>
      <x:c r="T82" s="47" t="str">
        <x:f>IFERROR(INDEX('Six-Factor Calc'!$T$5:$T$121,MATCH($A82,'Six-Factor Calc'!$A$5:$A$121,0)),"")</x:f>
        <x:v>OK</x:v>
      </x:c>
      <x:c r="U82" s="52" t="n">
        <x:f>IFERROR(INDEX('Six-Factor Calc'!$U$5:$U$121,MATCH($A82,'Six-Factor Calc'!$A$5:$A$121,0)),"")</x:f>
        <x:v>5.122458770614693</x:v>
      </x:c>
      <x:c r="V82" s="47" t="n">
        <x:f>IFERROR(INDEX('Six-Factor Calc'!$V$5:$V$121,MATCH($A82,'Six-Factor Calc'!$A$5:$A$121,0)),"")</x:f>
        <x:v>70</x:v>
      </x:c>
      <x:c r="W82" s="52" t="n">
        <x:f>IFERROR(INDEX('Six-Factor Calc'!$W$5:$W$121,MATCH($A82,'Six-Factor Calc'!$A$5:$A$121,0)),"")</x:f>
        <x:v>5.422413793103448</x:v>
      </x:c>
      <x:c r="X82" s="47" t="n">
        <x:f>IFERROR(INDEX('Six-Factor Calc'!$X$5:$X$121,MATCH($A82,'Six-Factor Calc'!$A$5:$A$121,0)),"")</x:f>
        <x:v>51</x:v>
      </x:c>
      <x:c r="Y82" s="52" t="n">
        <x:f>IFERROR(INDEX('Six-Factor Calc'!$Y$5:$Y$121,MATCH($A82,'Six-Factor Calc'!$A$5:$A$121,0)),"")</x:f>
        <x:v>5.887931034482759</x:v>
      </x:c>
      <x:c r="Z82" s="47" t="n">
        <x:f>IFERROR(INDEX('Six-Factor Calc'!$Z$5:$Z$121,MATCH($A82,'Six-Factor Calc'!$A$5:$A$121,0)),"")</x:f>
        <x:v>54</x:v>
      </x:c>
      <x:c r="AA82" s="47" t="str">
        <x:f>IFERROR(INDEX('Six-Factor Calc'!$AA$5:$AA$121,MATCH($A82,'Six-Factor Calc'!$A$5:$A$121,0)),"")</x:f>
        <x:v>Health Care</x:v>
      </x:c>
      <x:c r="AB82" s="54" t="n">
        <x:f>IFERROR(INDEX('Six-Factor Calc'!$AB$5:$AB$121,MATCH($A82,'Six-Factor Calc'!$A$5:$A$121,0)),"")</x:f>
        <x:v>46213</x:v>
      </x:c>
      <x:c r="AC82" s="54" t="n">
        <x:f>IFERROR(INDEX('Six-Factor Calc'!$AC$5:$AC$121,MATCH($A82,'Six-Factor Calc'!$A$5:$A$121,0)),"")</x:f>
        <x:v>46112</x:v>
      </x:c>
      <x:c r="AD82" s="54" t="n">
        <x:f>IFERROR(INDEX('Six-Factor Calc'!$AD$5:$AD$121,MATCH($A82,'Six-Factor Calc'!$A$5:$A$121,0)),"")</x:f>
        <x:v>46022</x:v>
      </x:c>
      <x:c r="AE82" s="47" t="str">
        <x:f>IFERROR(INDEX('Six-Factor Calc'!$AE$5:$AE$121,MATCH($A82,'Six-Factor Calc'!$A$5:$A$121,0)),"")</x:f>
        <x:v>OK</x:v>
      </x:c>
    </x:row>
    <x:row r="83">
      <x:c r="A83" s="12" t="n">
        <x:v>79</x:v>
      </x:c>
      <x:c r="B83" s="47" t="str">
        <x:f>IFERROR(INDEX('Six-Factor Calc'!$B$5:$B$121,MATCH($A83,'Six-Factor Calc'!$A$5:$A$121,0)),"")</x:f>
        <x:v>KR</x:v>
      </x:c>
      <x:c r="C83" s="47" t="str">
        <x:f>IFERROR(INDEX('Six-Factor Calc'!$C$5:$C$121,MATCH($A83,'Six-Factor Calc'!$A$5:$A$121,0)),"")</x:f>
        <x:v>The Kroger Co.</x:v>
      </x:c>
      <x:c r="D83" s="49" t="str">
        <x:f>IFERROR(INDEX('Six-Factor Calc'!$D$5:$D$121,MATCH($A83,'Six-Factor Calc'!$A$5:$A$121,0)),"")</x:f>
        <x:v>Long</x:v>
      </x:c>
      <x:c r="E83" s="49" t="n">
        <x:f>IFERROR(INDEX('Six-Factor Calc'!$E$5:$E$121,MATCH($A83,'Six-Factor Calc'!$A$5:$A$121,0)),"")</x:f>
        <x:v>0.003644</x:v>
      </x:c>
      <x:c r="F83" s="50" t="n">
        <x:f>IFERROR(INDEX('Six-Factor Calc'!$F$5:$F$121,MATCH($A83,'Six-Factor Calc'!$A$5:$A$121,0)),"")</x:f>
        <x:v>-0.10838777477724561</x:v>
      </x:c>
      <x:c r="G83" s="50" t="n">
        <x:f>IFERROR(INDEX('Six-Factor Calc'!$G$5:$G$121,MATCH($A83,'Six-Factor Calc'!$A$5:$A$121,0)),"")</x:f>
        <x:v>0.0018546801043051032</x:v>
      </x:c>
      <x:c r="H83" s="329" t="n">
        <x:f>IFERROR(INDEX('Six-Factor Calc'!$H$5:$H$121,MATCH($A83,'Six-Factor Calc'!$A$5:$A$121,0)),"")</x:f>
        <x:v>4.81795400027259</x:v>
      </x:c>
      <x:c r="I83" s="47" t="n">
        <x:f>IFERROR(INDEX('Six-Factor Calc'!$I$5:$I$121,MATCH($A83,'Six-Factor Calc'!$A$5:$A$121,0)),"")</x:f>
        <x:v>6</x:v>
      </x:c>
      <x:c r="J83" s="52" t="n">
        <x:f>IFERROR(INDEX('Six-Factor Calc'!$J$5:$J$121,MATCH($A83,'Six-Factor Calc'!$A$5:$A$121,0)),"")</x:f>
        <x:v>2.9396551724137927</x:v>
      </x:c>
      <x:c r="K83" s="47" t="n">
        <x:f>IFERROR(INDEX('Six-Factor Calc'!$K$5:$K$121,MATCH($A83,'Six-Factor Calc'!$A$5:$A$121,0)),"")</x:f>
        <x:v>92</x:v>
      </x:c>
      <x:c r="L83" s="52" t="n">
        <x:f>IFERROR(INDEX('Six-Factor Calc'!$L$5:$L$121,MATCH($A83,'Six-Factor Calc'!$A$5:$A$121,0)),"")</x:f>
        <x:v>2.9138339920948617</x:v>
      </x:c>
      <x:c r="M83" s="47" t="n">
        <x:f>IFERROR(INDEX('Six-Factor Calc'!$M$5:$M$121,MATCH($A83,'Six-Factor Calc'!$A$5:$A$121,0)),"")</x:f>
        <x:v>105</x:v>
      </x:c>
      <x:c r="N83" s="47" t="str">
        <x:f>IFERROR(INDEX('Six-Factor Calc'!$N$5:$N$121,MATCH($A83,'Six-Factor Calc'!$A$5:$A$121,0)),"")</x:f>
        <x:v>SUE + CAR3</x:v>
      </x:c>
      <x:c r="O83" s="52" t="n">
        <x:f>IFERROR(INDEX('Six-Factor Calc'!$O$5:$O$121,MATCH($A83,'Six-Factor Calc'!$A$5:$A$121,0)),"")</x:f>
        <x:v>6.193</x:v>
      </x:c>
      <x:c r="P83" s="47" t="n">
        <x:f>IFERROR(INDEX('Six-Factor Calc'!$P$5:$P$121,MATCH($A83,'Six-Factor Calc'!$A$5:$A$121,0)),"")</x:f>
        <x:v>47</x:v>
      </x:c>
      <x:c r="Q83" s="50" t="n">
        <x:f>IFERROR(INDEX('Six-Factor Calc'!$Q$5:$Q$121,MATCH($A83,'Six-Factor Calc'!$A$5:$A$121,0)),"")</x:f>
        <x:v>1.05481</x:v>
      </x:c>
      <x:c r="R83" s="50" t="n">
        <x:f>IFERROR(INDEX('Six-Factor Calc'!$R$5:$R$121,MATCH($A83,'Six-Factor Calc'!$A$5:$A$121,0)),"")</x:f>
        <x:v>1.05481</x:v>
      </x:c>
      <x:c r="S83" s="317" t="n">
        <x:f>IFERROR(INDEX('Six-Factor Calc'!$S$5:$S$121,MATCH($A83,'Six-Factor Calc'!$A$5:$A$121,0)),"")</x:f>
        <x:v>0</x:v>
      </x:c>
      <x:c r="T83" s="47" t="str">
        <x:f>IFERROR(INDEX('Six-Factor Calc'!$T$5:$T$121,MATCH($A83,'Six-Factor Calc'!$A$5:$A$121,0)),"")</x:f>
        <x:v>OK</x:v>
      </x:c>
      <x:c r="U83" s="52" t="n">
        <x:f>IFERROR(INDEX('Six-Factor Calc'!$U$5:$U$121,MATCH($A83,'Six-Factor Calc'!$A$5:$A$121,0)),"")</x:f>
        <x:v>5.735356071964017</x:v>
      </x:c>
      <x:c r="V83" s="47" t="n">
        <x:f>IFERROR(INDEX('Six-Factor Calc'!$V$5:$V$121,MATCH($A83,'Six-Factor Calc'!$A$5:$A$121,0)),"")</x:f>
        <x:v>52</x:v>
      </x:c>
      <x:c r="W83" s="52" t="n">
        <x:f>IFERROR(INDEX('Six-Factor Calc'!$W$5:$W$121,MATCH($A83,'Six-Factor Calc'!$A$5:$A$121,0)),"")</x:f>
        <x:v>6.097413793103448</x:v>
      </x:c>
      <x:c r="X83" s="47" t="n">
        <x:f>IFERROR(INDEX('Six-Factor Calc'!$X$5:$X$121,MATCH($A83,'Six-Factor Calc'!$A$5:$A$121,0)),"")</x:f>
        <x:v>41</x:v>
      </x:c>
      <x:c r="Y83" s="52" t="n">
        <x:f>IFERROR(INDEX('Six-Factor Calc'!$Y$5:$Y$121,MATCH($A83,'Six-Factor Calc'!$A$5:$A$121,0)),"")</x:f>
        <x:v>9.068965517241379</x:v>
      </x:c>
      <x:c r="Z83" s="47" t="n">
        <x:f>IFERROR(INDEX('Six-Factor Calc'!$Z$5:$Z$121,MATCH($A83,'Six-Factor Calc'!$A$5:$A$121,0)),"")</x:f>
        <x:v>13</x:v>
      </x:c>
      <x:c r="AA83" s="47" t="str">
        <x:f>IFERROR(INDEX('Six-Factor Calc'!$AA$5:$AA$121,MATCH($A83,'Six-Factor Calc'!$A$5:$A$121,0)),"")</x:f>
        <x:v>Consumer Staples</x:v>
      </x:c>
      <x:c r="AB83" s="54" t="n">
        <x:f>IFERROR(INDEX('Six-Factor Calc'!$AB$5:$AB$121,MATCH($A83,'Six-Factor Calc'!$A$5:$A$121,0)),"")</x:f>
        <x:v>46213</x:v>
      </x:c>
      <x:c r="AC83" s="54" t="n">
        <x:f>IFERROR(INDEX('Six-Factor Calc'!$AC$5:$AC$121,MATCH($A83,'Six-Factor Calc'!$A$5:$A$121,0)),"")</x:f>
        <x:v>46165</x:v>
      </x:c>
      <x:c r="AD83" s="54" t="n">
        <x:f>IFERROR(INDEX('Six-Factor Calc'!$AD$5:$AD$121,MATCH($A83,'Six-Factor Calc'!$A$5:$A$121,0)),"")</x:f>
        <x:v>46053</x:v>
      </x:c>
      <x:c r="AE83" s="47" t="str">
        <x:f>IFERROR(INDEX('Six-Factor Calc'!$AE$5:$AE$121,MATCH($A83,'Six-Factor Calc'!$A$5:$A$121,0)),"")</x:f>
        <x:v>OK</x:v>
      </x:c>
    </x:row>
    <x:row r="84">
      <x:c r="A84" s="12" t="n">
        <x:v>80</x:v>
      </x:c>
      <x:c r="B84" s="47" t="str">
        <x:f>IFERROR(INDEX('Six-Factor Calc'!$B$5:$B$121,MATCH($A84,'Six-Factor Calc'!$A$5:$A$121,0)),"")</x:f>
        <x:v>ERIE</x:v>
      </x:c>
      <x:c r="C84" s="47" t="str">
        <x:f>IFERROR(INDEX('Six-Factor Calc'!$C$5:$C$121,MATCH($A84,'Six-Factor Calc'!$A$5:$A$121,0)),"")</x:f>
        <x:v>Erie Indemnity Co.</x:v>
      </x:c>
      <x:c r="D84" s="49" t="str">
        <x:f>IFERROR(INDEX('Six-Factor Calc'!$D$5:$D$121,MATCH($A84,'Six-Factor Calc'!$A$5:$A$121,0)),"")</x:f>
        <x:v>Long</x:v>
      </x:c>
      <x:c r="E84" s="49" t="n">
        <x:f>IFERROR(INDEX('Six-Factor Calc'!$E$5:$E$121,MATCH($A84,'Six-Factor Calc'!$A$5:$A$121,0)),"")</x:f>
        <x:v>0.00433</x:v>
      </x:c>
      <x:c r="F84" s="50" t="n">
        <x:f>IFERROR(INDEX('Six-Factor Calc'!$F$5:$F$121,MATCH($A84,'Six-Factor Calc'!$A$5:$A$121,0)),"")</x:f>
        <x:v>0.08123755805399635</x:v>
      </x:c>
      <x:c r="G84" s="50" t="n">
        <x:f>IFERROR(INDEX('Six-Factor Calc'!$G$5:$G$121,MATCH($A84,'Six-Factor Calc'!$A$5:$A$121,0)),"")</x:f>
        <x:v>-0.030773687382989037</x:v>
      </x:c>
      <x:c r="H84" s="329" t="n">
        <x:f>IFERROR(INDEX('Six-Factor Calc'!$H$5:$H$121,MATCH($A84,'Six-Factor Calc'!$A$5:$A$121,0)),"")</x:f>
        <x:v>4.79223688155922</x:v>
      </x:c>
      <x:c r="I84" s="47" t="n">
        <x:f>IFERROR(INDEX('Six-Factor Calc'!$I$5:$I$121,MATCH($A84,'Six-Factor Calc'!$A$5:$A$121,0)),"")</x:f>
        <x:v>6</x:v>
      </x:c>
      <x:c r="J84" s="52" t="n">
        <x:f>IFERROR(INDEX('Six-Factor Calc'!$J$5:$J$121,MATCH($A84,'Six-Factor Calc'!$A$5:$A$121,0)),"")</x:f>
        <x:v>9.068965517241379</x:v>
      </x:c>
      <x:c r="K84" s="47" t="n">
        <x:f>IFERROR(INDEX('Six-Factor Calc'!$K$5:$K$121,MATCH($A84,'Six-Factor Calc'!$A$5:$A$121,0)),"")</x:f>
        <x:v>13</x:v>
      </x:c>
      <x:c r="L84" s="52" t="n">
        <x:f>IFERROR(INDEX('Six-Factor Calc'!$L$5:$L$121,MATCH($A84,'Six-Factor Calc'!$A$5:$A$121,0)),"")</x:f>
        <x:v>2.1739130434782608</x:v>
      </x:c>
      <x:c r="M84" s="47" t="n">
        <x:f>IFERROR(INDEX('Six-Factor Calc'!$M$5:$M$121,MATCH($A84,'Six-Factor Calc'!$A$5:$A$121,0)),"")</x:f>
        <x:v>112</x:v>
      </x:c>
      <x:c r="N84" s="47" t="str">
        <x:f>IFERROR(INDEX('Six-Factor Calc'!$N$5:$N$121,MATCH($A84,'Six-Factor Calc'!$A$5:$A$121,0)),"")</x:f>
        <x:v>CAR3 only</x:v>
      </x:c>
      <x:c r="O84" s="52" t="n">
        <x:f>IFERROR(INDEX('Six-Factor Calc'!$O$5:$O$121,MATCH($A84,'Six-Factor Calc'!$A$5:$A$121,0)),"")</x:f>
        <x:v>4.096</x:v>
      </x:c>
      <x:c r="P84" s="47" t="n">
        <x:f>IFERROR(INDEX('Six-Factor Calc'!$P$5:$P$121,MATCH($A84,'Six-Factor Calc'!$A$5:$A$121,0)),"")</x:f>
        <x:v>75</x:v>
      </x:c>
      <x:c r="Q84" s="50" t="n">
        <x:f>IFERROR(INDEX('Six-Factor Calc'!$Q$5:$Q$121,MATCH($A84,'Six-Factor Calc'!$A$5:$A$121,0)),"")</x:f>
        <x:v>3.41</x:v>
      </x:c>
      <x:c r="R84" s="50" t="n">
        <x:f>IFERROR(INDEX('Six-Factor Calc'!$R$5:$R$121,MATCH($A84,'Six-Factor Calc'!$A$5:$A$121,0)),"")</x:f>
        <x:v>3.46</x:v>
      </x:c>
      <x:c r="S84" s="317" t="n">
        <x:f>IFERROR(INDEX('Six-Factor Calc'!$S$5:$S$121,MATCH($A84,'Six-Factor Calc'!$A$5:$A$121,0)),"")</x:f>
        <x:v>-0.01445086705202307</x:v>
      </x:c>
      <x:c r="T84" s="47" t="str">
        <x:f>IFERROR(INDEX('Six-Factor Calc'!$T$5:$T$121,MATCH($A84,'Six-Factor Calc'!$A$5:$A$121,0)),"")</x:f>
        <x:v>THIN COVERAGE</x:v>
      </x:c>
      <x:c r="U84" s="52" t="n">
        <x:f>IFERROR(INDEX('Six-Factor Calc'!$U$5:$U$121,MATCH($A84,'Six-Factor Calc'!$A$5:$A$121,0)),"")</x:f>
        <x:v>5.112068965517241</x:v>
      </x:c>
      <x:c r="V84" s="47" t="n">
        <x:f>IFERROR(INDEX('Six-Factor Calc'!$V$5:$V$121,MATCH($A84,'Six-Factor Calc'!$A$5:$A$121,0)),"")</x:f>
        <x:v>71</x:v>
      </x:c>
      <x:c r="W84" s="52" t="n">
        <x:f>IFERROR(INDEX('Six-Factor Calc'!$W$5:$W$121,MATCH($A84,'Six-Factor Calc'!$A$5:$A$121,0)),"")</x:f>
        <x:v>2.086206896551724</x:v>
      </x:c>
      <x:c r="X84" s="47" t="n">
        <x:f>IFERROR(INDEX('Six-Factor Calc'!$X$5:$X$121,MATCH($A84,'Six-Factor Calc'!$A$5:$A$121,0)),"")</x:f>
        <x:v>110</x:v>
      </x:c>
      <x:c r="Y84" s="52" t="n">
        <x:f>IFERROR(INDEX('Six-Factor Calc'!$Y$5:$Y$121,MATCH($A84,'Six-Factor Calc'!$A$5:$A$121,0)),"")</x:f>
        <x:v>4.491379310344827</x:v>
      </x:c>
      <x:c r="Z84" s="47" t="n">
        <x:f>IFERROR(INDEX('Six-Factor Calc'!$Z$5:$Z$121,MATCH($A84,'Six-Factor Calc'!$A$5:$A$121,0)),"")</x:f>
        <x:v>72</x:v>
      </x:c>
      <x:c r="AA84" s="47" t="str">
        <x:f>IFERROR(INDEX('Six-Factor Calc'!$AA$5:$AA$121,MATCH($A84,'Six-Factor Calc'!$A$5:$A$121,0)),"")</x:f>
        <x:v>Finance</x:v>
      </x:c>
      <x:c r="AB84" s="54" t="n">
        <x:f>IFERROR(INDEX('Six-Factor Calc'!$AB$5:$AB$121,MATCH($A84,'Six-Factor Calc'!$A$5:$A$121,0)),"")</x:f>
        <x:v>46213</x:v>
      </x:c>
      <x:c r="AC84" s="54" t="n">
        <x:f>IFERROR(INDEX('Six-Factor Calc'!$AC$5:$AC$121,MATCH($A84,'Six-Factor Calc'!$A$5:$A$121,0)),"")</x:f>
        <x:v>46112</x:v>
      </x:c>
      <x:c r="AD84" s="54" t="n">
        <x:f>IFERROR(INDEX('Six-Factor Calc'!$AD$5:$AD$121,MATCH($A84,'Six-Factor Calc'!$A$5:$A$121,0)),"")</x:f>
        <x:v>46022</x:v>
      </x:c>
      <x:c r="AE84" s="47" t="str">
        <x:f>IFERROR(INDEX('Six-Factor Calc'!$AE$5:$AE$121,MATCH($A84,'Six-Factor Calc'!$A$5:$A$121,0)),"")</x:f>
        <x:v>OK</x:v>
      </x:c>
    </x:row>
    <x:row r="85">
      <x:c r="A85" s="12" t="n">
        <x:v>81</x:v>
      </x:c>
      <x:c r="B85" s="47" t="str">
        <x:f>IFERROR(INDEX('Six-Factor Calc'!$B$5:$B$121,MATCH($A85,'Six-Factor Calc'!$A$5:$A$121,0)),"")</x:f>
        <x:v>MCK</x:v>
      </x:c>
      <x:c r="C85" s="47" t="str">
        <x:f>IFERROR(INDEX('Six-Factor Calc'!$C$5:$C$121,MATCH($A85,'Six-Factor Calc'!$A$5:$A$121,0)),"")</x:f>
        <x:v>McKesson Corp.</x:v>
      </x:c>
      <x:c r="D85" s="49" t="str">
        <x:f>IFERROR(INDEX('Six-Factor Calc'!$D$5:$D$121,MATCH($A85,'Six-Factor Calc'!$A$5:$A$121,0)),"")</x:f>
        <x:v>Long</x:v>
      </x:c>
      <x:c r="E85" s="49" t="n">
        <x:f>IFERROR(INDEX('Six-Factor Calc'!$E$5:$E$121,MATCH($A85,'Six-Factor Calc'!$A$5:$A$121,0)),"")</x:f>
        <x:v>0.004158</x:v>
      </x:c>
      <x:c r="F85" s="50" t="n">
        <x:f>IFERROR(INDEX('Six-Factor Calc'!$F$5:$F$121,MATCH($A85,'Six-Factor Calc'!$A$5:$A$121,0)),"")</x:f>
        <x:v>0.055227106225139294</x:v>
      </x:c>
      <x:c r="G85" s="50" t="n">
        <x:f>IFERROR(INDEX('Six-Factor Calc'!$G$5:$G$121,MATCH($A85,'Six-Factor Calc'!$A$5:$A$121,0)),"")</x:f>
        <x:v>0.02312889354101876</x:v>
      </x:c>
      <x:c r="H85" s="329" t="n">
        <x:f>IFERROR(INDEX('Six-Factor Calc'!$H$5:$H$121,MATCH($A85,'Six-Factor Calc'!$A$5:$A$121,0)),"")</x:f>
        <x:v>4.70952562355186</x:v>
      </x:c>
      <x:c r="I85" s="47" t="n">
        <x:f>IFERROR(INDEX('Six-Factor Calc'!$I$5:$I$121,MATCH($A85,'Six-Factor Calc'!$A$5:$A$121,0)),"")</x:f>
        <x:v>6</x:v>
      </x:c>
      <x:c r="J85" s="52" t="n">
        <x:f>IFERROR(INDEX('Six-Factor Calc'!$J$5:$J$121,MATCH($A85,'Six-Factor Calc'!$A$5:$A$121,0)),"")</x:f>
        <x:v>1.1551724137931034</x:v>
      </x:c>
      <x:c r="K85" s="47" t="n">
        <x:f>IFERROR(INDEX('Six-Factor Calc'!$K$5:$K$121,MATCH($A85,'Six-Factor Calc'!$A$5:$A$121,0)),"")</x:f>
        <x:v>113</x:v>
      </x:c>
      <x:c r="L85" s="52" t="n">
        <x:f>IFERROR(INDEX('Six-Factor Calc'!$L$5:$L$121,MATCH($A85,'Six-Factor Calc'!$A$5:$A$121,0)),"")</x:f>
        <x:v>4.738735177865612</x:v>
      </x:c>
      <x:c r="M85" s="47" t="n">
        <x:f>IFERROR(INDEX('Six-Factor Calc'!$M$5:$M$121,MATCH($A85,'Six-Factor Calc'!$A$5:$A$121,0)),"")</x:f>
        <x:v>77</x:v>
      </x:c>
      <x:c r="N85" s="47" t="str">
        <x:f>IFERROR(INDEX('Six-Factor Calc'!$N$5:$N$121,MATCH($A85,'Six-Factor Calc'!$A$5:$A$121,0)),"")</x:f>
        <x:v>SUE + CAR3</x:v>
      </x:c>
      <x:c r="O85" s="52" t="n">
        <x:f>IFERROR(INDEX('Six-Factor Calc'!$O$5:$O$121,MATCH($A85,'Six-Factor Calc'!$A$5:$A$121,0)),"")</x:f>
        <x:v>7.201</x:v>
      </x:c>
      <x:c r="P85" s="47" t="n">
        <x:f>IFERROR(INDEX('Six-Factor Calc'!$P$5:$P$121,MATCH($A85,'Six-Factor Calc'!$A$5:$A$121,0)),"")</x:f>
        <x:v>37</x:v>
      </x:c>
      <x:c r="Q85" s="50" t="n">
        <x:f>IFERROR(INDEX('Six-Factor Calc'!$Q$5:$Q$121,MATCH($A85,'Six-Factor Calc'!$A$5:$A$121,0)),"")</x:f>
        <x:v>10.81569</x:v>
      </x:c>
      <x:c r="R85" s="50" t="n">
        <x:f>IFERROR(INDEX('Six-Factor Calc'!$R$5:$R$121,MATCH($A85,'Six-Factor Calc'!$A$5:$A$121,0)),"")</x:f>
        <x:v>10.74442</x:v>
      </x:c>
      <x:c r="S85" s="317" t="n">
        <x:f>IFERROR(INDEX('Six-Factor Calc'!$S$5:$S$121,MATCH($A85,'Six-Factor Calc'!$A$5:$A$121,0)),"")</x:f>
        <x:v>0.006633210540913346</x:v>
      </x:c>
      <x:c r="T85" s="47" t="str">
        <x:f>IFERROR(INDEX('Six-Factor Calc'!$T$5:$T$121,MATCH($A85,'Six-Factor Calc'!$A$5:$A$121,0)),"")</x:f>
        <x:v>OK</x:v>
      </x:c>
      <x:c r="U85" s="52" t="n">
        <x:f>IFERROR(INDEX('Six-Factor Calc'!$U$5:$U$121,MATCH($A85,'Six-Factor Calc'!$A$5:$A$121,0)),"")</x:f>
        <x:v>5.844145427286357</x:v>
      </x:c>
      <x:c r="V85" s="47" t="n">
        <x:f>IFERROR(INDEX('Six-Factor Calc'!$V$5:$V$121,MATCH($A85,'Six-Factor Calc'!$A$5:$A$121,0)),"")</x:f>
        <x:v>51</x:v>
      </x:c>
      <x:c r="W85" s="52" t="n">
        <x:f>IFERROR(INDEX('Six-Factor Calc'!$W$5:$W$121,MATCH($A85,'Six-Factor Calc'!$A$5:$A$121,0)),"")</x:f>
        <x:v>6.047758620689655</x:v>
      </x:c>
      <x:c r="X85" s="47" t="n">
        <x:f>IFERROR(INDEX('Six-Factor Calc'!$X$5:$X$121,MATCH($A85,'Six-Factor Calc'!$A$5:$A$121,0)),"")</x:f>
        <x:v>42</x:v>
      </x:c>
      <x:c r="Y85" s="52" t="n">
        <x:f>IFERROR(INDEX('Six-Factor Calc'!$Y$5:$Y$121,MATCH($A85,'Six-Factor Calc'!$A$5:$A$121,0)),"")</x:f>
        <x:v>6.431034482758621</x:v>
      </x:c>
      <x:c r="Z85" s="47" t="n">
        <x:f>IFERROR(INDEX('Six-Factor Calc'!$Z$5:$Z$121,MATCH($A85,'Six-Factor Calc'!$A$5:$A$121,0)),"")</x:f>
        <x:v>47</x:v>
      </x:c>
      <x:c r="AA85" s="47" t="str">
        <x:f>IFERROR(INDEX('Six-Factor Calc'!$AA$5:$AA$121,MATCH($A85,'Six-Factor Calc'!$A$5:$A$121,0)),"")</x:f>
        <x:v>Health Care</x:v>
      </x:c>
      <x:c r="AB85" s="54" t="n">
        <x:f>IFERROR(INDEX('Six-Factor Calc'!$AB$5:$AB$121,MATCH($A85,'Six-Factor Calc'!$A$5:$A$121,0)),"")</x:f>
        <x:v>46213</x:v>
      </x:c>
      <x:c r="AC85" s="54" t="n">
        <x:f>IFERROR(INDEX('Six-Factor Calc'!$AC$5:$AC$121,MATCH($A85,'Six-Factor Calc'!$A$5:$A$121,0)),"")</x:f>
        <x:v>46112</x:v>
      </x:c>
      <x:c r="AD85" s="54" t="n">
        <x:f>IFERROR(INDEX('Six-Factor Calc'!$AD$5:$AD$121,MATCH($A85,'Six-Factor Calc'!$A$5:$A$121,0)),"")</x:f>
        <x:v>46112</x:v>
      </x:c>
      <x:c r="AE85" s="47" t="str">
        <x:f>IFERROR(INDEX('Six-Factor Calc'!$AE$5:$AE$121,MATCH($A85,'Six-Factor Calc'!$A$5:$A$121,0)),"")</x:f>
        <x:v>OK</x:v>
      </x:c>
    </x:row>
    <x:row r="86">
      <x:c r="A86" s="12" t="n">
        <x:v>82</x:v>
      </x:c>
      <x:c r="B86" s="47" t="str">
        <x:f>IFERROR(INDEX('Six-Factor Calc'!$B$5:$B$121,MATCH($A86,'Six-Factor Calc'!$A$5:$A$121,0)),"")</x:f>
        <x:v>LMT</x:v>
      </x:c>
      <x:c r="C86" s="47" t="str">
        <x:f>IFERROR(INDEX('Six-Factor Calc'!$C$5:$C$121,MATCH($A86,'Six-Factor Calc'!$A$5:$A$121,0)),"")</x:f>
        <x:v>Lockheed Martin Corp.</x:v>
      </x:c>
      <x:c r="D86" s="49" t="str">
        <x:f>IFERROR(INDEX('Six-Factor Calc'!$D$5:$D$121,MATCH($A86,'Six-Factor Calc'!$A$5:$A$121,0)),"")</x:f>
        <x:v>Long</x:v>
      </x:c>
      <x:c r="E86" s="49" t="n">
        <x:f>IFERROR(INDEX('Six-Factor Calc'!$E$5:$E$121,MATCH($A86,'Six-Factor Calc'!$A$5:$A$121,0)),"")</x:f>
        <x:v>0.003599</x:v>
      </x:c>
      <x:c r="F86" s="50" t="n">
        <x:f>IFERROR(INDEX('Six-Factor Calc'!$F$5:$F$121,MATCH($A86,'Six-Factor Calc'!$A$5:$A$121,0)),"")</x:f>
        <x:v>-0.046373329483009</x:v>
      </x:c>
      <x:c r="G86" s="50" t="n">
        <x:f>IFERROR(INDEX('Six-Factor Calc'!$G$5:$G$121,MATCH($A86,'Six-Factor Calc'!$A$5:$A$121,0)),"")</x:f>
        <x:v>-0.06476912300554814</x:v>
      </x:c>
      <x:c r="H86" s="329" t="n">
        <x:f>IFERROR(INDEX('Six-Factor Calc'!$H$5:$H$121,MATCH($A86,'Six-Factor Calc'!$A$5:$A$121,0)),"")</x:f>
        <x:v>4.656407046476762</x:v>
      </x:c>
      <x:c r="I86" s="47" t="n">
        <x:f>IFERROR(INDEX('Six-Factor Calc'!$I$5:$I$121,MATCH($A86,'Six-Factor Calc'!$A$5:$A$121,0)),"")</x:f>
        <x:v>6</x:v>
      </x:c>
      <x:c r="J86" s="52" t="n">
        <x:f>IFERROR(INDEX('Six-Factor Calc'!$J$5:$J$121,MATCH($A86,'Six-Factor Calc'!$A$5:$A$121,0)),"")</x:f>
        <x:v>6.586206896551724</x:v>
      </x:c>
      <x:c r="K86" s="47" t="n">
        <x:f>IFERROR(INDEX('Six-Factor Calc'!$K$5:$K$121,MATCH($A86,'Six-Factor Calc'!$A$5:$A$121,0)),"")</x:f>
        <x:v>45</x:v>
      </x:c>
      <x:c r="L86" s="52" t="n">
        <x:f>IFERROR(INDEX('Six-Factor Calc'!$L$5:$L$121,MATCH($A86,'Six-Factor Calc'!$A$5:$A$121,0)),"")</x:f>
        <x:v>2.3304347826086955</x:v>
      </x:c>
      <x:c r="M86" s="47" t="n">
        <x:f>IFERROR(INDEX('Six-Factor Calc'!$M$5:$M$121,MATCH($A86,'Six-Factor Calc'!$A$5:$A$121,0)),"")</x:f>
        <x:v>110</x:v>
      </x:c>
      <x:c r="N86" s="47" t="str">
        <x:f>IFERROR(INDEX('Six-Factor Calc'!$N$5:$N$121,MATCH($A86,'Six-Factor Calc'!$A$5:$A$121,0)),"")</x:f>
        <x:v>SUE + CAR3</x:v>
      </x:c>
      <x:c r="O86" s="52" t="n">
        <x:f>IFERROR(INDEX('Six-Factor Calc'!$O$5:$O$121,MATCH($A86,'Six-Factor Calc'!$A$5:$A$121,0)),"")</x:f>
        <x:v>3.943</x:v>
      </x:c>
      <x:c r="P86" s="47" t="n">
        <x:f>IFERROR(INDEX('Six-Factor Calc'!$P$5:$P$121,MATCH($A86,'Six-Factor Calc'!$A$5:$A$121,0)),"")</x:f>
        <x:v>77</x:v>
      </x:c>
      <x:c r="Q86" s="50" t="n">
        <x:f>IFERROR(INDEX('Six-Factor Calc'!$Q$5:$Q$121,MATCH($A86,'Six-Factor Calc'!$A$5:$A$121,0)),"")</x:f>
        <x:v>7.47162</x:v>
      </x:c>
      <x:c r="R86" s="50" t="n">
        <x:f>IFERROR(INDEX('Six-Factor Calc'!$R$5:$R$121,MATCH($A86,'Six-Factor Calc'!$A$5:$A$121,0)),"")</x:f>
        <x:v>7.59156</x:v>
      </x:c>
      <x:c r="S86" s="317" t="n">
        <x:f>IFERROR(INDEX('Six-Factor Calc'!$S$5:$S$121,MATCH($A86,'Six-Factor Calc'!$A$5:$A$121,0)),"")</x:f>
        <x:v>-0.015799124290659706</x:v>
      </x:c>
      <x:c r="T86" s="47" t="str">
        <x:f>IFERROR(INDEX('Six-Factor Calc'!$T$5:$T$121,MATCH($A86,'Six-Factor Calc'!$A$5:$A$121,0)),"")</x:f>
        <x:v>OK</x:v>
      </x:c>
      <x:c r="U86" s="52" t="n">
        <x:f>IFERROR(INDEX('Six-Factor Calc'!$U$5:$U$121,MATCH($A86,'Six-Factor Calc'!$A$5:$A$121,0)),"")</x:f>
        <x:v>4.800374812593704</x:v>
      </x:c>
      <x:c r="V86" s="47" t="n">
        <x:f>IFERROR(INDEX('Six-Factor Calc'!$V$5:$V$121,MATCH($A86,'Six-Factor Calc'!$A$5:$A$121,0)),"")</x:f>
        <x:v>77</x:v>
      </x:c>
      <x:c r="W86" s="52" t="n">
        <x:f>IFERROR(INDEX('Six-Factor Calc'!$W$5:$W$121,MATCH($A86,'Six-Factor Calc'!$A$5:$A$121,0)),"")</x:f>
        <x:v>4.932068965517241</x:v>
      </x:c>
      <x:c r="X86" s="47" t="n">
        <x:f>IFERROR(INDEX('Six-Factor Calc'!$X$5:$X$121,MATCH($A86,'Six-Factor Calc'!$A$5:$A$121,0)),"")</x:f>
        <x:v>61</x:v>
      </x:c>
      <x:c r="Y86" s="52" t="n">
        <x:f>IFERROR(INDEX('Six-Factor Calc'!$Y$5:$Y$121,MATCH($A86,'Six-Factor Calc'!$A$5:$A$121,0)),"")</x:f>
        <x:v>6.198275862068965</x:v>
      </x:c>
      <x:c r="Z86" s="47" t="n">
        <x:f>IFERROR(INDEX('Six-Factor Calc'!$Z$5:$Z$121,MATCH($A86,'Six-Factor Calc'!$A$5:$A$121,0)),"")</x:f>
        <x:v>50</x:v>
      </x:c>
      <x:c r="AA86" s="47" t="str">
        <x:f>IFERROR(INDEX('Six-Factor Calc'!$AA$5:$AA$121,MATCH($A86,'Six-Factor Calc'!$A$5:$A$121,0)),"")</x:f>
        <x:v>Industrials</x:v>
      </x:c>
      <x:c r="AB86" s="54" t="n">
        <x:f>IFERROR(INDEX('Six-Factor Calc'!$AB$5:$AB$121,MATCH($A86,'Six-Factor Calc'!$A$5:$A$121,0)),"")</x:f>
        <x:v>46213</x:v>
      </x:c>
      <x:c r="AC86" s="54" t="n">
        <x:f>IFERROR(INDEX('Six-Factor Calc'!$AC$5:$AC$121,MATCH($A86,'Six-Factor Calc'!$A$5:$A$121,0)),"")</x:f>
        <x:v>46110</x:v>
      </x:c>
      <x:c r="AD86" s="54" t="n">
        <x:f>IFERROR(INDEX('Six-Factor Calc'!$AD$5:$AD$121,MATCH($A86,'Six-Factor Calc'!$A$5:$A$121,0)),"")</x:f>
        <x:v>46022</x:v>
      </x:c>
      <x:c r="AE86" s="47" t="str">
        <x:f>IFERROR(INDEX('Six-Factor Calc'!$AE$5:$AE$121,MATCH($A86,'Six-Factor Calc'!$A$5:$A$121,0)),"")</x:f>
        <x:v>OK</x:v>
      </x:c>
    </x:row>
    <x:row r="87">
      <x:c r="A87" s="12" t="n">
        <x:v>83</x:v>
      </x:c>
      <x:c r="B87" s="47" t="str">
        <x:f>IFERROR(INDEX('Six-Factor Calc'!$B$5:$B$121,MATCH($A87,'Six-Factor Calc'!$A$5:$A$121,0)),"")</x:f>
        <x:v>ELS</x:v>
      </x:c>
      <x:c r="C87" s="47" t="str">
        <x:f>IFERROR(INDEX('Six-Factor Calc'!$C$5:$C$121,MATCH($A87,'Six-Factor Calc'!$A$5:$A$121,0)),"")</x:f>
        <x:v>Equity LifeStyle Properties Inc. REIT</x:v>
      </x:c>
      <x:c r="D87" s="49" t="str">
        <x:f>IFERROR(INDEX('Six-Factor Calc'!$D$5:$D$121,MATCH($A87,'Six-Factor Calc'!$A$5:$A$121,0)),"")</x:f>
        <x:v>Long</x:v>
      </x:c>
      <x:c r="E87" s="49" t="n">
        <x:f>IFERROR(INDEX('Six-Factor Calc'!$E$5:$E$121,MATCH($A87,'Six-Factor Calc'!$A$5:$A$121,0)),"")</x:f>
        <x:v>0.004038</x:v>
      </x:c>
      <x:c r="F87" s="50" t="n">
        <x:f>IFERROR(INDEX('Six-Factor Calc'!$F$5:$F$121,MATCH($A87,'Six-Factor Calc'!$A$5:$A$121,0)),"")</x:f>
        <x:v>0.41441737575670573</x:v>
      </x:c>
      <x:c r="G87" s="50" t="n">
        <x:f>IFERROR(INDEX('Six-Factor Calc'!$G$5:$G$121,MATCH($A87,'Six-Factor Calc'!$A$5:$A$121,0)),"")</x:f>
        <x:v>0.11104285532020337</x:v>
      </x:c>
      <x:c r="H87" s="329" t="n">
        <x:f>IFERROR(INDEX('Six-Factor Calc'!$H$5:$H$121,MATCH($A87,'Six-Factor Calc'!$A$5:$A$121,0)),"")</x:f>
        <x:v>4.655962995774839</x:v>
      </x:c>
      <x:c r="I87" s="47" t="n">
        <x:f>IFERROR(INDEX('Six-Factor Calc'!$I$5:$I$121,MATCH($A87,'Six-Factor Calc'!$A$5:$A$121,0)),"")</x:f>
        <x:v>6</x:v>
      </x:c>
      <x:c r="J87" s="52" t="n">
        <x:f>IFERROR(INDEX('Six-Factor Calc'!$J$5:$J$121,MATCH($A87,'Six-Factor Calc'!$A$5:$A$121,0)),"")</x:f>
        <x:v>2.706896551724138</x:v>
      </x:c>
      <x:c r="K87" s="47" t="n">
        <x:f>IFERROR(INDEX('Six-Factor Calc'!$K$5:$K$121,MATCH($A87,'Six-Factor Calc'!$A$5:$A$121,0)),"")</x:f>
        <x:v>95</x:v>
      </x:c>
      <x:c r="L87" s="52" t="n">
        <x:f>IFERROR(INDEX('Six-Factor Calc'!$L$5:$L$121,MATCH($A87,'Six-Factor Calc'!$A$5:$A$121,0)),"")</x:f>
        <x:v>3.5399209486166012</x:v>
      </x:c>
      <x:c r="M87" s="47" t="n">
        <x:f>IFERROR(INDEX('Six-Factor Calc'!$M$5:$M$121,MATCH($A87,'Six-Factor Calc'!$A$5:$A$121,0)),"")</x:f>
        <x:v>96</x:v>
      </x:c>
      <x:c r="N87" s="47" t="str">
        <x:f>IFERROR(INDEX('Six-Factor Calc'!$N$5:$N$121,MATCH($A87,'Six-Factor Calc'!$A$5:$A$121,0)),"")</x:f>
        <x:v>SUE + CAR3</x:v>
      </x:c>
      <x:c r="O87" s="52" t="n">
        <x:f>IFERROR(INDEX('Six-Factor Calc'!$O$5:$O$121,MATCH($A87,'Six-Factor Calc'!$A$5:$A$121,0)),"")</x:f>
        <x:v>7.669</x:v>
      </x:c>
      <x:c r="P87" s="47" t="n">
        <x:f>IFERROR(INDEX('Six-Factor Calc'!$P$5:$P$121,MATCH($A87,'Six-Factor Calc'!$A$5:$A$121,0)),"")</x:f>
        <x:v>31</x:v>
      </x:c>
      <x:c r="Q87" s="50" t="n">
        <x:f>IFERROR(INDEX('Six-Factor Calc'!$Q$5:$Q$121,MATCH($A87,'Six-Factor Calc'!$A$5:$A$121,0)),"")</x:f>
        <x:v>0.50365</x:v>
      </x:c>
      <x:c r="R87" s="50" t="n">
        <x:f>IFERROR(INDEX('Six-Factor Calc'!$R$5:$R$121,MATCH($A87,'Six-Factor Calc'!$A$5:$A$121,0)),"")</x:f>
        <x:v>0.49755</x:v>
      </x:c>
      <x:c r="S87" s="317" t="n">
        <x:f>IFERROR(INDEX('Six-Factor Calc'!$S$5:$S$121,MATCH($A87,'Six-Factor Calc'!$A$5:$A$121,0)),"")</x:f>
        <x:v>0.012260074364385589</x:v>
      </x:c>
      <x:c r="T87" s="47" t="str">
        <x:f>IFERROR(INDEX('Six-Factor Calc'!$T$5:$T$121,MATCH($A87,'Six-Factor Calc'!$A$5:$A$121,0)),"")</x:f>
        <x:v>OK</x:v>
      </x:c>
      <x:c r="U87" s="52" t="n">
        <x:f>IFERROR(INDEX('Six-Factor Calc'!$U$5:$U$121,MATCH($A87,'Six-Factor Calc'!$A$5:$A$121,0)),"")</x:f>
        <x:v>2.7844827586206895</x:v>
      </x:c>
      <x:c r="V87" s="47" t="n">
        <x:f>IFERROR(INDEX('Six-Factor Calc'!$V$5:$V$121,MATCH($A87,'Six-Factor Calc'!$A$5:$A$121,0)),"")</x:f>
        <x:v>111</x:v>
      </x:c>
      <x:c r="W87" s="52" t="n">
        <x:f>IFERROR(INDEX('Six-Factor Calc'!$W$5:$W$121,MATCH($A87,'Six-Factor Calc'!$A$5:$A$121,0)),"")</x:f>
        <x:v>8.293103448275861</x:v>
      </x:c>
      <x:c r="X87" s="47" t="n">
        <x:f>IFERROR(INDEX('Six-Factor Calc'!$X$5:$X$121,MATCH($A87,'Six-Factor Calc'!$A$5:$A$121,0)),"")</x:f>
        <x:v>11</x:v>
      </x:c>
      <x:c r="Y87" s="52" t="n">
        <x:f>IFERROR(INDEX('Six-Factor Calc'!$Y$5:$Y$121,MATCH($A87,'Six-Factor Calc'!$A$5:$A$121,0)),"")</x:f>
        <x:v>5.267241379310345</x:v>
      </x:c>
      <x:c r="Z87" s="47" t="n">
        <x:f>IFERROR(INDEX('Six-Factor Calc'!$Z$5:$Z$121,MATCH($A87,'Six-Factor Calc'!$A$5:$A$121,0)),"")</x:f>
        <x:v>62</x:v>
      </x:c>
      <x:c r="AA87" s="47" t="str">
        <x:f>IFERROR(INDEX('Six-Factor Calc'!$AA$5:$AA$121,MATCH($A87,'Six-Factor Calc'!$A$5:$A$121,0)),"")</x:f>
        <x:v>Real Estate</x:v>
      </x:c>
      <x:c r="AB87" s="54" t="n">
        <x:f>IFERROR(INDEX('Six-Factor Calc'!$AB$5:$AB$121,MATCH($A87,'Six-Factor Calc'!$A$5:$A$121,0)),"")</x:f>
        <x:v>46213</x:v>
      </x:c>
      <x:c r="AC87" s="54" t="n">
        <x:f>IFERROR(INDEX('Six-Factor Calc'!$AC$5:$AC$121,MATCH($A87,'Six-Factor Calc'!$A$5:$A$121,0)),"")</x:f>
        <x:v>46112</x:v>
      </x:c>
      <x:c r="AD87" s="54" t="n">
        <x:f>IFERROR(INDEX('Six-Factor Calc'!$AD$5:$AD$121,MATCH($A87,'Six-Factor Calc'!$A$5:$A$121,0)),"")</x:f>
        <x:v>46022</x:v>
      </x:c>
      <x:c r="AE87" s="47" t="str">
        <x:f>IFERROR(INDEX('Six-Factor Calc'!$AE$5:$AE$121,MATCH($A87,'Six-Factor Calc'!$A$5:$A$121,0)),"")</x:f>
        <x:v>OK</x:v>
      </x:c>
    </x:row>
    <x:row r="88">
      <x:c r="A88" s="12" t="n">
        <x:v>84</x:v>
      </x:c>
      <x:c r="B88" s="47" t="str">
        <x:f>IFERROR(INDEX('Six-Factor Calc'!$B$5:$B$121,MATCH($A88,'Six-Factor Calc'!$A$5:$A$121,0)),"")</x:f>
        <x:v>DOW</x:v>
      </x:c>
      <x:c r="C88" s="47" t="str">
        <x:f>IFERROR(INDEX('Six-Factor Calc'!$C$5:$C$121,MATCH($A88,'Six-Factor Calc'!$A$5:$A$121,0)),"")</x:f>
        <x:v>Dow Inc.</x:v>
      </x:c>
      <x:c r="D88" s="49" t="str">
        <x:f>IFERROR(INDEX('Six-Factor Calc'!$D$5:$D$121,MATCH($A88,'Six-Factor Calc'!$A$5:$A$121,0)),"")</x:f>
        <x:v>Long</x:v>
      </x:c>
      <x:c r="E88" s="49" t="n">
        <x:f>IFERROR(INDEX('Six-Factor Calc'!$E$5:$E$121,MATCH($A88,'Six-Factor Calc'!$A$5:$A$121,0)),"")</x:f>
        <x:v>0.003245</x:v>
      </x:c>
      <x:c r="F88" s="50" t="n">
        <x:f>IFERROR(INDEX('Six-Factor Calc'!$F$5:$F$121,MATCH($A88,'Six-Factor Calc'!$A$5:$A$121,0)),"")</x:f>
        <x:v>-0.07560448730109182</x:v>
      </x:c>
      <x:c r="G88" s="50" t="n">
        <x:f>IFERROR(INDEX('Six-Factor Calc'!$G$5:$G$121,MATCH($A88,'Six-Factor Calc'!$A$5:$A$121,0)),"")</x:f>
        <x:v>-0.1756854327282763</x:v>
      </x:c>
      <x:c r="H88" s="329" t="n">
        <x:f>IFERROR(INDEX('Six-Factor Calc'!$H$5:$H$121,MATCH($A88,'Six-Factor Calc'!$A$5:$A$121,0)),"")</x:f>
        <x:v>4.638413997546681</x:v>
      </x:c>
      <x:c r="I88" s="47" t="n">
        <x:f>IFERROR(INDEX('Six-Factor Calc'!$I$5:$I$121,MATCH($A88,'Six-Factor Calc'!$A$5:$A$121,0)),"")</x:f>
        <x:v>6</x:v>
      </x:c>
      <x:c r="J88" s="52" t="n">
        <x:f>IFERROR(INDEX('Six-Factor Calc'!$J$5:$J$121,MATCH($A88,'Six-Factor Calc'!$A$5:$A$121,0)),"")</x:f>
        <x:v>4.258620689655173</x:v>
      </x:c>
      <x:c r="K88" s="47" t="n">
        <x:f>IFERROR(INDEX('Six-Factor Calc'!$K$5:$K$121,MATCH($A88,'Six-Factor Calc'!$A$5:$A$121,0)),"")</x:f>
        <x:v>75</x:v>
      </x:c>
      <x:c r="L88" s="52" t="n">
        <x:f>IFERROR(INDEX('Six-Factor Calc'!$L$5:$L$121,MATCH($A88,'Six-Factor Calc'!$A$5:$A$121,0)),"")</x:f>
        <x:v>4.553754940711463</x:v>
      </x:c>
      <x:c r="M88" s="47" t="n">
        <x:f>IFERROR(INDEX('Six-Factor Calc'!$M$5:$M$121,MATCH($A88,'Six-Factor Calc'!$A$5:$A$121,0)),"")</x:f>
        <x:v>79</x:v>
      </x:c>
      <x:c r="N88" s="47" t="str">
        <x:f>IFERROR(INDEX('Six-Factor Calc'!$N$5:$N$121,MATCH($A88,'Six-Factor Calc'!$A$5:$A$121,0)),"")</x:f>
        <x:v>SUE + CAR3</x:v>
      </x:c>
      <x:c r="O88" s="52" t="n">
        <x:f>IFERROR(INDEX('Six-Factor Calc'!$O$5:$O$121,MATCH($A88,'Six-Factor Calc'!$A$5:$A$121,0)),"")</x:f>
        <x:v>1.153</x:v>
      </x:c>
      <x:c r="P88" s="47" t="n">
        <x:f>IFERROR(INDEX('Six-Factor Calc'!$P$5:$P$121,MATCH($A88,'Six-Factor Calc'!$A$5:$A$121,0)),"")</x:f>
        <x:v>113</x:v>
      </x:c>
      <x:c r="Q88" s="50" t="n">
        <x:f>IFERROR(INDEX('Six-Factor Calc'!$Q$5:$Q$121,MATCH($A88,'Six-Factor Calc'!$A$5:$A$121,0)),"")</x:f>
        <x:v>0.78205</x:v>
      </x:c>
      <x:c r="R88" s="50" t="n">
        <x:f>IFERROR(INDEX('Six-Factor Calc'!$R$5:$R$121,MATCH($A88,'Six-Factor Calc'!$A$5:$A$121,0)),"")</x:f>
        <x:v>1.1663</x:v>
      </x:c>
      <x:c r="S88" s="317" t="n">
        <x:f>IFERROR(INDEX('Six-Factor Calc'!$S$5:$S$121,MATCH($A88,'Six-Factor Calc'!$A$5:$A$121,0)),"")</x:f>
        <x:v>-0.3294606876446882</x:v>
      </x:c>
      <x:c r="T88" s="47" t="str">
        <x:f>IFERROR(INDEX('Six-Factor Calc'!$T$5:$T$121,MATCH($A88,'Six-Factor Calc'!$A$5:$A$121,0)),"")</x:f>
        <x:v>OK</x:v>
      </x:c>
      <x:c r="U88" s="52" t="n">
        <x:f>IFERROR(INDEX('Six-Factor Calc'!$U$5:$U$121,MATCH($A88,'Six-Factor Calc'!$A$5:$A$121,0)),"")</x:f>
        <x:v>5.481311844077961</x:v>
      </x:c>
      <x:c r="V88" s="47" t="n">
        <x:f>IFERROR(INDEX('Six-Factor Calc'!$V$5:$V$121,MATCH($A88,'Six-Factor Calc'!$A$5:$A$121,0)),"")</x:f>
        <x:v>57</x:v>
      </x:c>
      <x:c r="W88" s="52" t="n">
        <x:f>IFERROR(INDEX('Six-Factor Calc'!$W$5:$W$121,MATCH($A88,'Six-Factor Calc'!$A$5:$A$121,0)),"")</x:f>
        <x:v>6.41396551724138</x:v>
      </x:c>
      <x:c r="X88" s="47" t="n">
        <x:f>IFERROR(INDEX('Six-Factor Calc'!$X$5:$X$121,MATCH($A88,'Six-Factor Calc'!$A$5:$A$121,0)),"")</x:f>
        <x:v>35</x:v>
      </x:c>
      <x:c r="Y88" s="52" t="n">
        <x:f>IFERROR(INDEX('Six-Factor Calc'!$Y$5:$Y$121,MATCH($A88,'Six-Factor Calc'!$A$5:$A$121,0)),"")</x:f>
        <x:v>8.293103448275861</x:v>
      </x:c>
      <x:c r="Z88" s="47" t="n">
        <x:f>IFERROR(INDEX('Six-Factor Calc'!$Z$5:$Z$121,MATCH($A88,'Six-Factor Calc'!$A$5:$A$121,0)),"")</x:f>
        <x:v>23</x:v>
      </x:c>
      <x:c r="AA88" s="47" t="str">
        <x:f>IFERROR(INDEX('Six-Factor Calc'!$AA$5:$AA$121,MATCH($A88,'Six-Factor Calc'!$A$5:$A$121,0)),"")</x:f>
        <x:v>Industrials</x:v>
      </x:c>
      <x:c r="AB88" s="54" t="n">
        <x:f>IFERROR(INDEX('Six-Factor Calc'!$AB$5:$AB$121,MATCH($A88,'Six-Factor Calc'!$A$5:$A$121,0)),"")</x:f>
        <x:v>46213</x:v>
      </x:c>
      <x:c r="AC88" s="54" t="n">
        <x:f>IFERROR(INDEX('Six-Factor Calc'!$AC$5:$AC$121,MATCH($A88,'Six-Factor Calc'!$A$5:$A$121,0)),"")</x:f>
        <x:v>46112</x:v>
      </x:c>
      <x:c r="AD88" s="54" t="n">
        <x:f>IFERROR(INDEX('Six-Factor Calc'!$AD$5:$AD$121,MATCH($A88,'Six-Factor Calc'!$A$5:$A$121,0)),"")</x:f>
        <x:v>46022</x:v>
      </x:c>
      <x:c r="AE88" s="47" t="str">
        <x:f>IFERROR(INDEX('Six-Factor Calc'!$AE$5:$AE$121,MATCH($A88,'Six-Factor Calc'!$A$5:$A$121,0)),"")</x:f>
        <x:v>OK</x:v>
      </x:c>
    </x:row>
    <x:row r="89">
      <x:c r="A89" s="12" t="n">
        <x:v>85</x:v>
      </x:c>
      <x:c r="B89" s="47" t="str">
        <x:f>IFERROR(INDEX('Six-Factor Calc'!$B$5:$B$121,MATCH($A89,'Six-Factor Calc'!$A$5:$A$121,0)),"")</x:f>
        <x:v>ACI</x:v>
      </x:c>
      <x:c r="C89" s="47" t="str">
        <x:f>IFERROR(INDEX('Six-Factor Calc'!$C$5:$C$121,MATCH($A89,'Six-Factor Calc'!$A$5:$A$121,0)),"")</x:f>
        <x:v>Albertsons Cos. Inc.</x:v>
      </x:c>
      <x:c r="D89" s="49" t="str">
        <x:f>IFERROR(INDEX('Six-Factor Calc'!$D$5:$D$121,MATCH($A89,'Six-Factor Calc'!$A$5:$A$121,0)),"")</x:f>
        <x:v>Long</x:v>
      </x:c>
      <x:c r="E89" s="49" t="n">
        <x:f>IFERROR(INDEX('Six-Factor Calc'!$E$5:$E$121,MATCH($A89,'Six-Factor Calc'!$A$5:$A$121,0)),"")</x:f>
        <x:v>0.003629</x:v>
      </x:c>
      <x:c r="F89" s="50" t="n">
        <x:f>IFERROR(INDEX('Six-Factor Calc'!$F$5:$F$121,MATCH($A89,'Six-Factor Calc'!$A$5:$A$121,0)),"")</x:f>
        <x:v>0.0244992852002389</x:v>
      </x:c>
      <x:c r="G89" s="50" t="n">
        <x:f>IFERROR(INDEX('Six-Factor Calc'!$G$5:$G$121,MATCH($A89,'Six-Factor Calc'!$A$5:$A$121,0)),"")</x:f>
        <x:v>-0.01141846292111721</x:v>
      </x:c>
      <x:c r="H89" s="329" t="n">
        <x:f>IFERROR(INDEX('Six-Factor Calc'!$H$5:$H$121,MATCH($A89,'Six-Factor Calc'!$A$5:$A$121,0)),"")</x:f>
        <x:v>4.638331334332833</x:v>
      </x:c>
      <x:c r="I89" s="47" t="n">
        <x:f>IFERROR(INDEX('Six-Factor Calc'!$I$5:$I$121,MATCH($A89,'Six-Factor Calc'!$A$5:$A$121,0)),"")</x:f>
        <x:v>6</x:v>
      </x:c>
      <x:c r="J89" s="52" t="n">
        <x:f>IFERROR(INDEX('Six-Factor Calc'!$J$5:$J$121,MATCH($A89,'Six-Factor Calc'!$A$5:$A$121,0)),"")</x:f>
        <x:v>6.120689655172414</x:v>
      </x:c>
      <x:c r="K89" s="47" t="n">
        <x:f>IFERROR(INDEX('Six-Factor Calc'!$K$5:$K$121,MATCH($A89,'Six-Factor Calc'!$A$5:$A$121,0)),"")</x:f>
        <x:v>51</x:v>
      </x:c>
      <x:c r="L89" s="52" t="n">
        <x:f>IFERROR(INDEX('Six-Factor Calc'!$L$5:$L$121,MATCH($A89,'Six-Factor Calc'!$A$5:$A$121,0)),"")</x:f>
        <x:v>1.8217391304347825</x:v>
      </x:c>
      <x:c r="M89" s="47" t="n">
        <x:f>IFERROR(INDEX('Six-Factor Calc'!$M$5:$M$121,MATCH($A89,'Six-Factor Calc'!$A$5:$A$121,0)),"")</x:f>
        <x:v>113</x:v>
      </x:c>
      <x:c r="N89" s="47" t="str">
        <x:f>IFERROR(INDEX('Six-Factor Calc'!$N$5:$N$121,MATCH($A89,'Six-Factor Calc'!$A$5:$A$121,0)),"")</x:f>
        <x:v>SUE + CAR3</x:v>
      </x:c>
      <x:c r="O89" s="52" t="n">
        <x:f>IFERROR(INDEX('Six-Factor Calc'!$O$5:$O$121,MATCH($A89,'Six-Factor Calc'!$A$5:$A$121,0)),"")</x:f>
        <x:v>1.306</x:v>
      </x:c>
      <x:c r="P89" s="47" t="n">
        <x:f>IFERROR(INDEX('Six-Factor Calc'!$P$5:$P$121,MATCH($A89,'Six-Factor Calc'!$A$5:$A$121,0)),"")</x:f>
        <x:v>111</x:v>
      </x:c>
      <x:c r="Q89" s="50" t="n">
        <x:f>IFERROR(INDEX('Six-Factor Calc'!$Q$5:$Q$121,MATCH($A89,'Six-Factor Calc'!$A$5:$A$121,0)),"")</x:f>
        <x:v>0.32728</x:v>
      </x:c>
      <x:c r="R89" s="50" t="n">
        <x:f>IFERROR(INDEX('Six-Factor Calc'!$R$5:$R$121,MATCH($A89,'Six-Factor Calc'!$A$5:$A$121,0)),"")</x:f>
        <x:v>0.45898</x:v>
      </x:c>
      <x:c r="S89" s="317" t="n">
        <x:f>IFERROR(INDEX('Six-Factor Calc'!$S$5:$S$121,MATCH($A89,'Six-Factor Calc'!$A$5:$A$121,0)),"")</x:f>
        <x:v>-0.28694060743387506</x:v>
      </x:c>
      <x:c r="T89" s="47" t="str">
        <x:f>IFERROR(INDEX('Six-Factor Calc'!$T$5:$T$121,MATCH($A89,'Six-Factor Calc'!$A$5:$A$121,0)),"")</x:f>
        <x:v>OK</x:v>
      </x:c>
      <x:c r="U89" s="52" t="n">
        <x:f>IFERROR(INDEX('Six-Factor Calc'!$U$5:$U$121,MATCH($A89,'Six-Factor Calc'!$A$5:$A$121,0)),"")</x:f>
        <x:v>6.033793103448276</x:v>
      </x:c>
      <x:c r="V89" s="47" t="n">
        <x:f>IFERROR(INDEX('Six-Factor Calc'!$V$5:$V$121,MATCH($A89,'Six-Factor Calc'!$A$5:$A$121,0)),"")</x:f>
        <x:v>46</x:v>
      </x:c>
      <x:c r="W89" s="52" t="n">
        <x:f>IFERROR(INDEX('Six-Factor Calc'!$W$5:$W$121,MATCH($A89,'Six-Factor Calc'!$A$5:$A$121,0)),"")</x:f>
        <x:v>5.9593103448275855</x:v>
      </x:c>
      <x:c r="X89" s="47" t="n">
        <x:f>IFERROR(INDEX('Six-Factor Calc'!$X$5:$X$121,MATCH($A89,'Six-Factor Calc'!$A$5:$A$121,0)),"")</x:f>
        <x:v>44</x:v>
      </x:c>
      <x:c r="Y89" s="52" t="n">
        <x:f>IFERROR(INDEX('Six-Factor Calc'!$Y$5:$Y$121,MATCH($A89,'Six-Factor Calc'!$A$5:$A$121,0)),"")</x:f>
        <x:v>9.922413793103448</x:v>
      </x:c>
      <x:c r="Z89" s="47" t="n">
        <x:f>IFERROR(INDEX('Six-Factor Calc'!$Z$5:$Z$121,MATCH($A89,'Six-Factor Calc'!$A$5:$A$121,0)),"")</x:f>
        <x:v>2</x:v>
      </x:c>
      <x:c r="AA89" s="47" t="str">
        <x:f>IFERROR(INDEX('Six-Factor Calc'!$AA$5:$AA$121,MATCH($A89,'Six-Factor Calc'!$A$5:$A$121,0)),"")</x:f>
        <x:v>Consumer Staples</x:v>
      </x:c>
      <x:c r="AB89" s="54" t="n">
        <x:f>IFERROR(INDEX('Six-Factor Calc'!$AB$5:$AB$121,MATCH($A89,'Six-Factor Calc'!$A$5:$A$121,0)),"")</x:f>
        <x:v>46213</x:v>
      </x:c>
      <x:c r="AC89" s="54" t="n">
        <x:f>IFERROR(INDEX('Six-Factor Calc'!$AC$5:$AC$121,MATCH($A89,'Six-Factor Calc'!$A$5:$A$121,0)),"")</x:f>
        <x:v>46081</x:v>
      </x:c>
      <x:c r="AD89" s="54" t="n">
        <x:f>IFERROR(INDEX('Six-Factor Calc'!$AD$5:$AD$121,MATCH($A89,'Six-Factor Calc'!$A$5:$A$121,0)),"")</x:f>
        <x:v>46081</x:v>
      </x:c>
      <x:c r="AE89" s="47" t="str">
        <x:f>IFERROR(INDEX('Six-Factor Calc'!$AE$5:$AE$121,MATCH($A89,'Six-Factor Calc'!$A$5:$A$121,0)),"")</x:f>
        <x:v>OK</x:v>
      </x:c>
    </x:row>
    <x:row r="90">
      <x:c r="A90" s="12" t="n">
        <x:v>86</x:v>
      </x:c>
      <x:c r="B90" s="47" t="str">
        <x:f>IFERROR(INDEX('Six-Factor Calc'!$B$5:$B$121,MATCH($A90,'Six-Factor Calc'!$A$5:$A$121,0)),"")</x:f>
        <x:v>RSG</x:v>
      </x:c>
      <x:c r="C90" s="47" t="str">
        <x:f>IFERROR(INDEX('Six-Factor Calc'!$C$5:$C$121,MATCH($A90,'Six-Factor Calc'!$A$5:$A$121,0)),"")</x:f>
        <x:v>Republic Services Inc.</x:v>
      </x:c>
      <x:c r="D90" s="49" t="str">
        <x:f>IFERROR(INDEX('Six-Factor Calc'!$D$5:$D$121,MATCH($A90,'Six-Factor Calc'!$A$5:$A$121,0)),"")</x:f>
        <x:v>Long</x:v>
      </x:c>
      <x:c r="E90" s="49" t="n">
        <x:f>IFERROR(INDEX('Six-Factor Calc'!$E$5:$E$121,MATCH($A90,'Six-Factor Calc'!$A$5:$A$121,0)),"")</x:f>
        <x:v>0.004146</x:v>
      </x:c>
      <x:c r="F90" s="50" t="n">
        <x:f>IFERROR(INDEX('Six-Factor Calc'!$F$5:$F$121,MATCH($A90,'Six-Factor Calc'!$A$5:$A$121,0)),"")</x:f>
        <x:v>0.1356140238804152</x:v>
      </x:c>
      <x:c r="G90" s="50" t="n">
        <x:f>IFERROR(INDEX('Six-Factor Calc'!$G$5:$G$121,MATCH($A90,'Six-Factor Calc'!$A$5:$A$121,0)),"")</x:f>
        <x:v>0.04765566932139244</x:v>
      </x:c>
      <x:c r="H90" s="329" t="n">
        <x:f>IFERROR(INDEX('Six-Factor Calc'!$H$5:$H$121,MATCH($A90,'Six-Factor Calc'!$A$5:$A$121,0)),"")</x:f>
        <x:v>4.5417743628185905</x:v>
      </x:c>
      <x:c r="I90" s="47" t="n">
        <x:f>IFERROR(INDEX('Six-Factor Calc'!$I$5:$I$121,MATCH($A90,'Six-Factor Calc'!$A$5:$A$121,0)),"")</x:f>
        <x:v>6</x:v>
      </x:c>
      <x:c r="J90" s="52" t="n">
        <x:f>IFERROR(INDEX('Six-Factor Calc'!$J$5:$J$121,MATCH($A90,'Six-Factor Calc'!$A$5:$A$121,0)),"")</x:f>
        <x:v>3.405172413793103</x:v>
      </x:c>
      <x:c r="K90" s="47" t="n">
        <x:f>IFERROR(INDEX('Six-Factor Calc'!$K$5:$K$121,MATCH($A90,'Six-Factor Calc'!$A$5:$A$121,0)),"")</x:f>
        <x:v>86</x:v>
      </x:c>
      <x:c r="L90" s="52" t="n">
        <x:f>IFERROR(INDEX('Six-Factor Calc'!$L$5:$L$121,MATCH($A90,'Six-Factor Calc'!$A$5:$A$121,0)),"")</x:f>
        <x:v>5.910869565217391</x:v>
      </x:c>
      <x:c r="M90" s="47" t="n">
        <x:f>IFERROR(INDEX('Six-Factor Calc'!$M$5:$M$121,MATCH($A90,'Six-Factor Calc'!$A$5:$A$121,0)),"")</x:f>
        <x:v>51</x:v>
      </x:c>
      <x:c r="N90" s="47" t="str">
        <x:f>IFERROR(INDEX('Six-Factor Calc'!$N$5:$N$121,MATCH($A90,'Six-Factor Calc'!$A$5:$A$121,0)),"")</x:f>
        <x:v>SUE + CAR3</x:v>
      </x:c>
      <x:c r="O90" s="52" t="n">
        <x:f>IFERROR(INDEX('Six-Factor Calc'!$O$5:$O$121,MATCH($A90,'Six-Factor Calc'!$A$5:$A$121,0)),"")</x:f>
        <x:v>5.6530000000000005</x:v>
      </x:c>
      <x:c r="P90" s="47" t="n">
        <x:f>IFERROR(INDEX('Six-Factor Calc'!$P$5:$P$121,MATCH($A90,'Six-Factor Calc'!$A$5:$A$121,0)),"")</x:f>
        <x:v>55</x:v>
      </x:c>
      <x:c r="Q90" s="50" t="n">
        <x:f>IFERROR(INDEX('Six-Factor Calc'!$Q$5:$Q$121,MATCH($A90,'Six-Factor Calc'!$A$5:$A$121,0)),"")</x:f>
        <x:v>1.92572</x:v>
      </x:c>
      <x:c r="R90" s="50" t="n">
        <x:f>IFERROR(INDEX('Six-Factor Calc'!$R$5:$R$121,MATCH($A90,'Six-Factor Calc'!$A$5:$A$121,0)),"")</x:f>
        <x:v>1.9322</x:v>
      </x:c>
      <x:c r="S90" s="317" t="n">
        <x:f>IFERROR(INDEX('Six-Factor Calc'!$S$5:$S$121,MATCH($A90,'Six-Factor Calc'!$A$5:$A$121,0)),"")</x:f>
        <x:v>-0.0033536900941930543</x:v>
      </x:c>
      <x:c r="T90" s="47" t="str">
        <x:f>IFERROR(INDEX('Six-Factor Calc'!$T$5:$T$121,MATCH($A90,'Six-Factor Calc'!$A$5:$A$121,0)),"")</x:f>
        <x:v>OK</x:v>
      </x:c>
      <x:c r="U90" s="52" t="n">
        <x:f>IFERROR(INDEX('Six-Factor Calc'!$U$5:$U$121,MATCH($A90,'Six-Factor Calc'!$A$5:$A$121,0)),"")</x:f>
        <x:v>3.5527886056971516</x:v>
      </x:c>
      <x:c r="V90" s="47" t="n">
        <x:f>IFERROR(INDEX('Six-Factor Calc'!$V$5:$V$121,MATCH($A90,'Six-Factor Calc'!$A$5:$A$121,0)),"")</x:f>
        <x:v>97</x:v>
      </x:c>
      <x:c r="W90" s="52" t="n">
        <x:f>IFERROR(INDEX('Six-Factor Calc'!$W$5:$W$121,MATCH($A90,'Six-Factor Calc'!$A$5:$A$121,0)),"")</x:f>
        <x:v>4.787758620689655</x:v>
      </x:c>
      <x:c r="X90" s="47" t="n">
        <x:f>IFERROR(INDEX('Six-Factor Calc'!$X$5:$X$121,MATCH($A90,'Six-Factor Calc'!$A$5:$A$121,0)),"")</x:f>
        <x:v>65</x:v>
      </x:c>
      <x:c r="Y90" s="52" t="n">
        <x:f>IFERROR(INDEX('Six-Factor Calc'!$Y$5:$Y$121,MATCH($A90,'Six-Factor Calc'!$A$5:$A$121,0)),"")</x:f>
        <x:v>3.0948275862068964</x:v>
      </x:c>
      <x:c r="Z90" s="47" t="n">
        <x:f>IFERROR(INDEX('Six-Factor Calc'!$Z$5:$Z$121,MATCH($A90,'Six-Factor Calc'!$A$5:$A$121,0)),"")</x:f>
        <x:v>90</x:v>
      </x:c>
      <x:c r="AA90" s="47" t="str">
        <x:f>IFERROR(INDEX('Six-Factor Calc'!$AA$5:$AA$121,MATCH($A90,'Six-Factor Calc'!$A$5:$A$121,0)),"")</x:f>
        <x:v>Utilities</x:v>
      </x:c>
      <x:c r="AB90" s="54" t="n">
        <x:f>IFERROR(INDEX('Six-Factor Calc'!$AB$5:$AB$121,MATCH($A90,'Six-Factor Calc'!$A$5:$A$121,0)),"")</x:f>
        <x:v>46213</x:v>
      </x:c>
      <x:c r="AC90" s="54" t="n">
        <x:f>IFERROR(INDEX('Six-Factor Calc'!$AC$5:$AC$121,MATCH($A90,'Six-Factor Calc'!$A$5:$A$121,0)),"")</x:f>
        <x:v>46112</x:v>
      </x:c>
      <x:c r="AD90" s="54" t="n">
        <x:f>IFERROR(INDEX('Six-Factor Calc'!$AD$5:$AD$121,MATCH($A90,'Six-Factor Calc'!$A$5:$A$121,0)),"")</x:f>
        <x:v>46022</x:v>
      </x:c>
      <x:c r="AE90" s="47" t="str">
        <x:f>IFERROR(INDEX('Six-Factor Calc'!$AE$5:$AE$121,MATCH($A90,'Six-Factor Calc'!$A$5:$A$121,0)),"")</x:f>
        <x:v>OK</x:v>
      </x:c>
    </x:row>
    <x:row r="91">
      <x:c r="A91" s="12" t="n">
        <x:v>87</x:v>
      </x:c>
      <x:c r="B91" s="47" t="str">
        <x:f>IFERROR(INDEX('Six-Factor Calc'!$B$5:$B$121,MATCH($A91,'Six-Factor Calc'!$A$5:$A$121,0)),"")</x:f>
        <x:v>CTVA</x:v>
      </x:c>
      <x:c r="C91" s="47" t="str">
        <x:f>IFERROR(INDEX('Six-Factor Calc'!$C$5:$C$121,MATCH($A91,'Six-Factor Calc'!$A$5:$A$121,0)),"")</x:f>
        <x:v>Corteva Inc.</x:v>
      </x:c>
      <x:c r="D91" s="49" t="str">
        <x:f>IFERROR(INDEX('Six-Factor Calc'!$D$5:$D$121,MATCH($A91,'Six-Factor Calc'!$A$5:$A$121,0)),"")</x:f>
        <x:v>Long</x:v>
      </x:c>
      <x:c r="E91" s="49" t="n">
        <x:f>IFERROR(INDEX('Six-Factor Calc'!$E$5:$E$121,MATCH($A91,'Six-Factor Calc'!$A$5:$A$121,0)),"")</x:f>
        <x:v>0.004273</x:v>
      </x:c>
      <x:c r="F91" s="50" t="n">
        <x:f>IFERROR(INDEX('Six-Factor Calc'!$F$5:$F$121,MATCH($A91,'Six-Factor Calc'!$A$5:$A$121,0)),"")</x:f>
        <x:v>0.3683372427048375</x:v>
      </x:c>
      <x:c r="G91" s="50" t="n">
        <x:f>IFERROR(INDEX('Six-Factor Calc'!$G$5:$G$121,MATCH($A91,'Six-Factor Calc'!$A$5:$A$121,0)),"")</x:f>
        <x:v>0.058361503118991714</x:v>
      </x:c>
      <x:c r="H91" s="329" t="n">
        <x:f>IFERROR(INDEX('Six-Factor Calc'!$H$5:$H$121,MATCH($A91,'Six-Factor Calc'!$A$5:$A$121,0)),"")</x:f>
        <x:v>4.500112648221343</x:v>
      </x:c>
      <x:c r="I91" s="47" t="n">
        <x:f>IFERROR(INDEX('Six-Factor Calc'!$I$5:$I$121,MATCH($A91,'Six-Factor Calc'!$A$5:$A$121,0)),"")</x:f>
        <x:v>6</x:v>
      </x:c>
      <x:c r="J91" s="52" t="n">
        <x:f>IFERROR(INDEX('Six-Factor Calc'!$J$5:$J$121,MATCH($A91,'Six-Factor Calc'!$A$5:$A$121,0)),"")</x:f>
        <x:v>4.646551724137931</x:v>
      </x:c>
      <x:c r="K91" s="47" t="n">
        <x:f>IFERROR(INDEX('Six-Factor Calc'!$K$5:$K$121,MATCH($A91,'Six-Factor Calc'!$A$5:$A$121,0)),"")</x:f>
        <x:v>70</x:v>
      </x:c>
      <x:c r="L91" s="52" t="n">
        <x:f>IFERROR(INDEX('Six-Factor Calc'!$L$5:$L$121,MATCH($A91,'Six-Factor Calc'!$A$5:$A$121,0)),"")</x:f>
        <x:v>5.747233201581027</x:v>
      </x:c>
      <x:c r="M91" s="47" t="n">
        <x:f>IFERROR(INDEX('Six-Factor Calc'!$M$5:$M$121,MATCH($A91,'Six-Factor Calc'!$A$5:$A$121,0)),"")</x:f>
        <x:v>56</x:v>
      </x:c>
      <x:c r="N91" s="47" t="str">
        <x:f>IFERROR(INDEX('Six-Factor Calc'!$N$5:$N$121,MATCH($A91,'Six-Factor Calc'!$A$5:$A$121,0)),"")</x:f>
        <x:v>SUE + CAR3</x:v>
      </x:c>
      <x:c r="O91" s="52" t="n">
        <x:f>IFERROR(INDEX('Six-Factor Calc'!$O$5:$O$121,MATCH($A91,'Six-Factor Calc'!$A$5:$A$121,0)),"")</x:f>
        <x:v>1.072</x:v>
      </x:c>
      <x:c r="P91" s="47" t="n">
        <x:f>IFERROR(INDEX('Six-Factor Calc'!$P$5:$P$121,MATCH($A91,'Six-Factor Calc'!$A$5:$A$121,0)),"")</x:f>
        <x:v>114</x:v>
      </x:c>
      <x:c r="Q91" s="50" t="n">
        <x:f>IFERROR(INDEX('Six-Factor Calc'!$Q$5:$Q$121,MATCH($A91,'Six-Factor Calc'!$A$5:$A$121,0)),"")</x:f>
        <x:v>-0.38775</x:v>
      </x:c>
      <x:c r="R91" s="50" t="n">
        <x:f>IFERROR(INDEX('Six-Factor Calc'!$R$5:$R$121,MATCH($A91,'Six-Factor Calc'!$A$5:$A$121,0)),"")</x:f>
        <x:v>-0.28046</x:v>
      </x:c>
      <x:c r="S91" s="317" t="n">
        <x:f>IFERROR(INDEX('Six-Factor Calc'!$S$5:$S$121,MATCH($A91,'Six-Factor Calc'!$A$5:$A$121,0)),"")</x:f>
        <x:v>-0.3825500962704129</x:v>
      </x:c>
      <x:c r="T91" s="47" t="str">
        <x:f>IFERROR(INDEX('Six-Factor Calc'!$T$5:$T$121,MATCH($A91,'Six-Factor Calc'!$A$5:$A$121,0)),"")</x:f>
        <x:v>OK</x:v>
      </x:c>
      <x:c r="U91" s="52" t="n">
        <x:f>IFERROR(INDEX('Six-Factor Calc'!$U$5:$U$121,MATCH($A91,'Six-Factor Calc'!$A$5:$A$121,0)),"")</x:f>
        <x:v>4.479066716641679</x:v>
      </x:c>
      <x:c r="V91" s="47" t="n">
        <x:f>IFERROR(INDEX('Six-Factor Calc'!$V$5:$V$121,MATCH($A91,'Six-Factor Calc'!$A$5:$A$121,0)),"")</x:f>
        <x:v>79</x:v>
      </x:c>
      <x:c r="W91" s="52" t="n">
        <x:f>IFERROR(INDEX('Six-Factor Calc'!$W$5:$W$121,MATCH($A91,'Six-Factor Calc'!$A$5:$A$121,0)),"")</x:f>
        <x:v>7.002068965517241</x:v>
      </x:c>
      <x:c r="X91" s="47" t="n">
        <x:f>IFERROR(INDEX('Six-Factor Calc'!$X$5:$X$121,MATCH($A91,'Six-Factor Calc'!$A$5:$A$121,0)),"")</x:f>
        <x:v>23</x:v>
      </x:c>
      <x:c r="Y91" s="52" t="n">
        <x:f>IFERROR(INDEX('Six-Factor Calc'!$Y$5:$Y$121,MATCH($A91,'Six-Factor Calc'!$A$5:$A$121,0)),"")</x:f>
        <x:v>4.025862068965518</x:v>
      </x:c>
      <x:c r="Z91" s="47" t="n">
        <x:f>IFERROR(INDEX('Six-Factor Calc'!$Z$5:$Z$121,MATCH($A91,'Six-Factor Calc'!$A$5:$A$121,0)),"")</x:f>
        <x:v>78</x:v>
      </x:c>
      <x:c r="AA91" s="47" t="str">
        <x:f>IFERROR(INDEX('Six-Factor Calc'!$AA$5:$AA$121,MATCH($A91,'Six-Factor Calc'!$A$5:$A$121,0)),"")</x:f>
        <x:v>Consumer Staples</x:v>
      </x:c>
      <x:c r="AB91" s="54" t="n">
        <x:f>IFERROR(INDEX('Six-Factor Calc'!$AB$5:$AB$121,MATCH($A91,'Six-Factor Calc'!$A$5:$A$121,0)),"")</x:f>
        <x:v>46213</x:v>
      </x:c>
      <x:c r="AC91" s="54" t="n">
        <x:f>IFERROR(INDEX('Six-Factor Calc'!$AC$5:$AC$121,MATCH($A91,'Six-Factor Calc'!$A$5:$A$121,0)),"")</x:f>
        <x:v>46112</x:v>
      </x:c>
      <x:c r="AD91" s="54" t="n">
        <x:f>IFERROR(INDEX('Six-Factor Calc'!$AD$5:$AD$121,MATCH($A91,'Six-Factor Calc'!$A$5:$A$121,0)),"")</x:f>
        <x:v>46022</x:v>
      </x:c>
      <x:c r="AE91" s="47" t="str">
        <x:f>IFERROR(INDEX('Six-Factor Calc'!$AE$5:$AE$121,MATCH($A91,'Six-Factor Calc'!$A$5:$A$121,0)),"")</x:f>
        <x:v>OK</x:v>
      </x:c>
    </x:row>
    <x:row r="92">
      <x:c r="A92" s="12" t="n">
        <x:v>88</x:v>
      </x:c>
      <x:c r="B92" s="47" t="str">
        <x:f>IFERROR(INDEX('Six-Factor Calc'!$B$5:$B$121,MATCH($A92,'Six-Factor Calc'!$A$5:$A$121,0)),"")</x:f>
        <x:v>ABBV</x:v>
      </x:c>
      <x:c r="C92" s="47" t="str">
        <x:f>IFERROR(INDEX('Six-Factor Calc'!$C$5:$C$121,MATCH($A92,'Six-Factor Calc'!$A$5:$A$121,0)),"")</x:f>
        <x:v>AbbVie Inc.</x:v>
      </x:c>
      <x:c r="D92" s="49" t="str">
        <x:f>IFERROR(INDEX('Six-Factor Calc'!$D$5:$D$121,MATCH($A92,'Six-Factor Calc'!$A$5:$A$121,0)),"")</x:f>
        <x:v>Long</x:v>
      </x:c>
      <x:c r="E92" s="49" t="n">
        <x:f>IFERROR(INDEX('Six-Factor Calc'!$E$5:$E$121,MATCH($A92,'Six-Factor Calc'!$A$5:$A$121,0)),"")</x:f>
        <x:v>0.004693</x:v>
      </x:c>
      <x:c r="F92" s="50" t="n">
        <x:f>IFERROR(INDEX('Six-Factor Calc'!$F$5:$F$121,MATCH($A92,'Six-Factor Calc'!$A$5:$A$121,0)),"")</x:f>
        <x:v>0.2537281714004462</x:v>
      </x:c>
      <x:c r="G92" s="50" t="n">
        <x:f>IFERROR(INDEX('Six-Factor Calc'!$G$5:$G$121,MATCH($A92,'Six-Factor Calc'!$A$5:$A$121,0)),"")</x:f>
        <x:v>0.056519801830322416</x:v>
      </x:c>
      <x:c r="H92" s="329" t="n">
        <x:f>IFERROR(INDEX('Six-Factor Calc'!$H$5:$H$121,MATCH($A92,'Six-Factor Calc'!$A$5:$A$121,0)),"")</x:f>
        <x:v>4.49595604470492</x:v>
      </x:c>
      <x:c r="I92" s="47" t="n">
        <x:f>IFERROR(INDEX('Six-Factor Calc'!$I$5:$I$121,MATCH($A92,'Six-Factor Calc'!$A$5:$A$121,0)),"")</x:f>
        <x:v>6</x:v>
      </x:c>
      <x:c r="J92" s="52" t="n">
        <x:f>IFERROR(INDEX('Six-Factor Calc'!$J$5:$J$121,MATCH($A92,'Six-Factor Calc'!$A$5:$A$121,0)),"")</x:f>
        <x:v>1.1551724137931034</x:v>
      </x:c>
      <x:c r="K92" s="47" t="n">
        <x:f>IFERROR(INDEX('Six-Factor Calc'!$K$5:$K$121,MATCH($A92,'Six-Factor Calc'!$A$5:$A$121,0)),"")</x:f>
        <x:v>113</x:v>
      </x:c>
      <x:c r="L92" s="52" t="n">
        <x:f>IFERROR(INDEX('Six-Factor Calc'!$L$5:$L$121,MATCH($A92,'Six-Factor Calc'!$A$5:$A$121,0)),"")</x:f>
        <x:v>4.975296442687747</x:v>
      </x:c>
      <x:c r="M92" s="47" t="n">
        <x:f>IFERROR(INDEX('Six-Factor Calc'!$M$5:$M$121,MATCH($A92,'Six-Factor Calc'!$A$5:$A$121,0)),"")</x:f>
        <x:v>75</x:v>
      </x:c>
      <x:c r="N92" s="47" t="str">
        <x:f>IFERROR(INDEX('Six-Factor Calc'!$N$5:$N$121,MATCH($A92,'Six-Factor Calc'!$A$5:$A$121,0)),"")</x:f>
        <x:v>SUE + CAR3</x:v>
      </x:c>
      <x:c r="O92" s="52" t="n">
        <x:f>IFERROR(INDEX('Six-Factor Calc'!$O$5:$O$121,MATCH($A92,'Six-Factor Calc'!$A$5:$A$121,0)),"")</x:f>
        <x:v>6.661</x:v>
      </x:c>
      <x:c r="P92" s="47" t="n">
        <x:f>IFERROR(INDEX('Six-Factor Calc'!$P$5:$P$121,MATCH($A92,'Six-Factor Calc'!$A$5:$A$121,0)),"")</x:f>
        <x:v>44</x:v>
      </x:c>
      <x:c r="Q92" s="50" t="n">
        <x:f>IFERROR(INDEX('Six-Factor Calc'!$Q$5:$Q$121,MATCH($A92,'Six-Factor Calc'!$A$5:$A$121,0)),"")</x:f>
        <x:v>3.84439</x:v>
      </x:c>
      <x:c r="R92" s="50" t="n">
        <x:f>IFERROR(INDEX('Six-Factor Calc'!$R$5:$R$121,MATCH($A92,'Six-Factor Calc'!$A$5:$A$121,0)),"")</x:f>
        <x:v>3.836</x:v>
      </x:c>
      <x:c r="S92" s="317" t="n">
        <x:f>IFERROR(INDEX('Six-Factor Calc'!$S$5:$S$121,MATCH($A92,'Six-Factor Calc'!$A$5:$A$121,0)),"")</x:f>
        <x:v>0.0021871741397289732</x:v>
      </x:c>
      <x:c r="T92" s="47" t="str">
        <x:f>IFERROR(INDEX('Six-Factor Calc'!$T$5:$T$121,MATCH($A92,'Six-Factor Calc'!$A$5:$A$121,0)),"")</x:f>
        <x:v>OK</x:v>
      </x:c>
      <x:c r="U92" s="52" t="n">
        <x:f>IFERROR(INDEX('Six-Factor Calc'!$U$5:$U$121,MATCH($A92,'Six-Factor Calc'!$A$5:$A$121,0)),"")</x:f>
        <x:v>2.6076874062968516</x:v>
      </x:c>
      <x:c r="V92" s="47" t="n">
        <x:f>IFERROR(INDEX('Six-Factor Calc'!$V$5:$V$121,MATCH($A92,'Six-Factor Calc'!$A$5:$A$121,0)),"")</x:f>
        <x:v>113</x:v>
      </x:c>
      <x:c r="W92" s="52" t="n">
        <x:f>IFERROR(INDEX('Six-Factor Calc'!$W$5:$W$121,MATCH($A92,'Six-Factor Calc'!$A$5:$A$121,0)),"")</x:f>
        <x:v>8.493275862068966</x:v>
      </x:c>
      <x:c r="X92" s="47" t="n">
        <x:f>IFERROR(INDEX('Six-Factor Calc'!$X$5:$X$121,MATCH($A92,'Six-Factor Calc'!$A$5:$A$121,0)),"")</x:f>
        <x:v>6</x:v>
      </x:c>
      <x:c r="Y92" s="52" t="n">
        <x:f>IFERROR(INDEX('Six-Factor Calc'!$Y$5:$Y$121,MATCH($A92,'Six-Factor Calc'!$A$5:$A$121,0)),"")</x:f>
        <x:v>5.577586206896552</x:v>
      </x:c>
      <x:c r="Z92" s="47" t="n">
        <x:f>IFERROR(INDEX('Six-Factor Calc'!$Z$5:$Z$121,MATCH($A92,'Six-Factor Calc'!$A$5:$A$121,0)),"")</x:f>
        <x:v>58</x:v>
      </x:c>
      <x:c r="AA92" s="47" t="str">
        <x:f>IFERROR(INDEX('Six-Factor Calc'!$AA$5:$AA$121,MATCH($A92,'Six-Factor Calc'!$A$5:$A$121,0)),"")</x:f>
        <x:v>Health Care</x:v>
      </x:c>
      <x:c r="AB92" s="54" t="n">
        <x:f>IFERROR(INDEX('Six-Factor Calc'!$AB$5:$AB$121,MATCH($A92,'Six-Factor Calc'!$A$5:$A$121,0)),"")</x:f>
        <x:v>46213</x:v>
      </x:c>
      <x:c r="AC92" s="54" t="n">
        <x:f>IFERROR(INDEX('Six-Factor Calc'!$AC$5:$AC$121,MATCH($A92,'Six-Factor Calc'!$A$5:$A$121,0)),"")</x:f>
        <x:v>46112</x:v>
      </x:c>
      <x:c r="AD92" s="54" t="n">
        <x:f>IFERROR(INDEX('Six-Factor Calc'!$AD$5:$AD$121,MATCH($A92,'Six-Factor Calc'!$A$5:$A$121,0)),"")</x:f>
        <x:v>46022</x:v>
      </x:c>
      <x:c r="AE92" s="47" t="str">
        <x:f>IFERROR(INDEX('Six-Factor Calc'!$AE$5:$AE$121,MATCH($A92,'Six-Factor Calc'!$A$5:$A$121,0)),"")</x:f>
        <x:v>OK</x:v>
      </x:c>
    </x:row>
    <x:row r="93">
      <x:c r="A93" s="12" t="n">
        <x:v>89</x:v>
      </x:c>
      <x:c r="B93" s="47" t="str">
        <x:f>IFERROR(INDEX('Six-Factor Calc'!$B$5:$B$121,MATCH($A93,'Six-Factor Calc'!$A$5:$A$121,0)),"")</x:f>
        <x:v>PAYX</x:v>
      </x:c>
      <x:c r="C93" s="47" t="str">
        <x:f>IFERROR(INDEX('Six-Factor Calc'!$C$5:$C$121,MATCH($A93,'Six-Factor Calc'!$A$5:$A$121,0)),"")</x:f>
        <x:v>Paychex Inc.</x:v>
      </x:c>
      <x:c r="D93" s="49" t="str">
        <x:f>IFERROR(INDEX('Six-Factor Calc'!$D$5:$D$121,MATCH($A93,'Six-Factor Calc'!$A$5:$A$121,0)),"")</x:f>
        <x:v>Long</x:v>
      </x:c>
      <x:c r="E93" s="49" t="n">
        <x:f>IFERROR(INDEX('Six-Factor Calc'!$E$5:$E$121,MATCH($A93,'Six-Factor Calc'!$A$5:$A$121,0)),"")</x:f>
        <x:v>0.004623</x:v>
      </x:c>
      <x:c r="F93" s="50" t="n">
        <x:f>IFERROR(INDEX('Six-Factor Calc'!$F$5:$F$121,MATCH($A93,'Six-Factor Calc'!$A$5:$A$121,0)),"")</x:f>
        <x:v>0.46691114196693567</x:v>
      </x:c>
      <x:c r="G93" s="50" t="n">
        <x:f>IFERROR(INDEX('Six-Factor Calc'!$G$5:$G$121,MATCH($A93,'Six-Factor Calc'!$A$5:$A$121,0)),"")</x:f>
        <x:v>0.09168601263068783</x:v>
      </x:c>
      <x:c r="H93" s="329" t="n">
        <x:f>IFERROR(INDEX('Six-Factor Calc'!$H$5:$H$121,MATCH($A93,'Six-Factor Calc'!$A$5:$A$121,0)),"")</x:f>
        <x:v>4.474515196946981</x:v>
      </x:c>
      <x:c r="I93" s="47" t="n">
        <x:f>IFERROR(INDEX('Six-Factor Calc'!$I$5:$I$121,MATCH($A93,'Six-Factor Calc'!$A$5:$A$121,0)),"")</x:f>
        <x:v>6</x:v>
      </x:c>
      <x:c r="J93" s="52" t="n">
        <x:f>IFERROR(INDEX('Six-Factor Calc'!$J$5:$J$121,MATCH($A93,'Six-Factor Calc'!$A$5:$A$121,0)),"")</x:f>
        <x:v>2.318965517241379</x:v>
      </x:c>
      <x:c r="K93" s="47" t="n">
        <x:f>IFERROR(INDEX('Six-Factor Calc'!$K$5:$K$121,MATCH($A93,'Six-Factor Calc'!$A$5:$A$121,0)),"")</x:f>
        <x:v>100</x:v>
      </x:c>
      <x:c r="L93" s="52" t="n">
        <x:f>IFERROR(INDEX('Six-Factor Calc'!$L$5:$L$121,MATCH($A93,'Six-Factor Calc'!$A$5:$A$121,0)),"")</x:f>
        <x:v>7.547233201581028</x:v>
      </x:c>
      <x:c r="M93" s="47" t="n">
        <x:f>IFERROR(INDEX('Six-Factor Calc'!$M$5:$M$121,MATCH($A93,'Six-Factor Calc'!$A$5:$A$121,0)),"")</x:f>
        <x:v>19</x:v>
      </x:c>
      <x:c r="N93" s="47" t="str">
        <x:f>IFERROR(INDEX('Six-Factor Calc'!$N$5:$N$121,MATCH($A93,'Six-Factor Calc'!$A$5:$A$121,0)),"")</x:f>
        <x:v>SUE + CAR3</x:v>
      </x:c>
      <x:c r="O93" s="52" t="n">
        <x:f>IFERROR(INDEX('Six-Factor Calc'!$O$5:$O$121,MATCH($A93,'Six-Factor Calc'!$A$5:$A$121,0)),"")</x:f>
        <x:v>5.9590000000000005</x:v>
      </x:c>
      <x:c r="P93" s="47" t="n">
        <x:f>IFERROR(INDEX('Six-Factor Calc'!$P$5:$P$121,MATCH($A93,'Six-Factor Calc'!$A$5:$A$121,0)),"")</x:f>
        <x:v>51</x:v>
      </x:c>
      <x:c r="Q93" s="50" t="n">
        <x:f>IFERROR(INDEX('Six-Factor Calc'!$Q$5:$Q$121,MATCH($A93,'Six-Factor Calc'!$A$5:$A$121,0)),"")</x:f>
        <x:v>1.32262</x:v>
      </x:c>
      <x:c r="R93" s="50" t="n">
        <x:f>IFERROR(INDEX('Six-Factor Calc'!$R$5:$R$121,MATCH($A93,'Six-Factor Calc'!$A$5:$A$121,0)),"")</x:f>
        <x:v>1.3232</x:v>
      </x:c>
      <x:c r="S93" s="317" t="n">
        <x:f>IFERROR(INDEX('Six-Factor Calc'!$S$5:$S$121,MATCH($A93,'Six-Factor Calc'!$A$5:$A$121,0)),"")</x:f>
        <x:v>-0.00043833131801694755</x:v>
      </x:c>
      <x:c r="T93" s="47" t="str">
        <x:f>IFERROR(INDEX('Six-Factor Calc'!$T$5:$T$121,MATCH($A93,'Six-Factor Calc'!$A$5:$A$121,0)),"")</x:f>
        <x:v>OK</x:v>
      </x:c>
      <x:c r="U93" s="52" t="n">
        <x:f>IFERROR(INDEX('Six-Factor Calc'!$U$5:$U$121,MATCH($A93,'Six-Factor Calc'!$A$5:$A$121,0)),"")</x:f>
        <x:v>3.8450862068965517</x:v>
      </x:c>
      <x:c r="V93" s="47" t="n">
        <x:f>IFERROR(INDEX('Six-Factor Calc'!$V$5:$V$121,MATCH($A93,'Six-Factor Calc'!$A$5:$A$121,0)),"")</x:f>
        <x:v>92</x:v>
      </x:c>
      <x:c r="W93" s="52" t="n">
        <x:f>IFERROR(INDEX('Six-Factor Calc'!$W$5:$W$121,MATCH($A93,'Six-Factor Calc'!$A$5:$A$121,0)),"")</x:f>
        <x:v>3.8225862068965517</x:v>
      </x:c>
      <x:c r="X93" s="47" t="n">
        <x:f>IFERROR(INDEX('Six-Factor Calc'!$X$5:$X$121,MATCH($A93,'Six-Factor Calc'!$A$5:$A$121,0)),"")</x:f>
        <x:v>84</x:v>
      </x:c>
      <x:c r="Y93" s="52" t="n">
        <x:f>IFERROR(INDEX('Six-Factor Calc'!$Y$5:$Y$121,MATCH($A93,'Six-Factor Calc'!$A$5:$A$121,0)),"")</x:f>
        <x:v>1.4655172413793103</x:v>
      </x:c>
      <x:c r="Z93" s="47" t="n">
        <x:f>IFERROR(INDEX('Six-Factor Calc'!$Z$5:$Z$121,MATCH($A93,'Six-Factor Calc'!$A$5:$A$121,0)),"")</x:f>
        <x:v>111</x:v>
      </x:c>
      <x:c r="AA93" s="47" t="str">
        <x:f>IFERROR(INDEX('Six-Factor Calc'!$AA$5:$AA$121,MATCH($A93,'Six-Factor Calc'!$A$5:$A$121,0)),"")</x:f>
        <x:v>Industrials</x:v>
      </x:c>
      <x:c r="AB93" s="54" t="n">
        <x:f>IFERROR(INDEX('Six-Factor Calc'!$AB$5:$AB$121,MATCH($A93,'Six-Factor Calc'!$A$5:$A$121,0)),"")</x:f>
        <x:v>46213</x:v>
      </x:c>
      <x:c r="AC93" s="54" t="n">
        <x:f>IFERROR(INDEX('Six-Factor Calc'!$AC$5:$AC$121,MATCH($A93,'Six-Factor Calc'!$A$5:$A$121,0)),"")</x:f>
        <x:v>46081</x:v>
      </x:c>
      <x:c r="AD93" s="54" t="n">
        <x:f>IFERROR(INDEX('Six-Factor Calc'!$AD$5:$AD$121,MATCH($A93,'Six-Factor Calc'!$A$5:$A$121,0)),"")</x:f>
        <x:v>45808</x:v>
      </x:c>
      <x:c r="AE93" s="47" t="str">
        <x:f>IFERROR(INDEX('Six-Factor Calc'!$AE$5:$AE$121,MATCH($A93,'Six-Factor Calc'!$A$5:$A$121,0)),"")</x:f>
        <x:v>OK</x:v>
      </x:c>
    </x:row>
    <x:row r="94">
      <x:c r="A94" s="12" t="n">
        <x:v>90</x:v>
      </x:c>
      <x:c r="B94" s="47" t="str">
        <x:f>IFERROR(INDEX('Six-Factor Calc'!$B$5:$B$121,MATCH($A94,'Six-Factor Calc'!$A$5:$A$121,0)),"")</x:f>
        <x:v>SBRA</x:v>
      </x:c>
      <x:c r="C94" s="47" t="str">
        <x:f>IFERROR(INDEX('Six-Factor Calc'!$C$5:$C$121,MATCH($A94,'Six-Factor Calc'!$A$5:$A$121,0)),"")</x:f>
        <x:v>Sabra Health Care REIT Inc.</x:v>
      </x:c>
      <x:c r="D94" s="49" t="str">
        <x:f>IFERROR(INDEX('Six-Factor Calc'!$D$5:$D$121,MATCH($A94,'Six-Factor Calc'!$A$5:$A$121,0)),"")</x:f>
        <x:v>Long</x:v>
      </x:c>
      <x:c r="E94" s="49" t="n">
        <x:f>IFERROR(INDEX('Six-Factor Calc'!$E$5:$E$121,MATCH($A94,'Six-Factor Calc'!$A$5:$A$121,0)),"")</x:f>
        <x:v>0.003779</x:v>
      </x:c>
      <x:c r="F94" s="50" t="n">
        <x:f>IFERROR(INDEX('Six-Factor Calc'!$F$5:$F$121,MATCH($A94,'Six-Factor Calc'!$A$5:$A$121,0)),"")</x:f>
        <x:v>0.24085582635384103</x:v>
      </x:c>
      <x:c r="G94" s="50" t="n">
        <x:f>IFERROR(INDEX('Six-Factor Calc'!$G$5:$G$121,MATCH($A94,'Six-Factor Calc'!$A$5:$A$121,0)),"")</x:f>
        <x:v>0.017575274911056805</x:v>
      </x:c>
      <x:c r="H94" s="329" t="n">
        <x:f>IFERROR(INDEX('Six-Factor Calc'!$H$5:$H$121,MATCH($A94,'Six-Factor Calc'!$A$5:$A$121,0)),"")</x:f>
        <x:v>4.451464222434237</x:v>
      </x:c>
      <x:c r="I94" s="47" t="n">
        <x:f>IFERROR(INDEX('Six-Factor Calc'!$I$5:$I$121,MATCH($A94,'Six-Factor Calc'!$A$5:$A$121,0)),"")</x:f>
        <x:v>6</x:v>
      </x:c>
      <x:c r="J94" s="52" t="n">
        <x:f>IFERROR(INDEX('Six-Factor Calc'!$J$5:$J$121,MATCH($A94,'Six-Factor Calc'!$A$5:$A$121,0)),"")</x:f>
        <x:v>3.0172413793103448</x:v>
      </x:c>
      <x:c r="K94" s="47" t="n">
        <x:f>IFERROR(INDEX('Six-Factor Calc'!$K$5:$K$121,MATCH($A94,'Six-Factor Calc'!$A$5:$A$121,0)),"")</x:f>
        <x:v>91</x:v>
      </x:c>
      <x:c r="L94" s="52" t="n">
        <x:f>IFERROR(INDEX('Six-Factor Calc'!$L$5:$L$121,MATCH($A94,'Six-Factor Calc'!$A$5:$A$121,0)),"")</x:f>
        <x:v>5.551581027667984</x:v>
      </x:c>
      <x:c r="M94" s="47" t="n">
        <x:f>IFERROR(INDEX('Six-Factor Calc'!$M$5:$M$121,MATCH($A94,'Six-Factor Calc'!$A$5:$A$121,0)),"")</x:f>
        <x:v>63</x:v>
      </x:c>
      <x:c r="N94" s="47" t="str">
        <x:f>IFERROR(INDEX('Six-Factor Calc'!$N$5:$N$121,MATCH($A94,'Six-Factor Calc'!$A$5:$A$121,0)),"")</x:f>
        <x:v>SUE + CAR3</x:v>
      </x:c>
      <x:c r="O94" s="52" t="n">
        <x:f>IFERROR(INDEX('Six-Factor Calc'!$O$5:$O$121,MATCH($A94,'Six-Factor Calc'!$A$5:$A$121,0)),"")</x:f>
        <x:v>3.709</x:v>
      </x:c>
      <x:c r="P94" s="47" t="n">
        <x:f>IFERROR(INDEX('Six-Factor Calc'!$P$5:$P$121,MATCH($A94,'Six-Factor Calc'!$A$5:$A$121,0)),"")</x:f>
        <x:v>80</x:v>
      </x:c>
      <x:c r="Q94" s="50" t="n">
        <x:f>IFERROR(INDEX('Six-Factor Calc'!$Q$5:$Q$121,MATCH($A94,'Six-Factor Calc'!$A$5:$A$121,0)),"")</x:f>
        <x:v>0.16667</x:v>
      </x:c>
      <x:c r="R94" s="50" t="n">
        <x:f>IFERROR(INDEX('Six-Factor Calc'!$R$5:$R$121,MATCH($A94,'Six-Factor Calc'!$A$5:$A$121,0)),"")</x:f>
        <x:v>0.17</x:v>
      </x:c>
      <x:c r="S94" s="317" t="n">
        <x:f>IFERROR(INDEX('Six-Factor Calc'!$S$5:$S$121,MATCH($A94,'Six-Factor Calc'!$A$5:$A$121,0)),"")</x:f>
        <x:v>-0.019588235294117642</x:v>
      </x:c>
      <x:c r="T94" s="47" t="str">
        <x:f>IFERROR(INDEX('Six-Factor Calc'!$T$5:$T$121,MATCH($A94,'Six-Factor Calc'!$A$5:$A$121,0)),"")</x:f>
        <x:v>OK</x:v>
      </x:c>
      <x:c r="U94" s="52" t="n">
        <x:f>IFERROR(INDEX('Six-Factor Calc'!$U$5:$U$121,MATCH($A94,'Six-Factor Calc'!$A$5:$A$121,0)),"")</x:f>
        <x:v>5.306034482758621</x:v>
      </x:c>
      <x:c r="V94" s="47" t="n">
        <x:f>IFERROR(INDEX('Six-Factor Calc'!$V$5:$V$121,MATCH($A94,'Six-Factor Calc'!$A$5:$A$121,0)),"")</x:f>
        <x:v>64</x:v>
      </x:c>
      <x:c r="W94" s="52" t="n">
        <x:f>IFERROR(INDEX('Six-Factor Calc'!$W$5:$W$121,MATCH($A94,'Six-Factor Calc'!$A$5:$A$121,0)),"")</x:f>
        <x:v>7.75</x:v>
      </x:c>
      <x:c r="X94" s="47" t="n">
        <x:f>IFERROR(INDEX('Six-Factor Calc'!$X$5:$X$121,MATCH($A94,'Six-Factor Calc'!$A$5:$A$121,0)),"")</x:f>
        <x:v>16</x:v>
      </x:c>
      <x:c r="Y94" s="52" t="n">
        <x:f>IFERROR(INDEX('Six-Factor Calc'!$Y$5:$Y$121,MATCH($A94,'Six-Factor Calc'!$A$5:$A$121,0)),"")</x:f>
        <x:v>2.163793103448276</x:v>
      </x:c>
      <x:c r="Z94" s="47" t="n">
        <x:f>IFERROR(INDEX('Six-Factor Calc'!$Z$5:$Z$121,MATCH($A94,'Six-Factor Calc'!$A$5:$A$121,0)),"")</x:f>
        <x:v>102</x:v>
      </x:c>
      <x:c r="AA94" s="47" t="str">
        <x:f>IFERROR(INDEX('Six-Factor Calc'!$AA$5:$AA$121,MATCH($A94,'Six-Factor Calc'!$A$5:$A$121,0)),"")</x:f>
        <x:v>Real Estate</x:v>
      </x:c>
      <x:c r="AB94" s="54" t="n">
        <x:f>IFERROR(INDEX('Six-Factor Calc'!$AB$5:$AB$121,MATCH($A94,'Six-Factor Calc'!$A$5:$A$121,0)),"")</x:f>
        <x:v>46213</x:v>
      </x:c>
      <x:c r="AC94" s="54" t="n">
        <x:f>IFERROR(INDEX('Six-Factor Calc'!$AC$5:$AC$121,MATCH($A94,'Six-Factor Calc'!$A$5:$A$121,0)),"")</x:f>
        <x:v>46112</x:v>
      </x:c>
      <x:c r="AD94" s="54" t="n">
        <x:f>IFERROR(INDEX('Six-Factor Calc'!$AD$5:$AD$121,MATCH($A94,'Six-Factor Calc'!$A$5:$A$121,0)),"")</x:f>
        <x:v>46022</x:v>
      </x:c>
      <x:c r="AE94" s="47" t="str">
        <x:f>IFERROR(INDEX('Six-Factor Calc'!$AE$5:$AE$121,MATCH($A94,'Six-Factor Calc'!$A$5:$A$121,0)),"")</x:f>
        <x:v>OK</x:v>
      </x:c>
    </x:row>
    <x:row r="95">
      <x:c r="A95" s="12" t="n">
        <x:v>91</x:v>
      </x:c>
      <x:c r="B95" s="47" t="str">
        <x:f>IFERROR(INDEX('Six-Factor Calc'!$B$5:$B$121,MATCH($A95,'Six-Factor Calc'!$A$5:$A$121,0)),"")</x:f>
        <x:v>PR</x:v>
      </x:c>
      <x:c r="C95" s="47" t="str">
        <x:f>IFERROR(INDEX('Six-Factor Calc'!$C$5:$C$121,MATCH($A95,'Six-Factor Calc'!$A$5:$A$121,0)),"")</x:f>
        <x:v>Permian Resources Corp.</x:v>
      </x:c>
      <x:c r="D95" s="49" t="str">
        <x:f>IFERROR(INDEX('Six-Factor Calc'!$D$5:$D$121,MATCH($A95,'Six-Factor Calc'!$A$5:$A$121,0)),"")</x:f>
        <x:v>Long</x:v>
      </x:c>
      <x:c r="E95" s="49" t="n">
        <x:f>IFERROR(INDEX('Six-Factor Calc'!$E$5:$E$121,MATCH($A95,'Six-Factor Calc'!$A$5:$A$121,0)),"")</x:f>
        <x:v>0.003754</x:v>
      </x:c>
      <x:c r="F95" s="50" t="n">
        <x:f>IFERROR(INDEX('Six-Factor Calc'!$F$5:$F$121,MATCH($A95,'Six-Factor Calc'!$A$5:$A$121,0)),"")</x:f>
        <x:v>0.07388309590108909</x:v>
      </x:c>
      <x:c r="G95" s="50" t="n">
        <x:f>IFERROR(INDEX('Six-Factor Calc'!$G$5:$G$121,MATCH($A95,'Six-Factor Calc'!$A$5:$A$121,0)),"")</x:f>
        <x:v>-0.0802880697844768</x:v>
      </x:c>
      <x:c r="H95" s="329" t="n">
        <x:f>IFERROR(INDEX('Six-Factor Calc'!$H$5:$H$121,MATCH($A95,'Six-Factor Calc'!$A$5:$A$121,0)),"")</x:f>
        <x:v>4.449568806505837</x:v>
      </x:c>
      <x:c r="I95" s="47" t="n">
        <x:f>IFERROR(INDEX('Six-Factor Calc'!$I$5:$I$121,MATCH($A95,'Six-Factor Calc'!$A$5:$A$121,0)),"")</x:f>
        <x:v>6</x:v>
      </x:c>
      <x:c r="J95" s="52" t="n">
        <x:f>IFERROR(INDEX('Six-Factor Calc'!$J$5:$J$121,MATCH($A95,'Six-Factor Calc'!$A$5:$A$121,0)),"")</x:f>
        <x:v>4.103448275862069</x:v>
      </x:c>
      <x:c r="K95" s="47" t="n">
        <x:f>IFERROR(INDEX('Six-Factor Calc'!$K$5:$K$121,MATCH($A95,'Six-Factor Calc'!$A$5:$A$121,0)),"")</x:f>
        <x:v>77</x:v>
      </x:c>
      <x:c r="L95" s="52" t="n">
        <x:f>IFERROR(INDEX('Six-Factor Calc'!$L$5:$L$121,MATCH($A95,'Six-Factor Calc'!$A$5:$A$121,0)),"")</x:f>
        <x:v>1.6011857707509882</x:v>
      </x:c>
      <x:c r="M95" s="47" t="n">
        <x:f>IFERROR(INDEX('Six-Factor Calc'!$M$5:$M$121,MATCH($A95,'Six-Factor Calc'!$A$5:$A$121,0)),"")</x:f>
        <x:v>115</x:v>
      </x:c>
      <x:c r="N95" s="47" t="str">
        <x:f>IFERROR(INDEX('Six-Factor Calc'!$N$5:$N$121,MATCH($A95,'Six-Factor Calc'!$A$5:$A$121,0)),"")</x:f>
        <x:v>SUE + CAR3</x:v>
      </x:c>
      <x:c r="O95" s="52" t="n">
        <x:f>IFERROR(INDEX('Six-Factor Calc'!$O$5:$O$121,MATCH($A95,'Six-Factor Calc'!$A$5:$A$121,0)),"")</x:f>
        <x:v>4.564</x:v>
      </x:c>
      <x:c r="P95" s="47" t="n">
        <x:f>IFERROR(INDEX('Six-Factor Calc'!$P$5:$P$121,MATCH($A95,'Six-Factor Calc'!$A$5:$A$121,0)),"")</x:f>
        <x:v>69</x:v>
      </x:c>
      <x:c r="Q95" s="50" t="n">
        <x:f>IFERROR(INDEX('Six-Factor Calc'!$Q$5:$Q$121,MATCH($A95,'Six-Factor Calc'!$A$5:$A$121,0)),"")</x:f>
        <x:v>0.51446</x:v>
      </x:c>
      <x:c r="R95" s="50" t="n">
        <x:f>IFERROR(INDEX('Six-Factor Calc'!$R$5:$R$121,MATCH($A95,'Six-Factor Calc'!$A$5:$A$121,0)),"")</x:f>
        <x:v>0.51953</x:v>
      </x:c>
      <x:c r="S95" s="317" t="n">
        <x:f>IFERROR(INDEX('Six-Factor Calc'!$S$5:$S$121,MATCH($A95,'Six-Factor Calc'!$A$5:$A$121,0)),"")</x:f>
        <x:v>-0.009758820472350044</x:v>
      </x:c>
      <x:c r="T95" s="47" t="str">
        <x:f>IFERROR(INDEX('Six-Factor Calc'!$T$5:$T$121,MATCH($A95,'Six-Factor Calc'!$A$5:$A$121,0)),"")</x:f>
        <x:v>OK</x:v>
      </x:c>
      <x:c r="U95" s="52" t="n">
        <x:f>IFERROR(INDEX('Six-Factor Calc'!$U$5:$U$121,MATCH($A95,'Six-Factor Calc'!$A$5:$A$121,0)),"")</x:f>
        <x:v>5.873313343328336</x:v>
      </x:c>
      <x:c r="V95" s="47" t="n">
        <x:f>IFERROR(INDEX('Six-Factor Calc'!$V$5:$V$121,MATCH($A95,'Six-Factor Calc'!$A$5:$A$121,0)),"")</x:f>
        <x:v>49</x:v>
      </x:c>
      <x:c r="W95" s="52" t="n">
        <x:f>IFERROR(INDEX('Six-Factor Calc'!$W$5:$W$121,MATCH($A95,'Six-Factor Calc'!$A$5:$A$121,0)),"")</x:f>
        <x:v>6.043103448275861</x:v>
      </x:c>
      <x:c r="X95" s="47" t="n">
        <x:f>IFERROR(INDEX('Six-Factor Calc'!$X$5:$X$121,MATCH($A95,'Six-Factor Calc'!$A$5:$A$121,0)),"")</x:f>
        <x:v>43</x:v>
      </x:c>
      <x:c r="Y95" s="52" t="n">
        <x:f>IFERROR(INDEX('Six-Factor Calc'!$Y$5:$Y$121,MATCH($A95,'Six-Factor Calc'!$A$5:$A$121,0)),"")</x:f>
        <x:v>8.448275862068964</x:v>
      </x:c>
      <x:c r="Z95" s="47" t="n">
        <x:f>IFERROR(INDEX('Six-Factor Calc'!$Z$5:$Z$121,MATCH($A95,'Six-Factor Calc'!$A$5:$A$121,0)),"")</x:f>
        <x:v>21</x:v>
      </x:c>
      <x:c r="AA95" s="47" t="str">
        <x:f>IFERROR(INDEX('Six-Factor Calc'!$AA$5:$AA$121,MATCH($A95,'Six-Factor Calc'!$A$5:$A$121,0)),"")</x:f>
        <x:v>Energy</x:v>
      </x:c>
      <x:c r="AB95" s="54" t="n">
        <x:f>IFERROR(INDEX('Six-Factor Calc'!$AB$5:$AB$121,MATCH($A95,'Six-Factor Calc'!$A$5:$A$121,0)),"")</x:f>
        <x:v>46213</x:v>
      </x:c>
      <x:c r="AC95" s="54" t="n">
        <x:f>IFERROR(INDEX('Six-Factor Calc'!$AC$5:$AC$121,MATCH($A95,'Six-Factor Calc'!$A$5:$A$121,0)),"")</x:f>
        <x:v>46112</x:v>
      </x:c>
      <x:c r="AD95" s="54" t="n">
        <x:f>IFERROR(INDEX('Six-Factor Calc'!$AD$5:$AD$121,MATCH($A95,'Six-Factor Calc'!$A$5:$A$121,0)),"")</x:f>
        <x:v>46022</x:v>
      </x:c>
      <x:c r="AE95" s="47" t="str">
        <x:f>IFERROR(INDEX('Six-Factor Calc'!$AE$5:$AE$121,MATCH($A95,'Six-Factor Calc'!$A$5:$A$121,0)),"")</x:f>
        <x:v>OK</x:v>
      </x:c>
    </x:row>
    <x:row r="96">
      <x:c r="A96" s="12" t="n">
        <x:v>92</x:v>
      </x:c>
      <x:c r="B96" s="47" t="str">
        <x:f>IFERROR(INDEX('Six-Factor Calc'!$B$5:$B$121,MATCH($A96,'Six-Factor Calc'!$A$5:$A$121,0)),"")</x:f>
        <x:v>CMS</x:v>
      </x:c>
      <x:c r="C96" s="47" t="str">
        <x:f>IFERROR(INDEX('Six-Factor Calc'!$C$5:$C$121,MATCH($A96,'Six-Factor Calc'!$A$5:$A$121,0)),"")</x:f>
        <x:v>CMS Energy Corp.</x:v>
      </x:c>
      <x:c r="D96" s="49" t="str">
        <x:f>IFERROR(INDEX('Six-Factor Calc'!$D$5:$D$121,MATCH($A96,'Six-Factor Calc'!$A$5:$A$121,0)),"")</x:f>
        <x:v>Long</x:v>
      </x:c>
      <x:c r="E96" s="49" t="n">
        <x:f>IFERROR(INDEX('Six-Factor Calc'!$E$5:$E$121,MATCH($A96,'Six-Factor Calc'!$A$5:$A$121,0)),"")</x:f>
        <x:v>0.004149</x:v>
      </x:c>
      <x:c r="F96" s="50" t="n">
        <x:f>IFERROR(INDEX('Six-Factor Calc'!$F$5:$F$121,MATCH($A96,'Six-Factor Calc'!$A$5:$A$121,0)),"")</x:f>
        <x:v>0.09774596917094862</x:v>
      </x:c>
      <x:c r="G96" s="50" t="n">
        <x:f>IFERROR(INDEX('Six-Factor Calc'!$G$5:$G$121,MATCH($A96,'Six-Factor Calc'!$A$5:$A$121,0)),"")</x:f>
        <x:v>-0.01220974383182669</x:v>
      </x:c>
      <x:c r="H96" s="329" t="n">
        <x:f>IFERROR(INDEX('Six-Factor Calc'!$H$5:$H$121,MATCH($A96,'Six-Factor Calc'!$A$5:$A$121,0)),"")</x:f>
        <x:v>4.433417813820363</x:v>
      </x:c>
      <x:c r="I96" s="47" t="n">
        <x:f>IFERROR(INDEX('Six-Factor Calc'!$I$5:$I$121,MATCH($A96,'Six-Factor Calc'!$A$5:$A$121,0)),"")</x:f>
        <x:v>6</x:v>
      </x:c>
      <x:c r="J96" s="52" t="n">
        <x:f>IFERROR(INDEX('Six-Factor Calc'!$J$5:$J$121,MATCH($A96,'Six-Factor Calc'!$A$5:$A$121,0)),"")</x:f>
        <x:v>1.853448275862069</x:v>
      </x:c>
      <x:c r="K96" s="47" t="n">
        <x:f>IFERROR(INDEX('Six-Factor Calc'!$K$5:$K$121,MATCH($A96,'Six-Factor Calc'!$A$5:$A$121,0)),"")</x:f>
        <x:v>106</x:v>
      </x:c>
      <x:c r="L96" s="52" t="n">
        <x:f>IFERROR(INDEX('Six-Factor Calc'!$L$5:$L$121,MATCH($A96,'Six-Factor Calc'!$A$5:$A$121,0)),"")</x:f>
        <x:v>6.129644268774704</x:v>
      </x:c>
      <x:c r="M96" s="47" t="n">
        <x:f>IFERROR(INDEX('Six-Factor Calc'!$M$5:$M$121,MATCH($A96,'Six-Factor Calc'!$A$5:$A$121,0)),"")</x:f>
        <x:v>43</x:v>
      </x:c>
      <x:c r="N96" s="47" t="str">
        <x:f>IFERROR(INDEX('Six-Factor Calc'!$N$5:$N$121,MATCH($A96,'Six-Factor Calc'!$A$5:$A$121,0)),"")</x:f>
        <x:v>SUE + CAR3</x:v>
      </x:c>
      <x:c r="O96" s="52" t="n">
        <x:f>IFERROR(INDEX('Six-Factor Calc'!$O$5:$O$121,MATCH($A96,'Six-Factor Calc'!$A$5:$A$121,0)),"")</x:f>
        <x:v>9.532</x:v>
      </x:c>
      <x:c r="P96" s="47" t="n">
        <x:f>IFERROR(INDEX('Six-Factor Calc'!$P$5:$P$121,MATCH($A96,'Six-Factor Calc'!$A$5:$A$121,0)),"")</x:f>
        <x:v>7</x:v>
      </x:c>
      <x:c r="Q96" s="50" t="n">
        <x:f>IFERROR(INDEX('Six-Factor Calc'!$Q$5:$Q$121,MATCH($A96,'Six-Factor Calc'!$A$5:$A$121,0)),"")</x:f>
        <x:v>1.12489</x:v>
      </x:c>
      <x:c r="R96" s="50" t="n">
        <x:f>IFERROR(INDEX('Six-Factor Calc'!$R$5:$R$121,MATCH($A96,'Six-Factor Calc'!$A$5:$A$121,0)),"")</x:f>
        <x:v>1.06053</x:v>
      </x:c>
      <x:c r="S96" s="317" t="n">
        <x:f>IFERROR(INDEX('Six-Factor Calc'!$S$5:$S$121,MATCH($A96,'Six-Factor Calc'!$A$5:$A$121,0)),"")</x:f>
        <x:v>0.06068663781316886</x:v>
      </x:c>
      <x:c r="T96" s="47" t="str">
        <x:f>IFERROR(INDEX('Six-Factor Calc'!$T$5:$T$121,MATCH($A96,'Six-Factor Calc'!$A$5:$A$121,0)),"")</x:f>
        <x:v>OK</x:v>
      </x:c>
      <x:c r="U96" s="52" t="n">
        <x:f>IFERROR(INDEX('Six-Factor Calc'!$U$5:$U$121,MATCH($A96,'Six-Factor Calc'!$A$5:$A$121,0)),"")</x:f>
        <x:v>4.213215892053973</x:v>
      </x:c>
      <x:c r="V96" s="47" t="n">
        <x:f>IFERROR(INDEX('Six-Factor Calc'!$V$5:$V$121,MATCH($A96,'Six-Factor Calc'!$A$5:$A$121,0)),"")</x:f>
        <x:v>87</x:v>
      </x:c>
      <x:c r="W96" s="52" t="n">
        <x:f>IFERROR(INDEX('Six-Factor Calc'!$W$5:$W$121,MATCH($A96,'Six-Factor Calc'!$A$5:$A$121,0)),"")</x:f>
        <x:v>2.272413793103448</x:v>
      </x:c>
      <x:c r="X96" s="47" t="n">
        <x:f>IFERROR(INDEX('Six-Factor Calc'!$X$5:$X$121,MATCH($A96,'Six-Factor Calc'!$A$5:$A$121,0)),"")</x:f>
        <x:v>108</x:v>
      </x:c>
      <x:c r="Y96" s="52" t="n">
        <x:f>IFERROR(INDEX('Six-Factor Calc'!$Y$5:$Y$121,MATCH($A96,'Six-Factor Calc'!$A$5:$A$121,0)),"")</x:f>
        <x:v>1.1551724137931034</x:v>
      </x:c>
      <x:c r="Z96" s="47" t="n">
        <x:f>IFERROR(INDEX('Six-Factor Calc'!$Z$5:$Z$121,MATCH($A96,'Six-Factor Calc'!$A$5:$A$121,0)),"")</x:f>
        <x:v>115</x:v>
      </x:c>
      <x:c r="AA96" s="47" t="str">
        <x:f>IFERROR(INDEX('Six-Factor Calc'!$AA$5:$AA$121,MATCH($A96,'Six-Factor Calc'!$A$5:$A$121,0)),"")</x:f>
        <x:v>Utilities</x:v>
      </x:c>
      <x:c r="AB96" s="54" t="n">
        <x:f>IFERROR(INDEX('Six-Factor Calc'!$AB$5:$AB$121,MATCH($A96,'Six-Factor Calc'!$A$5:$A$121,0)),"")</x:f>
        <x:v>46213</x:v>
      </x:c>
      <x:c r="AC96" s="54" t="n">
        <x:f>IFERROR(INDEX('Six-Factor Calc'!$AC$5:$AC$121,MATCH($A96,'Six-Factor Calc'!$A$5:$A$121,0)),"")</x:f>
        <x:v>46112</x:v>
      </x:c>
      <x:c r="AD96" s="54" t="n">
        <x:f>IFERROR(INDEX('Six-Factor Calc'!$AD$5:$AD$121,MATCH($A96,'Six-Factor Calc'!$A$5:$A$121,0)),"")</x:f>
        <x:v>46022</x:v>
      </x:c>
      <x:c r="AE96" s="47" t="str">
        <x:f>IFERROR(INDEX('Six-Factor Calc'!$AE$5:$AE$121,MATCH($A96,'Six-Factor Calc'!$A$5:$A$121,0)),"")</x:f>
        <x:v>OK</x:v>
      </x:c>
    </x:row>
    <x:row r="97">
      <x:c r="A97" s="12" t="n">
        <x:v>93</x:v>
      </x:c>
      <x:c r="B97" s="47" t="str">
        <x:f>IFERROR(INDEX('Six-Factor Calc'!$B$5:$B$121,MATCH($A97,'Six-Factor Calc'!$A$5:$A$121,0)),"")</x:f>
        <x:v>BRO</x:v>
      </x:c>
      <x:c r="C97" s="47" t="str">
        <x:f>IFERROR(INDEX('Six-Factor Calc'!$C$5:$C$121,MATCH($A97,'Six-Factor Calc'!$A$5:$A$121,0)),"")</x:f>
        <x:v>Brown &amp; Brown Inc.</x:v>
      </x:c>
      <x:c r="D97" s="49" t="str">
        <x:f>IFERROR(INDEX('Six-Factor Calc'!$D$5:$D$121,MATCH($A97,'Six-Factor Calc'!$A$5:$A$121,0)),"")</x:f>
        <x:v>Long</x:v>
      </x:c>
      <x:c r="E97" s="49" t="n">
        <x:f>IFERROR(INDEX('Six-Factor Calc'!$E$5:$E$121,MATCH($A97,'Six-Factor Calc'!$A$5:$A$121,0)),"")</x:f>
        <x:v>0.004654</x:v>
      </x:c>
      <x:c r="F97" s="50" t="n">
        <x:f>IFERROR(INDEX('Six-Factor Calc'!$F$5:$F$121,MATCH($A97,'Six-Factor Calc'!$A$5:$A$121,0)),"")</x:f>
        <x:v>0.24015465822252402</x:v>
      </x:c>
      <x:c r="G97" s="50" t="n">
        <x:f>IFERROR(INDEX('Six-Factor Calc'!$G$5:$G$121,MATCH($A97,'Six-Factor Calc'!$A$5:$A$121,0)),"")</x:f>
        <x:v>-0.04593763894662992</x:v>
      </x:c>
      <x:c r="H97" s="329" t="n">
        <x:f>IFERROR(INDEX('Six-Factor Calc'!$H$5:$H$121,MATCH($A97,'Six-Factor Calc'!$A$5:$A$121,0)),"")</x:f>
        <x:v>4.408018808777429</x:v>
      </x:c>
      <x:c r="I97" s="47" t="n">
        <x:f>IFERROR(INDEX('Six-Factor Calc'!$I$5:$I$121,MATCH($A97,'Six-Factor Calc'!$A$5:$A$121,0)),"")</x:f>
        <x:v>6</x:v>
      </x:c>
      <x:c r="J97" s="52" t="n">
        <x:f>IFERROR(INDEX('Six-Factor Calc'!$J$5:$J$121,MATCH($A97,'Six-Factor Calc'!$A$5:$A$121,0)),"")</x:f>
        <x:v>3.793103448275862</x:v>
      </x:c>
      <x:c r="K97" s="47" t="n">
        <x:f>IFERROR(INDEX('Six-Factor Calc'!$K$5:$K$121,MATCH($A97,'Six-Factor Calc'!$A$5:$A$121,0)),"")</x:f>
        <x:v>81</x:v>
      </x:c>
      <x:c r="L97" s="52" t="n">
        <x:f>IFERROR(INDEX('Six-Factor Calc'!$L$5:$L$121,MATCH($A97,'Six-Factor Calc'!$A$5:$A$121,0)),"")</x:f>
        <x:v>4.395454545454546</x:v>
      </x:c>
      <x:c r="M97" s="47" t="n">
        <x:f>IFERROR(INDEX('Six-Factor Calc'!$M$5:$M$121,MATCH($A97,'Six-Factor Calc'!$A$5:$A$121,0)),"")</x:f>
        <x:v>82</x:v>
      </x:c>
      <x:c r="N97" s="47" t="str">
        <x:f>IFERROR(INDEX('Six-Factor Calc'!$N$5:$N$121,MATCH($A97,'Six-Factor Calc'!$A$5:$A$121,0)),"")</x:f>
        <x:v>SUE + CAR3</x:v>
      </x:c>
      <x:c r="O97" s="52" t="n">
        <x:f>IFERROR(INDEX('Six-Factor Calc'!$O$5:$O$121,MATCH($A97,'Six-Factor Calc'!$A$5:$A$121,0)),"")</x:f>
        <x:v>6.9670000000000005</x:v>
      </x:c>
      <x:c r="P97" s="47" t="n">
        <x:f>IFERROR(INDEX('Six-Factor Calc'!$P$5:$P$121,MATCH($A97,'Six-Factor Calc'!$A$5:$A$121,0)),"")</x:f>
        <x:v>40</x:v>
      </x:c>
      <x:c r="Q97" s="50" t="n">
        <x:f>IFERROR(INDEX('Six-Factor Calc'!$Q$5:$Q$121,MATCH($A97,'Six-Factor Calc'!$A$5:$A$121,0)),"")</x:f>
        <x:v>1.08586</x:v>
      </x:c>
      <x:c r="R97" s="50" t="n">
        <x:f>IFERROR(INDEX('Six-Factor Calc'!$R$5:$R$121,MATCH($A97,'Six-Factor Calc'!$A$5:$A$121,0)),"")</x:f>
        <x:v>1.08111</x:v>
      </x:c>
      <x:c r="S97" s="317" t="n">
        <x:f>IFERROR(INDEX('Six-Factor Calc'!$S$5:$S$121,MATCH($A97,'Six-Factor Calc'!$A$5:$A$121,0)),"")</x:f>
        <x:v>0.004393632470331448</x:v>
      </x:c>
      <x:c r="T97" s="47" t="str">
        <x:f>IFERROR(INDEX('Six-Factor Calc'!$T$5:$T$121,MATCH($A97,'Six-Factor Calc'!$A$5:$A$121,0)),"")</x:f>
        <x:v>OK</x:v>
      </x:c>
      <x:c r="U97" s="52" t="n">
        <x:f>IFERROR(INDEX('Six-Factor Calc'!$U$5:$U$121,MATCH($A97,'Six-Factor Calc'!$A$5:$A$121,0)),"")</x:f>
        <x:v>6.702586206896552</x:v>
      </x:c>
      <x:c r="V97" s="47" t="n">
        <x:f>IFERROR(INDEX('Six-Factor Calc'!$V$5:$V$121,MATCH($A97,'Six-Factor Calc'!$A$5:$A$121,0)),"")</x:f>
        <x:v>32</x:v>
      </x:c>
      <x:c r="W97" s="52" t="n">
        <x:f>IFERROR(INDEX('Six-Factor Calc'!$W$5:$W$121,MATCH($A97,'Six-Factor Calc'!$A$5:$A$121,0)),"")</x:f>
        <x:v>1.0775862068965514</x:v>
      </x:c>
      <x:c r="X97" s="47" t="n">
        <x:f>IFERROR(INDEX('Six-Factor Calc'!$X$5:$X$121,MATCH($A97,'Six-Factor Calc'!$A$5:$A$121,0)),"")</x:f>
        <x:v>116</x:v>
      </x:c>
      <x:c r="Y97" s="52" t="n">
        <x:f>IFERROR(INDEX('Six-Factor Calc'!$Y$5:$Y$121,MATCH($A97,'Six-Factor Calc'!$A$5:$A$121,0)),"")</x:f>
        <x:v>3.0172413793103448</x:v>
      </x:c>
      <x:c r="Z97" s="47" t="n">
        <x:f>IFERROR(INDEX('Six-Factor Calc'!$Z$5:$Z$121,MATCH($A97,'Six-Factor Calc'!$A$5:$A$121,0)),"")</x:f>
        <x:v>91</x:v>
      </x:c>
      <x:c r="AA97" s="47" t="str">
        <x:f>IFERROR(INDEX('Six-Factor Calc'!$AA$5:$AA$121,MATCH($A97,'Six-Factor Calc'!$A$5:$A$121,0)),"")</x:f>
        <x:v>Finance</x:v>
      </x:c>
      <x:c r="AB97" s="54" t="n">
        <x:f>IFERROR(INDEX('Six-Factor Calc'!$AB$5:$AB$121,MATCH($A97,'Six-Factor Calc'!$A$5:$A$121,0)),"")</x:f>
        <x:v>46213</x:v>
      </x:c>
      <x:c r="AC97" s="54" t="n">
        <x:f>IFERROR(INDEX('Six-Factor Calc'!$AC$5:$AC$121,MATCH($A97,'Six-Factor Calc'!$A$5:$A$121,0)),"")</x:f>
        <x:v>46112</x:v>
      </x:c>
      <x:c r="AD97" s="54" t="n">
        <x:f>IFERROR(INDEX('Six-Factor Calc'!$AD$5:$AD$121,MATCH($A97,'Six-Factor Calc'!$A$5:$A$121,0)),"")</x:f>
        <x:v>46022</x:v>
      </x:c>
      <x:c r="AE97" s="47" t="str">
        <x:f>IFERROR(INDEX('Six-Factor Calc'!$AE$5:$AE$121,MATCH($A97,'Six-Factor Calc'!$A$5:$A$121,0)),"")</x:f>
        <x:v>OK</x:v>
      </x:c>
    </x:row>
    <x:row r="98">
      <x:c r="A98" s="12" t="n">
        <x:v>94</x:v>
      </x:c>
      <x:c r="B98" s="47" t="str">
        <x:f>IFERROR(INDEX('Six-Factor Calc'!$B$5:$B$121,MATCH($A98,'Six-Factor Calc'!$A$5:$A$121,0)),"")</x:f>
        <x:v>CNP</x:v>
      </x:c>
      <x:c r="C98" s="47" t="str">
        <x:f>IFERROR(INDEX('Six-Factor Calc'!$C$5:$C$121,MATCH($A98,'Six-Factor Calc'!$A$5:$A$121,0)),"")</x:f>
        <x:v>Centerpoint Energy Inc.</x:v>
      </x:c>
      <x:c r="D98" s="49" t="str">
        <x:f>IFERROR(INDEX('Six-Factor Calc'!$D$5:$D$121,MATCH($A98,'Six-Factor Calc'!$A$5:$A$121,0)),"")</x:f>
        <x:v>Long</x:v>
      </x:c>
      <x:c r="E98" s="49" t="n">
        <x:f>IFERROR(INDEX('Six-Factor Calc'!$E$5:$E$121,MATCH($A98,'Six-Factor Calc'!$A$5:$A$121,0)),"")</x:f>
        <x:v>0.004118</x:v>
      </x:c>
      <x:c r="F98" s="50" t="n">
        <x:f>IFERROR(INDEX('Six-Factor Calc'!$F$5:$F$121,MATCH($A98,'Six-Factor Calc'!$A$5:$A$121,0)),"")</x:f>
        <x:v>0.13702310324257344</x:v>
      </x:c>
      <x:c r="G98" s="50" t="n">
        <x:f>IFERROR(INDEX('Six-Factor Calc'!$G$5:$G$121,MATCH($A98,'Six-Factor Calc'!$A$5:$A$121,0)),"")</x:f>
        <x:v>0.11335135977874447</x:v>
      </x:c>
      <x:c r="H98" s="329" t="n">
        <x:f>IFERROR(INDEX('Six-Factor Calc'!$H$5:$H$121,MATCH($A98,'Six-Factor Calc'!$A$5:$A$121,0)),"")</x:f>
        <x:v>4.40196694834401</x:v>
      </x:c>
      <x:c r="I98" s="47" t="n">
        <x:f>IFERROR(INDEX('Six-Factor Calc'!$I$5:$I$121,MATCH($A98,'Six-Factor Calc'!$A$5:$A$121,0)),"")</x:f>
        <x:v>6</x:v>
      </x:c>
      <x:c r="J98" s="52" t="n">
        <x:f>IFERROR(INDEX('Six-Factor Calc'!$J$5:$J$121,MATCH($A98,'Six-Factor Calc'!$A$5:$A$121,0)),"")</x:f>
        <x:v>1.9310344827586206</x:v>
      </x:c>
      <x:c r="K98" s="47" t="n">
        <x:f>IFERROR(INDEX('Six-Factor Calc'!$K$5:$K$121,MATCH($A98,'Six-Factor Calc'!$A$5:$A$121,0)),"")</x:f>
        <x:v>105</x:v>
      </x:c>
      <x:c r="L98" s="52" t="n">
        <x:f>IFERROR(INDEX('Six-Factor Calc'!$L$5:$L$121,MATCH($A98,'Six-Factor Calc'!$A$5:$A$121,0)),"")</x:f>
        <x:v>5.626284584980238</x:v>
      </x:c>
      <x:c r="M98" s="47" t="n">
        <x:f>IFERROR(INDEX('Six-Factor Calc'!$M$5:$M$121,MATCH($A98,'Six-Factor Calc'!$A$5:$A$121,0)),"")</x:f>
        <x:v>61</x:v>
      </x:c>
      <x:c r="N98" s="47" t="str">
        <x:f>IFERROR(INDEX('Six-Factor Calc'!$N$5:$N$121,MATCH($A98,'Six-Factor Calc'!$A$5:$A$121,0)),"")</x:f>
        <x:v>SUE + CAR3</x:v>
      </x:c>
      <x:c r="O98" s="52" t="n">
        <x:f>IFERROR(INDEX('Six-Factor Calc'!$O$5:$O$121,MATCH($A98,'Six-Factor Calc'!$A$5:$A$121,0)),"")</x:f>
        <x:v>8.137</x:v>
      </x:c>
      <x:c r="P98" s="47" t="n">
        <x:f>IFERROR(INDEX('Six-Factor Calc'!$P$5:$P$121,MATCH($A98,'Six-Factor Calc'!$A$5:$A$121,0)),"")</x:f>
        <x:v>25</x:v>
      </x:c>
      <x:c r="Q98" s="50" t="n">
        <x:f>IFERROR(INDEX('Six-Factor Calc'!$Q$5:$Q$121,MATCH($A98,'Six-Factor Calc'!$A$5:$A$121,0)),"")</x:f>
        <x:v>0.50347</x:v>
      </x:c>
      <x:c r="R98" s="50" t="n">
        <x:f>IFERROR(INDEX('Six-Factor Calc'!$R$5:$R$121,MATCH($A98,'Six-Factor Calc'!$A$5:$A$121,0)),"")</x:f>
        <x:v>0.49281</x:v>
      </x:c>
      <x:c r="S98" s="317" t="n">
        <x:f>IFERROR(INDEX('Six-Factor Calc'!$S$5:$S$121,MATCH($A98,'Six-Factor Calc'!$A$5:$A$121,0)),"")</x:f>
        <x:v>0.02163105456463941</x:v>
      </x:c>
      <x:c r="T98" s="47" t="str">
        <x:f>IFERROR(INDEX('Six-Factor Calc'!$T$5:$T$121,MATCH($A98,'Six-Factor Calc'!$A$5:$A$121,0)),"")</x:f>
        <x:v>OK</x:v>
      </x:c>
      <x:c r="U98" s="52" t="n">
        <x:f>IFERROR(INDEX('Six-Factor Calc'!$U$5:$U$121,MATCH($A98,'Six-Factor Calc'!$A$5:$A$121,0)),"")</x:f>
        <x:v>3.663062218890555</x:v>
      </x:c>
      <x:c r="V98" s="47" t="n">
        <x:f>IFERROR(INDEX('Six-Factor Calc'!$V$5:$V$121,MATCH($A98,'Six-Factor Calc'!$A$5:$A$121,0)),"")</x:f>
        <x:v>95</x:v>
      </x:c>
      <x:c r="W98" s="52" t="n">
        <x:f>IFERROR(INDEX('Six-Factor Calc'!$W$5:$W$121,MATCH($A98,'Six-Factor Calc'!$A$5:$A$121,0)),"")</x:f>
        <x:v>3.34</x:v>
      </x:c>
      <x:c r="X98" s="47" t="n">
        <x:f>IFERROR(INDEX('Six-Factor Calc'!$X$5:$X$121,MATCH($A98,'Six-Factor Calc'!$A$5:$A$121,0)),"")</x:f>
        <x:v>92</x:v>
      </x:c>
      <x:c r="Y98" s="52" t="n">
        <x:f>IFERROR(INDEX('Six-Factor Calc'!$Y$5:$Y$121,MATCH($A98,'Six-Factor Calc'!$A$5:$A$121,0)),"")</x:f>
        <x:v>3.405172413793103</x:v>
      </x:c>
      <x:c r="Z98" s="47" t="n">
        <x:f>IFERROR(INDEX('Six-Factor Calc'!$Z$5:$Z$121,MATCH($A98,'Six-Factor Calc'!$A$5:$A$121,0)),"")</x:f>
        <x:v>86</x:v>
      </x:c>
      <x:c r="AA98" s="47" t="str">
        <x:f>IFERROR(INDEX('Six-Factor Calc'!$AA$5:$AA$121,MATCH($A98,'Six-Factor Calc'!$A$5:$A$121,0)),"")</x:f>
        <x:v>Utilities</x:v>
      </x:c>
      <x:c r="AB98" s="54" t="n">
        <x:f>IFERROR(INDEX('Six-Factor Calc'!$AB$5:$AB$121,MATCH($A98,'Six-Factor Calc'!$A$5:$A$121,0)),"")</x:f>
        <x:v>46213</x:v>
      </x:c>
      <x:c r="AC98" s="54" t="n">
        <x:f>IFERROR(INDEX('Six-Factor Calc'!$AC$5:$AC$121,MATCH($A98,'Six-Factor Calc'!$A$5:$A$121,0)),"")</x:f>
        <x:v>46112</x:v>
      </x:c>
      <x:c r="AD98" s="54" t="n">
        <x:f>IFERROR(INDEX('Six-Factor Calc'!$AD$5:$AD$121,MATCH($A98,'Six-Factor Calc'!$A$5:$A$121,0)),"")</x:f>
        <x:v>46022</x:v>
      </x:c>
      <x:c r="AE98" s="47" t="str">
        <x:f>IFERROR(INDEX('Six-Factor Calc'!$AE$5:$AE$121,MATCH($A98,'Six-Factor Calc'!$A$5:$A$121,0)),"")</x:f>
        <x:v>OK</x:v>
      </x:c>
    </x:row>
    <x:row r="99">
      <x:c r="A99" s="12" t="n">
        <x:v>95</x:v>
      </x:c>
      <x:c r="B99" s="47" t="str">
        <x:f>IFERROR(INDEX('Six-Factor Calc'!$B$5:$B$121,MATCH($A99,'Six-Factor Calc'!$A$5:$A$121,0)),"")</x:f>
        <x:v>ED</x:v>
      </x:c>
      <x:c r="C99" s="47" t="str">
        <x:f>IFERROR(INDEX('Six-Factor Calc'!$C$5:$C$121,MATCH($A99,'Six-Factor Calc'!$A$5:$A$121,0)),"")</x:f>
        <x:v>Consolidated Edison Inc.</x:v>
      </x:c>
      <x:c r="D99" s="49" t="str">
        <x:f>IFERROR(INDEX('Six-Factor Calc'!$D$5:$D$121,MATCH($A99,'Six-Factor Calc'!$A$5:$A$121,0)),"")</x:f>
        <x:v>Long</x:v>
      </x:c>
      <x:c r="E99" s="49" t="n">
        <x:f>IFERROR(INDEX('Six-Factor Calc'!$E$5:$E$121,MATCH($A99,'Six-Factor Calc'!$A$5:$A$121,0)),"")</x:f>
        <x:v>0.004204</x:v>
      </x:c>
      <x:c r="F99" s="50" t="n">
        <x:f>IFERROR(INDEX('Six-Factor Calc'!$F$5:$F$121,MATCH($A99,'Six-Factor Calc'!$A$5:$A$121,0)),"")</x:f>
        <x:v>-0.19949078763507044</x:v>
      </x:c>
      <x:c r="G99" s="50" t="n">
        <x:f>IFERROR(INDEX('Six-Factor Calc'!$G$5:$G$121,MATCH($A99,'Six-Factor Calc'!$A$5:$A$121,0)),"")</x:f>
        <x:v>-0.10171732778628781</x:v>
      </x:c>
      <x:c r="H99" s="329" t="n">
        <x:f>IFERROR(INDEX('Six-Factor Calc'!$H$5:$H$121,MATCH($A99,'Six-Factor Calc'!$A$5:$A$121,0)),"")</x:f>
        <x:v>4.393242469674253</x:v>
      </x:c>
      <x:c r="I99" s="47" t="n">
        <x:f>IFERROR(INDEX('Six-Factor Calc'!$I$5:$I$121,MATCH($A99,'Six-Factor Calc'!$A$5:$A$121,0)),"")</x:f>
        <x:v>6</x:v>
      </x:c>
      <x:c r="J99" s="52" t="n">
        <x:f>IFERROR(INDEX('Six-Factor Calc'!$J$5:$J$121,MATCH($A99,'Six-Factor Calc'!$A$5:$A$121,0)),"")</x:f>
        <x:v>3.0948275862068964</x:v>
      </x:c>
      <x:c r="K99" s="47" t="n">
        <x:f>IFERROR(INDEX('Six-Factor Calc'!$K$5:$K$121,MATCH($A99,'Six-Factor Calc'!$A$5:$A$121,0)),"")</x:f>
        <x:v>90</x:v>
      </x:c>
      <x:c r="L99" s="52" t="n">
        <x:f>IFERROR(INDEX('Six-Factor Calc'!$L$5:$L$121,MATCH($A99,'Six-Factor Calc'!$A$5:$A$121,0)),"")</x:f>
        <x:v>6.335968379446641</x:v>
      </x:c>
      <x:c r="M99" s="47" t="n">
        <x:f>IFERROR(INDEX('Six-Factor Calc'!$M$5:$M$121,MATCH($A99,'Six-Factor Calc'!$A$5:$A$121,0)),"")</x:f>
        <x:v>39</x:v>
      </x:c>
      <x:c r="N99" s="47" t="str">
        <x:f>IFERROR(INDEX('Six-Factor Calc'!$N$5:$N$121,MATCH($A99,'Six-Factor Calc'!$A$5:$A$121,0)),"")</x:f>
        <x:v>SUE + CAR3</x:v>
      </x:c>
      <x:c r="O99" s="52" t="n">
        <x:f>IFERROR(INDEX('Six-Factor Calc'!$O$5:$O$121,MATCH($A99,'Six-Factor Calc'!$A$5:$A$121,0)),"")</x:f>
        <x:v>3.475</x:v>
      </x:c>
      <x:c r="P99" s="47" t="n">
        <x:f>IFERROR(INDEX('Six-Factor Calc'!$P$5:$P$121,MATCH($A99,'Six-Factor Calc'!$A$5:$A$121,0)),"")</x:f>
        <x:v>83</x:v>
      </x:c>
      <x:c r="Q99" s="50" t="n">
        <x:f>IFERROR(INDEX('Six-Factor Calc'!$Q$5:$Q$121,MATCH($A99,'Six-Factor Calc'!$A$5:$A$121,0)),"")</x:f>
        <x:v>2.00402</x:v>
      </x:c>
      <x:c r="R99" s="50" t="n">
        <x:f>IFERROR(INDEX('Six-Factor Calc'!$R$5:$R$121,MATCH($A99,'Six-Factor Calc'!$A$5:$A$121,0)),"")</x:f>
        <x:v>2.04769</x:v>
      </x:c>
      <x:c r="S99" s="317" t="n">
        <x:f>IFERROR(INDEX('Six-Factor Calc'!$S$5:$S$121,MATCH($A99,'Six-Factor Calc'!$A$5:$A$121,0)),"")</x:f>
        <x:v>-0.02132647031533077</x:v>
      </x:c>
      <x:c r="T99" s="47" t="str">
        <x:f>IFERROR(INDEX('Six-Factor Calc'!$T$5:$T$121,MATCH($A99,'Six-Factor Calc'!$A$5:$A$121,0)),"")</x:f>
        <x:v>OK</x:v>
      </x:c>
      <x:c r="U99" s="52" t="n">
        <x:f>IFERROR(INDEX('Six-Factor Calc'!$U$5:$U$121,MATCH($A99,'Six-Factor Calc'!$A$5:$A$121,0)),"")</x:f>
        <x:v>5.477736131934033</x:v>
      </x:c>
      <x:c r="V99" s="47" t="n">
        <x:f>IFERROR(INDEX('Six-Factor Calc'!$V$5:$V$121,MATCH($A99,'Six-Factor Calc'!$A$5:$A$121,0)),"")</x:f>
        <x:v>58</x:v>
      </x:c>
      <x:c r="W99" s="52" t="n">
        <x:f>IFERROR(INDEX('Six-Factor Calc'!$W$5:$W$121,MATCH($A99,'Six-Factor Calc'!$A$5:$A$121,0)),"")</x:f>
        <x:v>5.077931034482758</x:v>
      </x:c>
      <x:c r="X99" s="47" t="n">
        <x:f>IFERROR(INDEX('Six-Factor Calc'!$X$5:$X$121,MATCH($A99,'Six-Factor Calc'!$A$5:$A$121,0)),"")</x:f>
        <x:v>58</x:v>
      </x:c>
      <x:c r="Y99" s="52" t="n">
        <x:f>IFERROR(INDEX('Six-Factor Calc'!$Y$5:$Y$121,MATCH($A99,'Six-Factor Calc'!$A$5:$A$121,0)),"")</x:f>
        <x:v>2.5517241379310347</x:v>
      </x:c>
      <x:c r="Z99" s="47" t="n">
        <x:f>IFERROR(INDEX('Six-Factor Calc'!$Z$5:$Z$121,MATCH($A99,'Six-Factor Calc'!$A$5:$A$121,0)),"")</x:f>
        <x:v>97</x:v>
      </x:c>
      <x:c r="AA99" s="47" t="str">
        <x:f>IFERROR(INDEX('Six-Factor Calc'!$AA$5:$AA$121,MATCH($A99,'Six-Factor Calc'!$A$5:$A$121,0)),"")</x:f>
        <x:v>Utilities</x:v>
      </x:c>
      <x:c r="AB99" s="54" t="n">
        <x:f>IFERROR(INDEX('Six-Factor Calc'!$AB$5:$AB$121,MATCH($A99,'Six-Factor Calc'!$A$5:$A$121,0)),"")</x:f>
        <x:v>46213</x:v>
      </x:c>
      <x:c r="AC99" s="54" t="n">
        <x:f>IFERROR(INDEX('Six-Factor Calc'!$AC$5:$AC$121,MATCH($A99,'Six-Factor Calc'!$A$5:$A$121,0)),"")</x:f>
        <x:v>46112</x:v>
      </x:c>
      <x:c r="AD99" s="54" t="n">
        <x:f>IFERROR(INDEX('Six-Factor Calc'!$AD$5:$AD$121,MATCH($A99,'Six-Factor Calc'!$A$5:$A$121,0)),"")</x:f>
        <x:v>46022</x:v>
      </x:c>
      <x:c r="AE99" s="47" t="str">
        <x:f>IFERROR(INDEX('Six-Factor Calc'!$AE$5:$AE$121,MATCH($A99,'Six-Factor Calc'!$A$5:$A$121,0)),"")</x:f>
        <x:v>OK</x:v>
      </x:c>
    </x:row>
    <x:row r="100">
      <x:c r="A100" s="12" t="n">
        <x:v>96</x:v>
      </x:c>
      <x:c r="B100" s="47" t="str">
        <x:f>IFERROR(INDEX('Six-Factor Calc'!$B$5:$B$121,MATCH($A100,'Six-Factor Calc'!$A$5:$A$121,0)),"")</x:f>
        <x:v>LIN</x:v>
      </x:c>
      <x:c r="C100" s="47" t="str">
        <x:f>IFERROR(INDEX('Six-Factor Calc'!$C$5:$C$121,MATCH($A100,'Six-Factor Calc'!$A$5:$A$121,0)),"")</x:f>
        <x:v>Linde PLC</x:v>
      </x:c>
      <x:c r="D100" s="49" t="str">
        <x:f>IFERROR(INDEX('Six-Factor Calc'!$D$5:$D$121,MATCH($A100,'Six-Factor Calc'!$A$5:$A$121,0)),"")</x:f>
        <x:v>Long</x:v>
      </x:c>
      <x:c r="E100" s="49" t="n">
        <x:f>IFERROR(INDEX('Six-Factor Calc'!$E$5:$E$121,MATCH($A100,'Six-Factor Calc'!$A$5:$A$121,0)),"")</x:f>
        <x:v>0.003644</x:v>
      </x:c>
      <x:c r="F100" s="50" t="n">
        <x:f>IFERROR(INDEX('Six-Factor Calc'!$F$5:$F$121,MATCH($A100,'Six-Factor Calc'!$A$5:$A$121,0)),"")</x:f>
        <x:v>0.392294158588773</x:v>
      </x:c>
      <x:c r="G100" s="50" t="n">
        <x:f>IFERROR(INDEX('Six-Factor Calc'!$G$5:$G$121,MATCH($A100,'Six-Factor Calc'!$A$5:$A$121,0)),"")</x:f>
        <x:v>0.11492284441123202</x:v>
      </x:c>
      <x:c r="H100" s="329" t="n">
        <x:f>IFERROR(INDEX('Six-Factor Calc'!$H$5:$H$121,MATCH($A100,'Six-Factor Calc'!$A$5:$A$121,0)),"")</x:f>
        <x:v>4.387292149379855</x:v>
      </x:c>
      <x:c r="I100" s="47" t="n">
        <x:f>IFERROR(INDEX('Six-Factor Calc'!$I$5:$I$121,MATCH($A100,'Six-Factor Calc'!$A$5:$A$121,0)),"")</x:f>
        <x:v>6</x:v>
      </x:c>
      <x:c r="J100" s="52" t="n">
        <x:f>IFERROR(INDEX('Six-Factor Calc'!$J$5:$J$121,MATCH($A100,'Six-Factor Calc'!$A$5:$A$121,0)),"")</x:f>
        <x:v>4.724137931034482</x:v>
      </x:c>
      <x:c r="K100" s="47" t="n">
        <x:f>IFERROR(INDEX('Six-Factor Calc'!$K$5:$K$121,MATCH($A100,'Six-Factor Calc'!$A$5:$A$121,0)),"")</x:f>
        <x:v>69</x:v>
      </x:c>
      <x:c r="L100" s="52" t="n">
        <x:f>IFERROR(INDEX('Six-Factor Calc'!$L$5:$L$121,MATCH($A100,'Six-Factor Calc'!$A$5:$A$121,0)),"")</x:f>
        <x:v>6.1527667984189724</x:v>
      </x:c>
      <x:c r="M100" s="47" t="n">
        <x:f>IFERROR(INDEX('Six-Factor Calc'!$M$5:$M$121,MATCH($A100,'Six-Factor Calc'!$A$5:$A$121,0)),"")</x:f>
        <x:v>42</x:v>
      </x:c>
      <x:c r="N100" s="47" t="str">
        <x:f>IFERROR(INDEX('Six-Factor Calc'!$N$5:$N$121,MATCH($A100,'Six-Factor Calc'!$A$5:$A$121,0)),"")</x:f>
        <x:v>SUE + CAR3</x:v>
      </x:c>
      <x:c r="O100" s="52" t="n">
        <x:f>IFERROR(INDEX('Six-Factor Calc'!$O$5:$O$121,MATCH($A100,'Six-Factor Calc'!$A$5:$A$121,0)),"")</x:f>
        <x:v>3.79</x:v>
      </x:c>
      <x:c r="P100" s="47" t="n">
        <x:f>IFERROR(INDEX('Six-Factor Calc'!$P$5:$P$121,MATCH($A100,'Six-Factor Calc'!$A$5:$A$121,0)),"")</x:f>
        <x:v>79</x:v>
      </x:c>
      <x:c r="Q100" s="50" t="n">
        <x:f>IFERROR(INDEX('Six-Factor Calc'!$Q$5:$Q$121,MATCH($A100,'Six-Factor Calc'!$A$5:$A$121,0)),"")</x:f>
        <x:v>4.52</x:v>
      </x:c>
      <x:c r="R100" s="50" t="n">
        <x:f>IFERROR(INDEX('Six-Factor Calc'!$R$5:$R$121,MATCH($A100,'Six-Factor Calc'!$A$5:$A$121,0)),"")</x:f>
        <x:v>4.61</x:v>
      </x:c>
      <x:c r="S100" s="317" t="n">
        <x:f>IFERROR(INDEX('Six-Factor Calc'!$S$5:$S$121,MATCH($A100,'Six-Factor Calc'!$A$5:$A$121,0)),"")</x:f>
        <x:v>-0.019522776572668273</x:v>
      </x:c>
      <x:c r="T100" s="47" t="str">
        <x:f>IFERROR(INDEX('Six-Factor Calc'!$T$5:$T$121,MATCH($A100,'Six-Factor Calc'!$A$5:$A$121,0)),"")</x:f>
        <x:v>OK</x:v>
      </x:c>
      <x:c r="U100" s="52" t="n">
        <x:f>IFERROR(INDEX('Six-Factor Calc'!$U$5:$U$121,MATCH($A100,'Six-Factor Calc'!$A$5:$A$121,0)),"")</x:f>
        <x:v>2.666214392803598</x:v>
      </x:c>
      <x:c r="V100" s="47" t="n">
        <x:f>IFERROR(INDEX('Six-Factor Calc'!$V$5:$V$121,MATCH($A100,'Six-Factor Calc'!$A$5:$A$121,0)),"")</x:f>
        <x:v>112</x:v>
      </x:c>
      <x:c r="W100" s="52" t="n">
        <x:f>IFERROR(INDEX('Six-Factor Calc'!$W$5:$W$121,MATCH($A100,'Six-Factor Calc'!$A$5:$A$121,0)),"")</x:f>
        <x:v>3.7217241379310346</x:v>
      </x:c>
      <x:c r="X100" s="47" t="n">
        <x:f>IFERROR(INDEX('Six-Factor Calc'!$X$5:$X$121,MATCH($A100,'Six-Factor Calc'!$A$5:$A$121,0)),"")</x:f>
        <x:v>86</x:v>
      </x:c>
      <x:c r="Y100" s="52" t="n">
        <x:f>IFERROR(INDEX('Six-Factor Calc'!$Y$5:$Y$121,MATCH($A100,'Six-Factor Calc'!$A$5:$A$121,0)),"")</x:f>
        <x:v>2.9396551724137927</x:v>
      </x:c>
      <x:c r="Z100" s="47" t="n">
        <x:f>IFERROR(INDEX('Six-Factor Calc'!$Z$5:$Z$121,MATCH($A100,'Six-Factor Calc'!$A$5:$A$121,0)),"")</x:f>
        <x:v>92</x:v>
      </x:c>
      <x:c r="AA100" s="47" t="str">
        <x:f>IFERROR(INDEX('Six-Factor Calc'!$AA$5:$AA$121,MATCH($A100,'Six-Factor Calc'!$A$5:$A$121,0)),"")</x:f>
        <x:v>Basic Materials</x:v>
      </x:c>
      <x:c r="AB100" s="54" t="n">
        <x:f>IFERROR(INDEX('Six-Factor Calc'!$AB$5:$AB$121,MATCH($A100,'Six-Factor Calc'!$A$5:$A$121,0)),"")</x:f>
        <x:v>46213</x:v>
      </x:c>
      <x:c r="AC100" s="54" t="n">
        <x:f>IFERROR(INDEX('Six-Factor Calc'!$AC$5:$AC$121,MATCH($A100,'Six-Factor Calc'!$A$5:$A$121,0)),"")</x:f>
        <x:v>46112</x:v>
      </x:c>
      <x:c r="AD100" s="54" t="n">
        <x:f>IFERROR(INDEX('Six-Factor Calc'!$AD$5:$AD$121,MATCH($A100,'Six-Factor Calc'!$A$5:$A$121,0)),"")</x:f>
        <x:v>46022</x:v>
      </x:c>
      <x:c r="AE100" s="47" t="str">
        <x:f>IFERROR(INDEX('Six-Factor Calc'!$AE$5:$AE$121,MATCH($A100,'Six-Factor Calc'!$A$5:$A$121,0)),"")</x:f>
        <x:v>OK</x:v>
      </x:c>
    </x:row>
    <x:row r="101">
      <x:c r="A101" s="12" t="n">
        <x:v>97</x:v>
      </x:c>
      <x:c r="B101" s="47" t="str">
        <x:f>IFERROR(INDEX('Six-Factor Calc'!$B$5:$B$121,MATCH($A101,'Six-Factor Calc'!$A$5:$A$121,0)),"")</x:f>
        <x:v>CCC</x:v>
      </x:c>
      <x:c r="C101" s="47" t="str">
        <x:f>IFERROR(INDEX('Six-Factor Calc'!$C$5:$C$121,MATCH($A101,'Six-Factor Calc'!$A$5:$A$121,0)),"")</x:f>
        <x:v>CCC Intelligent Solutions Holdings Inc.</x:v>
      </x:c>
      <x:c r="D101" s="49" t="str">
        <x:f>IFERROR(INDEX('Six-Factor Calc'!$D$5:$D$121,MATCH($A101,'Six-Factor Calc'!$A$5:$A$121,0)),"")</x:f>
        <x:v>Long</x:v>
      </x:c>
      <x:c r="E101" s="49" t="n">
        <x:f>IFERROR(INDEX('Six-Factor Calc'!$E$5:$E$121,MATCH($A101,'Six-Factor Calc'!$A$5:$A$121,0)),"")</x:f>
        <x:v>0.005222</x:v>
      </x:c>
      <x:c r="F101" s="50" t="n">
        <x:f>IFERROR(INDEX('Six-Factor Calc'!$F$5:$F$121,MATCH($A101,'Six-Factor Calc'!$A$5:$A$121,0)),"")</x:f>
        <x:v>0.23981597989120043</x:v>
      </x:c>
      <x:c r="G101" s="50" t="n">
        <x:f>IFERROR(INDEX('Six-Factor Calc'!$G$5:$G$121,MATCH($A101,'Six-Factor Calc'!$A$5:$A$121,0)),"")</x:f>
        <x:v>0.07787463909678498</x:v>
      </x:c>
      <x:c r="H101" s="329" t="n">
        <x:f>IFERROR(INDEX('Six-Factor Calc'!$H$5:$H$121,MATCH($A101,'Six-Factor Calc'!$A$5:$A$121,0)),"")</x:f>
        <x:v>4.377274703557313</x:v>
      </x:c>
      <x:c r="I101" s="47" t="n">
        <x:f>IFERROR(INDEX('Six-Factor Calc'!$I$5:$I$121,MATCH($A101,'Six-Factor Calc'!$A$5:$A$121,0)),"")</x:f>
        <x:v>6</x:v>
      </x:c>
      <x:c r="J101" s="52" t="n">
        <x:f>IFERROR(INDEX('Six-Factor Calc'!$J$5:$J$121,MATCH($A101,'Six-Factor Calc'!$A$5:$A$121,0)),"")</x:f>
        <x:v>2.163793103448276</x:v>
      </x:c>
      <x:c r="K101" s="47" t="n">
        <x:f>IFERROR(INDEX('Six-Factor Calc'!$K$5:$K$121,MATCH($A101,'Six-Factor Calc'!$A$5:$A$121,0)),"")</x:f>
        <x:v>102</x:v>
      </x:c>
      <x:c r="L101" s="52" t="n">
        <x:f>IFERROR(INDEX('Six-Factor Calc'!$L$5:$L$121,MATCH($A101,'Six-Factor Calc'!$A$5:$A$121,0)),"")</x:f>
        <x:v>7.059881422924901</x:v>
      </x:c>
      <x:c r="M101" s="47" t="n">
        <x:f>IFERROR(INDEX('Six-Factor Calc'!$M$5:$M$121,MATCH($A101,'Six-Factor Calc'!$A$5:$A$121,0)),"")</x:f>
        <x:v>23</x:v>
      </x:c>
      <x:c r="N101" s="47" t="str">
        <x:f>IFERROR(INDEX('Six-Factor Calc'!$N$5:$N$121,MATCH($A101,'Six-Factor Calc'!$A$5:$A$121,0)),"")</x:f>
        <x:v>SUE + CAR3</x:v>
      </x:c>
      <x:c r="O101" s="52" t="n">
        <x:f>IFERROR(INDEX('Six-Factor Calc'!$O$5:$O$121,MATCH($A101,'Six-Factor Calc'!$A$5:$A$121,0)),"")</x:f>
        <x:v>3.5559999999999996</x:v>
      </x:c>
      <x:c r="P101" s="47" t="n">
        <x:f>IFERROR(INDEX('Six-Factor Calc'!$P$5:$P$121,MATCH($A101,'Six-Factor Calc'!$A$5:$A$121,0)),"")</x:f>
        <x:v>82</x:v>
      </x:c>
      <x:c r="Q101" s="50" t="n">
        <x:f>IFERROR(INDEX('Six-Factor Calc'!$Q$5:$Q$121,MATCH($A101,'Six-Factor Calc'!$A$5:$A$121,0)),"")</x:f>
        <x:v>0.11085</x:v>
      </x:c>
      <x:c r="R101" s="50" t="n">
        <x:f>IFERROR(INDEX('Six-Factor Calc'!$R$5:$R$121,MATCH($A101,'Six-Factor Calc'!$A$5:$A$121,0)),"")</x:f>
        <x:v>0.1132</x:v>
      </x:c>
      <x:c r="S101" s="317" t="n">
        <x:f>IFERROR(INDEX('Six-Factor Calc'!$S$5:$S$121,MATCH($A101,'Six-Factor Calc'!$A$5:$A$121,0)),"")</x:f>
        <x:v>-0.020759717314487555</x:v>
      </x:c>
      <x:c r="T101" s="47" t="str">
        <x:f>IFERROR(INDEX('Six-Factor Calc'!$T$5:$T$121,MATCH($A101,'Six-Factor Calc'!$A$5:$A$121,0)),"")</x:f>
        <x:v>OK</x:v>
      </x:c>
      <x:c r="U101" s="52" t="n">
        <x:f>IFERROR(INDEX('Six-Factor Calc'!$U$5:$U$121,MATCH($A101,'Six-Factor Calc'!$A$5:$A$121,0)),"")</x:f>
        <x:v>4.929066716641679</x:v>
      </x:c>
      <x:c r="V101" s="47" t="n">
        <x:f>IFERROR(INDEX('Six-Factor Calc'!$V$5:$V$121,MATCH($A101,'Six-Factor Calc'!$A$5:$A$121,0)),"")</x:f>
        <x:v>74</x:v>
      </x:c>
      <x:c r="W101" s="52" t="n">
        <x:f>IFERROR(INDEX('Six-Factor Calc'!$W$5:$W$121,MATCH($A101,'Six-Factor Calc'!$A$5:$A$121,0)),"")</x:f>
        <x:v>4.50844827586207</x:v>
      </x:c>
      <x:c r="X101" s="47" t="n">
        <x:f>IFERROR(INDEX('Six-Factor Calc'!$X$5:$X$121,MATCH($A101,'Six-Factor Calc'!$A$5:$A$121,0)),"")</x:f>
        <x:v>69</x:v>
      </x:c>
      <x:c r="Y101" s="52" t="n">
        <x:f>IFERROR(INDEX('Six-Factor Calc'!$Y$5:$Y$121,MATCH($A101,'Six-Factor Calc'!$A$5:$A$121,0)),"")</x:f>
        <x:v>3.870689655172414</x:v>
      </x:c>
      <x:c r="Z101" s="47" t="n">
        <x:f>IFERROR(INDEX('Six-Factor Calc'!$Z$5:$Z$121,MATCH($A101,'Six-Factor Calc'!$A$5:$A$121,0)),"")</x:f>
        <x:v>80</x:v>
      </x:c>
      <x:c r="AA101" s="47" t="str">
        <x:f>IFERROR(INDEX('Six-Factor Calc'!$AA$5:$AA$121,MATCH($A101,'Six-Factor Calc'!$A$5:$A$121,0)),"")</x:f>
        <x:v>Technology</x:v>
      </x:c>
      <x:c r="AB101" s="54" t="n">
        <x:f>IFERROR(INDEX('Six-Factor Calc'!$AB$5:$AB$121,MATCH($A101,'Six-Factor Calc'!$A$5:$A$121,0)),"")</x:f>
        <x:v>46213</x:v>
      </x:c>
      <x:c r="AC101" s="54" t="n">
        <x:f>IFERROR(INDEX('Six-Factor Calc'!$AC$5:$AC$121,MATCH($A101,'Six-Factor Calc'!$A$5:$A$121,0)),"")</x:f>
        <x:v>46022</x:v>
      </x:c>
      <x:c r="AD101" s="54" t="n">
        <x:f>IFERROR(INDEX('Six-Factor Calc'!$AD$5:$AD$121,MATCH($A101,'Six-Factor Calc'!$A$5:$A$121,0)),"")</x:f>
        <x:v>46022</x:v>
      </x:c>
      <x:c r="AE101" s="47" t="str">
        <x:f>IFERROR(INDEX('Six-Factor Calc'!$AE$5:$AE$121,MATCH($A101,'Six-Factor Calc'!$A$5:$A$121,0)),"")</x:f>
        <x:v>OK</x:v>
      </x:c>
    </x:row>
    <x:row r="102">
      <x:c r="A102" s="12" t="n">
        <x:v>98</x:v>
      </x:c>
      <x:c r="B102" s="47" t="str">
        <x:f>IFERROR(INDEX('Six-Factor Calc'!$B$5:$B$121,MATCH($A102,'Six-Factor Calc'!$A$5:$A$121,0)),"")</x:f>
        <x:v>ADC</x:v>
      </x:c>
      <x:c r="C102" s="47" t="str">
        <x:f>IFERROR(INDEX('Six-Factor Calc'!$C$5:$C$121,MATCH($A102,'Six-Factor Calc'!$A$5:$A$121,0)),"")</x:f>
        <x:v>Agree Realty Corp. REIT</x:v>
      </x:c>
      <x:c r="D102" s="49" t="str">
        <x:f>IFERROR(INDEX('Six-Factor Calc'!$D$5:$D$121,MATCH($A102,'Six-Factor Calc'!$A$5:$A$121,0)),"")</x:f>
        <x:v>Long</x:v>
      </x:c>
      <x:c r="E102" s="49" t="n">
        <x:f>IFERROR(INDEX('Six-Factor Calc'!$E$5:$E$121,MATCH($A102,'Six-Factor Calc'!$A$5:$A$121,0)),"")</x:f>
        <x:v>0.004155</x:v>
      </x:c>
      <x:c r="F102" s="50" t="n">
        <x:f>IFERROR(INDEX('Six-Factor Calc'!$F$5:$F$121,MATCH($A102,'Six-Factor Calc'!$A$5:$A$121,0)),"")</x:f>
        <x:v>0.32584594416795964</x:v>
      </x:c>
      <x:c r="G102" s="50" t="n">
        <x:f>IFERROR(INDEX('Six-Factor Calc'!$G$5:$G$121,MATCH($A102,'Six-Factor Calc'!$A$5:$A$121,0)),"")</x:f>
        <x:v>0.14709284522977262</x:v>
      </x:c>
      <x:c r="H102" s="329" t="n">
        <x:f>IFERROR(INDEX('Six-Factor Calc'!$H$5:$H$121,MATCH($A102,'Six-Factor Calc'!$A$5:$A$121,0)),"")</x:f>
        <x:v>4.228451546953796</x:v>
      </x:c>
      <x:c r="I102" s="47" t="n">
        <x:f>IFERROR(INDEX('Six-Factor Calc'!$I$5:$I$121,MATCH($A102,'Six-Factor Calc'!$A$5:$A$121,0)),"")</x:f>
        <x:v>6</x:v>
      </x:c>
      <x:c r="J102" s="52" t="n">
        <x:f>IFERROR(INDEX('Six-Factor Calc'!$J$5:$J$121,MATCH($A102,'Six-Factor Calc'!$A$5:$A$121,0)),"")</x:f>
        <x:v>4.568965517241379</x:v>
      </x:c>
      <x:c r="K102" s="47" t="n">
        <x:f>IFERROR(INDEX('Six-Factor Calc'!$K$5:$K$121,MATCH($A102,'Six-Factor Calc'!$A$5:$A$121,0)),"")</x:f>
        <x:v>71</x:v>
      </x:c>
      <x:c r="L102" s="52" t="n">
        <x:f>IFERROR(INDEX('Six-Factor Calc'!$L$5:$L$121,MATCH($A102,'Six-Factor Calc'!$A$5:$A$121,0)),"")</x:f>
        <x:v>5.914426877470356</x:v>
      </x:c>
      <x:c r="M102" s="47" t="n">
        <x:f>IFERROR(INDEX('Six-Factor Calc'!$M$5:$M$121,MATCH($A102,'Six-Factor Calc'!$A$5:$A$121,0)),"")</x:f>
        <x:v>50</x:v>
      </x:c>
      <x:c r="N102" s="47" t="str">
        <x:f>IFERROR(INDEX('Six-Factor Calc'!$N$5:$N$121,MATCH($A102,'Six-Factor Calc'!$A$5:$A$121,0)),"")</x:f>
        <x:v>SUE + CAR3</x:v>
      </x:c>
      <x:c r="O102" s="52" t="n">
        <x:f>IFERROR(INDEX('Six-Factor Calc'!$O$5:$O$121,MATCH($A102,'Six-Factor Calc'!$A$5:$A$121,0)),"")</x:f>
        <x:v>3.637</x:v>
      </x:c>
      <x:c r="P102" s="47" t="n">
        <x:f>IFERROR(INDEX('Six-Factor Calc'!$P$5:$P$121,MATCH($A102,'Six-Factor Calc'!$A$5:$A$121,0)),"")</x:f>
        <x:v>81</x:v>
      </x:c>
      <x:c r="Q102" s="50" t="n">
        <x:f>IFERROR(INDEX('Six-Factor Calc'!$Q$5:$Q$121,MATCH($A102,'Six-Factor Calc'!$A$5:$A$121,0)),"")</x:f>
        <x:v>0.46</x:v>
      </x:c>
      <x:c r="R102" s="50" t="n">
        <x:f>IFERROR(INDEX('Six-Factor Calc'!$R$5:$R$121,MATCH($A102,'Six-Factor Calc'!$A$5:$A$121,0)),"")</x:f>
        <x:v>0.46922</x:v>
      </x:c>
      <x:c r="S102" s="317" t="n">
        <x:f>IFERROR(INDEX('Six-Factor Calc'!$S$5:$S$121,MATCH($A102,'Six-Factor Calc'!$A$5:$A$121,0)),"")</x:f>
        <x:v>-0.019649631303013525</x:v>
      </x:c>
      <x:c r="T102" s="47" t="str">
        <x:f>IFERROR(INDEX('Six-Factor Calc'!$T$5:$T$121,MATCH($A102,'Six-Factor Calc'!$A$5:$A$121,0)),"")</x:f>
        <x:v>THIN COVERAGE</x:v>
      </x:c>
      <x:c r="U102" s="52" t="n">
        <x:f>IFERROR(INDEX('Six-Factor Calc'!$U$5:$U$121,MATCH($A102,'Six-Factor Calc'!$A$5:$A$121,0)),"")</x:f>
        <x:v>5.306034482758621</x:v>
      </x:c>
      <x:c r="V102" s="47" t="n">
        <x:f>IFERROR(INDEX('Six-Factor Calc'!$V$5:$V$121,MATCH($A102,'Six-Factor Calc'!$A$5:$A$121,0)),"")</x:f>
        <x:v>64</x:v>
      </x:c>
      <x:c r="W102" s="52" t="n">
        <x:f>IFERROR(INDEX('Six-Factor Calc'!$W$5:$W$121,MATCH($A102,'Six-Factor Calc'!$A$5:$A$121,0)),"")</x:f>
        <x:v>2.163793103448276</x:v>
      </x:c>
      <x:c r="X102" s="47" t="n">
        <x:f>IFERROR(INDEX('Six-Factor Calc'!$X$5:$X$121,MATCH($A102,'Six-Factor Calc'!$A$5:$A$121,0)),"")</x:f>
        <x:v>109</x:v>
      </x:c>
      <x:c r="Y102" s="52" t="n">
        <x:f>IFERROR(INDEX('Six-Factor Calc'!$Y$5:$Y$121,MATCH($A102,'Six-Factor Calc'!$A$5:$A$121,0)),"")</x:f>
        <x:v>1.543103448275862</x:v>
      </x:c>
      <x:c r="Z102" s="47" t="n">
        <x:f>IFERROR(INDEX('Six-Factor Calc'!$Z$5:$Z$121,MATCH($A102,'Six-Factor Calc'!$A$5:$A$121,0)),"")</x:f>
        <x:v>110</x:v>
      </x:c>
      <x:c r="AA102" s="47" t="str">
        <x:f>IFERROR(INDEX('Six-Factor Calc'!$AA$5:$AA$121,MATCH($A102,'Six-Factor Calc'!$A$5:$A$121,0)),"")</x:f>
        <x:v>Real Estate</x:v>
      </x:c>
      <x:c r="AB102" s="54" t="n">
        <x:f>IFERROR(INDEX('Six-Factor Calc'!$AB$5:$AB$121,MATCH($A102,'Six-Factor Calc'!$A$5:$A$121,0)),"")</x:f>
        <x:v>46213</x:v>
      </x:c>
      <x:c r="AC102" s="54" t="n">
        <x:f>IFERROR(INDEX('Six-Factor Calc'!$AC$5:$AC$121,MATCH($A102,'Six-Factor Calc'!$A$5:$A$121,0)),"")</x:f>
        <x:v>46112</x:v>
      </x:c>
      <x:c r="AD102" s="54" t="n">
        <x:f>IFERROR(INDEX('Six-Factor Calc'!$AD$5:$AD$121,MATCH($A102,'Six-Factor Calc'!$A$5:$A$121,0)),"")</x:f>
        <x:v>46022</x:v>
      </x:c>
      <x:c r="AE102" s="47" t="str">
        <x:f>IFERROR(INDEX('Six-Factor Calc'!$AE$5:$AE$121,MATCH($A102,'Six-Factor Calc'!$A$5:$A$121,0)),"")</x:f>
        <x:v>OK</x:v>
      </x:c>
    </x:row>
    <x:row r="103">
      <x:c r="A103" s="12" t="n">
        <x:v>99</x:v>
      </x:c>
      <x:c r="B103" s="47" t="str">
        <x:f>IFERROR(INDEX('Six-Factor Calc'!$B$5:$B$121,MATCH($A103,'Six-Factor Calc'!$A$5:$A$121,0)),"")</x:f>
        <x:v>YUM</x:v>
      </x:c>
      <x:c r="C103" s="47" t="str">
        <x:f>IFERROR(INDEX('Six-Factor Calc'!$C$5:$C$121,MATCH($A103,'Six-Factor Calc'!$A$5:$A$121,0)),"")</x:f>
        <x:v>Yum! Brands Inc.</x:v>
      </x:c>
      <x:c r="D103" s="49" t="str">
        <x:f>IFERROR(INDEX('Six-Factor Calc'!$D$5:$D$121,MATCH($A103,'Six-Factor Calc'!$A$5:$A$121,0)),"")</x:f>
        <x:v>Long</x:v>
      </x:c>
      <x:c r="E103" s="49" t="n">
        <x:f>IFERROR(INDEX('Six-Factor Calc'!$E$5:$E$121,MATCH($A103,'Six-Factor Calc'!$A$5:$A$121,0)),"")</x:f>
        <x:v>0.004218</x:v>
      </x:c>
      <x:c r="F103" s="50" t="n">
        <x:f>IFERROR(INDEX('Six-Factor Calc'!$F$5:$F$121,MATCH($A103,'Six-Factor Calc'!$A$5:$A$121,0)),"")</x:f>
        <x:v>0.26387696543795586</x:v>
      </x:c>
      <x:c r="G103" s="50" t="n">
        <x:f>IFERROR(INDEX('Six-Factor Calc'!$G$5:$G$121,MATCH($A103,'Six-Factor Calc'!$A$5:$A$121,0)),"")</x:f>
        <x:v>0.041008961246633856</x:v>
      </x:c>
      <x:c r="H103" s="329" t="n">
        <x:f>IFERROR(INDEX('Six-Factor Calc'!$H$5:$H$121,MATCH($A103,'Six-Factor Calc'!$A$5:$A$121,0)),"")</x:f>
        <x:v>4.198559084094316</x:v>
      </x:c>
      <x:c r="I103" s="47" t="n">
        <x:f>IFERROR(INDEX('Six-Factor Calc'!$I$5:$I$121,MATCH($A103,'Six-Factor Calc'!$A$5:$A$121,0)),"")</x:f>
        <x:v>6</x:v>
      </x:c>
      <x:c r="J103" s="52" t="n">
        <x:f>IFERROR(INDEX('Six-Factor Calc'!$J$5:$J$121,MATCH($A103,'Six-Factor Calc'!$A$5:$A$121,0)),"")</x:f>
        <x:v>1.4655172413793103</x:v>
      </x:c>
      <x:c r="K103" s="47" t="n">
        <x:f>IFERROR(INDEX('Six-Factor Calc'!$K$5:$K$121,MATCH($A103,'Six-Factor Calc'!$A$5:$A$121,0)),"")</x:f>
        <x:v>111</x:v>
      </x:c>
      <x:c r="L103" s="52" t="n">
        <x:f>IFERROR(INDEX('Six-Factor Calc'!$L$5:$L$121,MATCH($A103,'Six-Factor Calc'!$A$5:$A$121,0)),"")</x:f>
        <x:v>8.648221343873518</x:v>
      </x:c>
      <x:c r="M103" s="47" t="n">
        <x:f>IFERROR(INDEX('Six-Factor Calc'!$M$5:$M$121,MATCH($A103,'Six-Factor Calc'!$A$5:$A$121,0)),"")</x:f>
        <x:v>8</x:v>
      </x:c>
      <x:c r="N103" s="47" t="str">
        <x:f>IFERROR(INDEX('Six-Factor Calc'!$N$5:$N$121,MATCH($A103,'Six-Factor Calc'!$A$5:$A$121,0)),"")</x:f>
        <x:v>SUE + CAR3</x:v>
      </x:c>
      <x:c r="O103" s="52" t="n">
        <x:f>IFERROR(INDEX('Six-Factor Calc'!$O$5:$O$121,MATCH($A103,'Six-Factor Calc'!$A$5:$A$121,0)),"")</x:f>
        <x:v>2.314</x:v>
      </x:c>
      <x:c r="P103" s="47" t="n">
        <x:f>IFERROR(INDEX('Six-Factor Calc'!$P$5:$P$121,MATCH($A103,'Six-Factor Calc'!$A$5:$A$121,0)),"")</x:f>
        <x:v>98</x:v>
      </x:c>
      <x:c r="Q103" s="50" t="n">
        <x:f>IFERROR(INDEX('Six-Factor Calc'!$Q$5:$Q$121,MATCH($A103,'Six-Factor Calc'!$A$5:$A$121,0)),"")</x:f>
        <x:v>1.57635</x:v>
      </x:c>
      <x:c r="R103" s="50" t="n">
        <x:f>IFERROR(INDEX('Six-Factor Calc'!$R$5:$R$121,MATCH($A103,'Six-Factor Calc'!$A$5:$A$121,0)),"")</x:f>
        <x:v>1.69202</x:v>
      </x:c>
      <x:c r="S103" s="317" t="n">
        <x:f>IFERROR(INDEX('Six-Factor Calc'!$S$5:$S$121,MATCH($A103,'Six-Factor Calc'!$A$5:$A$121,0)),"")</x:f>
        <x:v>-0.06836207609839136</x:v>
      </x:c>
      <x:c r="T103" s="47" t="str">
        <x:f>IFERROR(INDEX('Six-Factor Calc'!$T$5:$T$121,MATCH($A103,'Six-Factor Calc'!$A$5:$A$121,0)),"")</x:f>
        <x:v>OK</x:v>
      </x:c>
      <x:c r="U103" s="52" t="n">
        <x:f>IFERROR(INDEX('Six-Factor Calc'!$U$5:$U$121,MATCH($A103,'Six-Factor Calc'!$A$5:$A$121,0)),"")</x:f>
        <x:v>3.4199475262368813</x:v>
      </x:c>
      <x:c r="V103" s="47" t="n">
        <x:f>IFERROR(INDEX('Six-Factor Calc'!$V$5:$V$121,MATCH($A103,'Six-Factor Calc'!$A$5:$A$121,0)),"")</x:f>
        <x:v>99</x:v>
      </x:c>
      <x:c r="W103" s="52" t="n">
        <x:f>IFERROR(INDEX('Six-Factor Calc'!$W$5:$W$121,MATCH($A103,'Six-Factor Calc'!$A$5:$A$121,0)),"")</x:f>
        <x:v>2.7953448275862067</x:v>
      </x:c>
      <x:c r="X103" s="47" t="n">
        <x:f>IFERROR(INDEX('Six-Factor Calc'!$X$5:$X$121,MATCH($A103,'Six-Factor Calc'!$A$5:$A$121,0)),"")</x:f>
        <x:v>100</x:v>
      </x:c>
      <x:c r="Y103" s="52" t="n">
        <x:f>IFERROR(INDEX('Six-Factor Calc'!$Y$5:$Y$121,MATCH($A103,'Six-Factor Calc'!$A$5:$A$121,0)),"")</x:f>
        <x:v>5.344827586206897</x:v>
      </x:c>
      <x:c r="Z103" s="47" t="n">
        <x:f>IFERROR(INDEX('Six-Factor Calc'!$Z$5:$Z$121,MATCH($A103,'Six-Factor Calc'!$A$5:$A$121,0)),"")</x:f>
        <x:v>61</x:v>
      </x:c>
      <x:c r="AA103" s="47" t="str">
        <x:f>IFERROR(INDEX('Six-Factor Calc'!$AA$5:$AA$121,MATCH($A103,'Six-Factor Calc'!$A$5:$A$121,0)),"")</x:f>
        <x:v>Consumer Discretionary</x:v>
      </x:c>
      <x:c r="AB103" s="54" t="n">
        <x:f>IFERROR(INDEX('Six-Factor Calc'!$AB$5:$AB$121,MATCH($A103,'Six-Factor Calc'!$A$5:$A$121,0)),"")</x:f>
        <x:v>46213</x:v>
      </x:c>
      <x:c r="AC103" s="54" t="n">
        <x:f>IFERROR(INDEX('Six-Factor Calc'!$AC$5:$AC$121,MATCH($A103,'Six-Factor Calc'!$A$5:$A$121,0)),"")</x:f>
        <x:v>46112</x:v>
      </x:c>
      <x:c r="AD103" s="54" t="n">
        <x:f>IFERROR(INDEX('Six-Factor Calc'!$AD$5:$AD$121,MATCH($A103,'Six-Factor Calc'!$A$5:$A$121,0)),"")</x:f>
        <x:v>46022</x:v>
      </x:c>
      <x:c r="AE103" s="47" t="str">
        <x:f>IFERROR(INDEX('Six-Factor Calc'!$AE$5:$AE$121,MATCH($A103,'Six-Factor Calc'!$A$5:$A$121,0)),"")</x:f>
        <x:v>OK</x:v>
      </x:c>
    </x:row>
    <x:row r="104">
      <x:c r="A104" s="12" t="n">
        <x:v>100</x:v>
      </x:c>
      <x:c r="B104" s="47" t="str">
        <x:f>IFERROR(INDEX('Six-Factor Calc'!$B$5:$B$121,MATCH($A104,'Six-Factor Calc'!$A$5:$A$121,0)),"")</x:f>
        <x:v>CACI</x:v>
      </x:c>
      <x:c r="C104" s="47" t="str">
        <x:f>IFERROR(INDEX('Six-Factor Calc'!$C$5:$C$121,MATCH($A104,'Six-Factor Calc'!$A$5:$A$121,0)),"")</x:f>
        <x:v>CACI International Inc.</x:v>
      </x:c>
      <x:c r="D104" s="49" t="str">
        <x:f>IFERROR(INDEX('Six-Factor Calc'!$D$5:$D$121,MATCH($A104,'Six-Factor Calc'!$A$5:$A$121,0)),"")</x:f>
        <x:v>Long</x:v>
      </x:c>
      <x:c r="E104" s="49" t="n">
        <x:f>IFERROR(INDEX('Six-Factor Calc'!$E$5:$E$121,MATCH($A104,'Six-Factor Calc'!$A$5:$A$121,0)),"")</x:f>
        <x:v>0.004182</x:v>
      </x:c>
      <x:c r="F104" s="50" t="n">
        <x:f>IFERROR(INDEX('Six-Factor Calc'!$F$5:$F$121,MATCH($A104,'Six-Factor Calc'!$A$5:$A$121,0)),"")</x:f>
        <x:v>-0.017929153282266443</x:v>
      </x:c>
      <x:c r="G104" s="50" t="n">
        <x:f>IFERROR(INDEX('Six-Factor Calc'!$G$5:$G$121,MATCH($A104,'Six-Factor Calc'!$A$5:$A$121,0)),"")</x:f>
        <x:v>0.17624883032560967</x:v>
      </x:c>
      <x:c r="H104" s="329" t="n">
        <x:f>IFERROR(INDEX('Six-Factor Calc'!$H$5:$H$121,MATCH($A104,'Six-Factor Calc'!$A$5:$A$121,0)),"")</x:f>
        <x:v>4.183796442687746</x:v>
      </x:c>
      <x:c r="I104" s="47" t="n">
        <x:f>IFERROR(INDEX('Six-Factor Calc'!$I$5:$I$121,MATCH($A104,'Six-Factor Calc'!$A$5:$A$121,0)),"")</x:f>
        <x:v>6</x:v>
      </x:c>
      <x:c r="J104" s="52" t="n">
        <x:f>IFERROR(INDEX('Six-Factor Calc'!$J$5:$J$121,MATCH($A104,'Six-Factor Calc'!$A$5:$A$121,0)),"")</x:f>
        <x:v>2.2413793103448274</x:v>
      </x:c>
      <x:c r="K104" s="47" t="n">
        <x:f>IFERROR(INDEX('Six-Factor Calc'!$K$5:$K$121,MATCH($A104,'Six-Factor Calc'!$A$5:$A$121,0)),"")</x:f>
        <x:v>101</x:v>
      </x:c>
      <x:c r="L104" s="52" t="n">
        <x:f>IFERROR(INDEX('Six-Factor Calc'!$L$5:$L$121,MATCH($A104,'Six-Factor Calc'!$A$5:$A$121,0)),"")</x:f>
        <x:v>7.68596837944664</x:v>
      </x:c>
      <x:c r="M104" s="47" t="n">
        <x:f>IFERROR(INDEX('Six-Factor Calc'!$M$5:$M$121,MATCH($A104,'Six-Factor Calc'!$A$5:$A$121,0)),"")</x:f>
        <x:v>18</x:v>
      </x:c>
      <x:c r="N104" s="47" t="str">
        <x:f>IFERROR(INDEX('Six-Factor Calc'!$N$5:$N$121,MATCH($A104,'Six-Factor Calc'!$A$5:$A$121,0)),"")</x:f>
        <x:v>SUE + CAR3</x:v>
      </x:c>
      <x:c r="O104" s="52" t="n">
        <x:f>IFERROR(INDEX('Six-Factor Calc'!$O$5:$O$121,MATCH($A104,'Six-Factor Calc'!$A$5:$A$121,0)),"")</x:f>
        <x:v>2.161</x:v>
      </x:c>
      <x:c r="P104" s="47" t="n">
        <x:f>IFERROR(INDEX('Six-Factor Calc'!$P$5:$P$121,MATCH($A104,'Six-Factor Calc'!$A$5:$A$121,0)),"")</x:f>
        <x:v>100</x:v>
      </x:c>
      <x:c r="Q104" s="50" t="n">
        <x:f>IFERROR(INDEX('Six-Factor Calc'!$Q$5:$Q$121,MATCH($A104,'Six-Factor Calc'!$A$5:$A$121,0)),"")</x:f>
        <x:v>6.67744</x:v>
      </x:c>
      <x:c r="R104" s="50" t="n">
        <x:f>IFERROR(INDEX('Six-Factor Calc'!$R$5:$R$121,MATCH($A104,'Six-Factor Calc'!$A$5:$A$121,0)),"")</x:f>
        <x:v>7.19585</x:v>
      </x:c>
      <x:c r="S104" s="317" t="n">
        <x:f>IFERROR(INDEX('Six-Factor Calc'!$S$5:$S$121,MATCH($A104,'Six-Factor Calc'!$A$5:$A$121,0)),"")</x:f>
        <x:v>-0.07204291362382488</x:v>
      </x:c>
      <x:c r="T104" s="47" t="str">
        <x:f>IFERROR(INDEX('Six-Factor Calc'!$T$5:$T$121,MATCH($A104,'Six-Factor Calc'!$A$5:$A$121,0)),"")</x:f>
        <x:v>OK</x:v>
      </x:c>
      <x:c r="U104" s="52" t="n">
        <x:f>IFERROR(INDEX('Six-Factor Calc'!$U$5:$U$121,MATCH($A104,'Six-Factor Calc'!$A$5:$A$121,0)),"")</x:f>
        <x:v>6.525790854572713</x:v>
      </x:c>
      <x:c r="V104" s="47" t="n">
        <x:f>IFERROR(INDEX('Six-Factor Calc'!$V$5:$V$121,MATCH($A104,'Six-Factor Calc'!$A$5:$A$121,0)),"")</x:f>
        <x:v>37</x:v>
      </x:c>
      <x:c r="W104" s="52" t="n">
        <x:f>IFERROR(INDEX('Six-Factor Calc'!$W$5:$W$121,MATCH($A104,'Six-Factor Calc'!$A$5:$A$121,0)),"")</x:f>
        <x:v>4.472758620689655</x:v>
      </x:c>
      <x:c r="X104" s="47" t="n">
        <x:f>IFERROR(INDEX('Six-Factor Calc'!$X$5:$X$121,MATCH($A104,'Six-Factor Calc'!$A$5:$A$121,0)),"")</x:f>
        <x:v>71</x:v>
      </x:c>
      <x:c r="Y104" s="52" t="n">
        <x:f>IFERROR(INDEX('Six-Factor Calc'!$Y$5:$Y$121,MATCH($A104,'Six-Factor Calc'!$A$5:$A$121,0)),"")</x:f>
        <x:v>1.0775862068965518</x:v>
      </x:c>
      <x:c r="Z104" s="47" t="n">
        <x:f>IFERROR(INDEX('Six-Factor Calc'!$Z$5:$Z$121,MATCH($A104,'Six-Factor Calc'!$A$5:$A$121,0)),"")</x:f>
        <x:v>116</x:v>
      </x:c>
      <x:c r="AA104" s="47" t="str">
        <x:f>IFERROR(INDEX('Six-Factor Calc'!$AA$5:$AA$121,MATCH($A104,'Six-Factor Calc'!$A$5:$A$121,0)),"")</x:f>
        <x:v>Technology</x:v>
      </x:c>
      <x:c r="AB104" s="54" t="n">
        <x:f>IFERROR(INDEX('Six-Factor Calc'!$AB$5:$AB$121,MATCH($A104,'Six-Factor Calc'!$A$5:$A$121,0)),"")</x:f>
        <x:v>46213</x:v>
      </x:c>
      <x:c r="AC104" s="54" t="n">
        <x:f>IFERROR(INDEX('Six-Factor Calc'!$AC$5:$AC$121,MATCH($A104,'Six-Factor Calc'!$A$5:$A$121,0)),"")</x:f>
        <x:v>46112</x:v>
      </x:c>
      <x:c r="AD104" s="54" t="n">
        <x:f>IFERROR(INDEX('Six-Factor Calc'!$AD$5:$AD$121,MATCH($A104,'Six-Factor Calc'!$A$5:$A$121,0)),"")</x:f>
        <x:v>45838</x:v>
      </x:c>
      <x:c r="AE104" s="47" t="str">
        <x:f>IFERROR(INDEX('Six-Factor Calc'!$AE$5:$AE$121,MATCH($A104,'Six-Factor Calc'!$A$5:$A$121,0)),"")</x:f>
        <x:v>OK</x:v>
      </x:c>
    </x:row>
    <x:row r="105">
      <x:c r="A105" s="12" t="n">
        <x:v>101</x:v>
      </x:c>
      <x:c r="B105" s="47" t="str">
        <x:f>IFERROR(INDEX('Six-Factor Calc'!$B$5:$B$121,MATCH($A105,'Six-Factor Calc'!$A$5:$A$121,0)),"")</x:f>
        <x:v>ORLY</x:v>
      </x:c>
      <x:c r="C105" s="47" t="str">
        <x:f>IFERROR(INDEX('Six-Factor Calc'!$C$5:$C$121,MATCH($A105,'Six-Factor Calc'!$A$5:$A$121,0)),"")</x:f>
        <x:v>O'Reilly Automotive Inc.</x:v>
      </x:c>
      <x:c r="D105" s="49" t="str">
        <x:f>IFERROR(INDEX('Six-Factor Calc'!$D$5:$D$121,MATCH($A105,'Six-Factor Calc'!$A$5:$A$121,0)),"")</x:f>
        <x:v>Long</x:v>
      </x:c>
      <x:c r="E105" s="49" t="n">
        <x:f>IFERROR(INDEX('Six-Factor Calc'!$E$5:$E$121,MATCH($A105,'Six-Factor Calc'!$A$5:$A$121,0)),"")</x:f>
        <x:v>0.003709</x:v>
      </x:c>
      <x:c r="F105" s="50" t="n">
        <x:f>IFERROR(INDEX('Six-Factor Calc'!$F$5:$F$121,MATCH($A105,'Six-Factor Calc'!$A$5:$A$121,0)),"")</x:f>
        <x:v>0.2904296316301084</x:v>
      </x:c>
      <x:c r="G105" s="50" t="n">
        <x:f>IFERROR(INDEX('Six-Factor Calc'!$G$5:$G$121,MATCH($A105,'Six-Factor Calc'!$A$5:$A$121,0)),"")</x:f>
        <x:v>0.08213233961401643</x:v>
      </x:c>
      <x:c r="H105" s="329" t="n">
        <x:f>IFERROR(INDEX('Six-Factor Calc'!$H$5:$H$121,MATCH($A105,'Six-Factor Calc'!$A$5:$A$121,0)),"")</x:f>
        <x:v>4.155966335014311</x:v>
      </x:c>
      <x:c r="I105" s="47" t="n">
        <x:f>IFERROR(INDEX('Six-Factor Calc'!$I$5:$I$121,MATCH($A105,'Six-Factor Calc'!$A$5:$A$121,0)),"")</x:f>
        <x:v>6</x:v>
      </x:c>
      <x:c r="J105" s="52" t="n">
        <x:f>IFERROR(INDEX('Six-Factor Calc'!$J$5:$J$121,MATCH($A105,'Six-Factor Calc'!$A$5:$A$121,0)),"")</x:f>
        <x:v>1.1551724137931034</x:v>
      </x:c>
      <x:c r="K105" s="47" t="n">
        <x:f>IFERROR(INDEX('Six-Factor Calc'!$K$5:$K$121,MATCH($A105,'Six-Factor Calc'!$A$5:$A$121,0)),"")</x:f>
        <x:v>113</x:v>
      </x:c>
      <x:c r="L105" s="52" t="n">
        <x:f>IFERROR(INDEX('Six-Factor Calc'!$L$5:$L$121,MATCH($A105,'Six-Factor Calc'!$A$5:$A$121,0)),"")</x:f>
        <x:v>5.432411067193676</x:v>
      </x:c>
      <x:c r="M105" s="47" t="n">
        <x:f>IFERROR(INDEX('Six-Factor Calc'!$M$5:$M$121,MATCH($A105,'Six-Factor Calc'!$A$5:$A$121,0)),"")</x:f>
        <x:v>64</x:v>
      </x:c>
      <x:c r="N105" s="47" t="str">
        <x:f>IFERROR(INDEX('Six-Factor Calc'!$N$5:$N$121,MATCH($A105,'Six-Factor Calc'!$A$5:$A$121,0)),"")</x:f>
        <x:v>SUE + CAR3</x:v>
      </x:c>
      <x:c r="O105" s="52" t="n">
        <x:f>IFERROR(INDEX('Six-Factor Calc'!$O$5:$O$121,MATCH($A105,'Six-Factor Calc'!$A$5:$A$121,0)),"")</x:f>
        <x:v>7.9750000000000005</x:v>
      </x:c>
      <x:c r="P105" s="47" t="n">
        <x:f>IFERROR(INDEX('Six-Factor Calc'!$P$5:$P$121,MATCH($A105,'Six-Factor Calc'!$A$5:$A$121,0)),"")</x:f>
        <x:v>27</x:v>
      </x:c>
      <x:c r="Q105" s="50" t="n">
        <x:f>IFERROR(INDEX('Six-Factor Calc'!$Q$5:$Q$121,MATCH($A105,'Six-Factor Calc'!$A$5:$A$121,0)),"")</x:f>
        <x:v>0.92478</x:v>
      </x:c>
      <x:c r="R105" s="50" t="n">
        <x:f>IFERROR(INDEX('Six-Factor Calc'!$R$5:$R$121,MATCH($A105,'Six-Factor Calc'!$A$5:$A$121,0)),"")</x:f>
        <x:v>0.90951</x:v>
      </x:c>
      <x:c r="S105" s="317" t="n">
        <x:f>IFERROR(INDEX('Six-Factor Calc'!$S$5:$S$121,MATCH($A105,'Six-Factor Calc'!$A$5:$A$121,0)),"")</x:f>
        <x:v>0.01678926015107036</x:v>
      </x:c>
      <x:c r="T105" s="47" t="str">
        <x:f>IFERROR(INDEX('Six-Factor Calc'!$T$5:$T$121,MATCH($A105,'Six-Factor Calc'!$A$5:$A$121,0)),"")</x:f>
        <x:v>OK</x:v>
      </x:c>
      <x:c r="U105" s="52" t="n">
        <x:f>IFERROR(INDEX('Six-Factor Calc'!$U$5:$U$121,MATCH($A105,'Six-Factor Calc'!$A$5:$A$121,0)),"")</x:f>
        <x:v>3.2067203898050973</x:v>
      </x:c>
      <x:c r="V105" s="47" t="n">
        <x:f>IFERROR(INDEX('Six-Factor Calc'!$V$5:$V$121,MATCH($A105,'Six-Factor Calc'!$A$5:$A$121,0)),"")</x:f>
        <x:v>102</x:v>
      </x:c>
      <x:c r="W105" s="52" t="n">
        <x:f>IFERROR(INDEX('Six-Factor Calc'!$W$5:$W$121,MATCH($A105,'Six-Factor Calc'!$A$5:$A$121,0)),"")</x:f>
        <x:v>3.0762068965517244</x:v>
      </x:c>
      <x:c r="X105" s="47" t="n">
        <x:f>IFERROR(INDEX('Six-Factor Calc'!$X$5:$X$121,MATCH($A105,'Six-Factor Calc'!$A$5:$A$121,0)),"")</x:f>
        <x:v>97</x:v>
      </x:c>
      <x:c r="Y105" s="52" t="n">
        <x:f>IFERROR(INDEX('Six-Factor Calc'!$Y$5:$Y$121,MATCH($A105,'Six-Factor Calc'!$A$5:$A$121,0)),"")</x:f>
        <x:v>4.336206896551724</x:v>
      </x:c>
      <x:c r="Z105" s="47" t="n">
        <x:f>IFERROR(INDEX('Six-Factor Calc'!$Z$5:$Z$121,MATCH($A105,'Six-Factor Calc'!$A$5:$A$121,0)),"")</x:f>
        <x:v>74</x:v>
      </x:c>
      <x:c r="AA105" s="47" t="str">
        <x:f>IFERROR(INDEX('Six-Factor Calc'!$AA$5:$AA$121,MATCH($A105,'Six-Factor Calc'!$A$5:$A$121,0)),"")</x:f>
        <x:v>Consumer Discretionary</x:v>
      </x:c>
      <x:c r="AB105" s="54" t="n">
        <x:f>IFERROR(INDEX('Six-Factor Calc'!$AB$5:$AB$121,MATCH($A105,'Six-Factor Calc'!$A$5:$A$121,0)),"")</x:f>
        <x:v>46213</x:v>
      </x:c>
      <x:c r="AC105" s="54" t="n">
        <x:f>IFERROR(INDEX('Six-Factor Calc'!$AC$5:$AC$121,MATCH($A105,'Six-Factor Calc'!$A$5:$A$121,0)),"")</x:f>
        <x:v>46112</x:v>
      </x:c>
      <x:c r="AD105" s="54" t="n">
        <x:f>IFERROR(INDEX('Six-Factor Calc'!$AD$5:$AD$121,MATCH($A105,'Six-Factor Calc'!$A$5:$A$121,0)),"")</x:f>
        <x:v>46022</x:v>
      </x:c>
      <x:c r="AE105" s="47" t="str">
        <x:f>IFERROR(INDEX('Six-Factor Calc'!$AE$5:$AE$121,MATCH($A105,'Six-Factor Calc'!$A$5:$A$121,0)),"")</x:f>
        <x:v>OK</x:v>
      </x:c>
    </x:row>
    <x:row r="106">
      <x:c r="A106" s="12" t="n">
        <x:v>102</x:v>
      </x:c>
      <x:c r="B106" s="47" t="str">
        <x:f>IFERROR(INDEX('Six-Factor Calc'!$B$5:$B$121,MATCH($A106,'Six-Factor Calc'!$A$5:$A$121,0)),"")</x:f>
        <x:v>LNG</x:v>
      </x:c>
      <x:c r="C106" s="47" t="str">
        <x:f>IFERROR(INDEX('Six-Factor Calc'!$C$5:$C$121,MATCH($A106,'Six-Factor Calc'!$A$5:$A$121,0)),"")</x:f>
        <x:v>Cheniere Energy Inc.</x:v>
      </x:c>
      <x:c r="D106" s="49" t="str">
        <x:f>IFERROR(INDEX('Six-Factor Calc'!$D$5:$D$121,MATCH($A106,'Six-Factor Calc'!$A$5:$A$121,0)),"")</x:f>
        <x:v>Long</x:v>
      </x:c>
      <x:c r="E106" s="49" t="n">
        <x:f>IFERROR(INDEX('Six-Factor Calc'!$E$5:$E$121,MATCH($A106,'Six-Factor Calc'!$A$5:$A$121,0)),"")</x:f>
        <x:v>0.004447</x:v>
      </x:c>
      <x:c r="F106" s="50" t="n">
        <x:f>IFERROR(INDEX('Six-Factor Calc'!$F$5:$F$121,MATCH($A106,'Six-Factor Calc'!$A$5:$A$121,0)),"")</x:f>
        <x:v>-0.18835975579237182</x:v>
      </x:c>
      <x:c r="G106" s="50" t="n">
        <x:f>IFERROR(INDEX('Six-Factor Calc'!$G$5:$G$121,MATCH($A106,'Six-Factor Calc'!$A$5:$A$121,0)),"")</x:f>
        <x:v>-0.22559445027185532</x:v>
      </x:c>
      <x:c r="H106" s="329" t="n">
        <x:f>IFERROR(INDEX('Six-Factor Calc'!$H$5:$H$121,MATCH($A106,'Six-Factor Calc'!$A$5:$A$121,0)),"")</x:f>
        <x:v>4.103820362545999</x:v>
      </x:c>
      <x:c r="I106" s="47" t="n">
        <x:f>IFERROR(INDEX('Six-Factor Calc'!$I$5:$I$121,MATCH($A106,'Six-Factor Calc'!$A$5:$A$121,0)),"")</x:f>
        <x:v>6</x:v>
      </x:c>
      <x:c r="J106" s="52" t="n">
        <x:f>IFERROR(INDEX('Six-Factor Calc'!$J$5:$J$121,MATCH($A106,'Six-Factor Calc'!$A$5:$A$121,0)),"")</x:f>
        <x:v>1.7758620689655173</x:v>
      </x:c>
      <x:c r="K106" s="47" t="n">
        <x:f>IFERROR(INDEX('Six-Factor Calc'!$K$5:$K$121,MATCH($A106,'Six-Factor Calc'!$A$5:$A$121,0)),"")</x:f>
        <x:v>107</x:v>
      </x:c>
      <x:c r="L106" s="52" t="n">
        <x:f>IFERROR(INDEX('Six-Factor Calc'!$L$5:$L$121,MATCH($A106,'Six-Factor Calc'!$A$5:$A$121,0)),"")</x:f>
        <x:v>1.316600790513834</x:v>
      </x:c>
      <x:c r="M106" s="47" t="n">
        <x:f>IFERROR(INDEX('Six-Factor Calc'!$M$5:$M$121,MATCH($A106,'Six-Factor Calc'!$A$5:$A$121,0)),"")</x:f>
        <x:v>116</x:v>
      </x:c>
      <x:c r="N106" s="47" t="str">
        <x:f>IFERROR(INDEX('Six-Factor Calc'!$N$5:$N$121,MATCH($A106,'Six-Factor Calc'!$A$5:$A$121,0)),"")</x:f>
        <x:v>SUE + CAR3</x:v>
      </x:c>
      <x:c r="O106" s="52" t="n">
        <x:f>IFERROR(INDEX('Six-Factor Calc'!$O$5:$O$121,MATCH($A106,'Six-Factor Calc'!$A$5:$A$121,0)),"")</x:f>
        <x:v>10</x:v>
      </x:c>
      <x:c r="P106" s="47" t="n">
        <x:f>IFERROR(INDEX('Six-Factor Calc'!$P$5:$P$121,MATCH($A106,'Six-Factor Calc'!$A$5:$A$121,0)),"")</x:f>
        <x:v>1</x:v>
      </x:c>
      <x:c r="Q106" s="50" t="n">
        <x:f>IFERROR(INDEX('Six-Factor Calc'!$Q$5:$Q$121,MATCH($A106,'Six-Factor Calc'!$A$5:$A$121,0)),"")</x:f>
        <x:v>4.80154</x:v>
      </x:c>
      <x:c r="R106" s="50" t="n">
        <x:f>IFERROR(INDEX('Six-Factor Calc'!$R$5:$R$121,MATCH($A106,'Six-Factor Calc'!$A$5:$A$121,0)),"")</x:f>
        <x:v>3.76424</x:v>
      </x:c>
      <x:c r="S106" s="317" t="n">
        <x:f>IFERROR(INDEX('Six-Factor Calc'!$S$5:$S$121,MATCH($A106,'Six-Factor Calc'!$A$5:$A$121,0)),"")</x:f>
        <x:v>0.27556691390559584</x:v>
      </x:c>
      <x:c r="T106" s="47" t="str">
        <x:f>IFERROR(INDEX('Six-Factor Calc'!$T$5:$T$121,MATCH($A106,'Six-Factor Calc'!$A$5:$A$121,0)),"")</x:f>
        <x:v>OK</x:v>
      </x:c>
      <x:c r="U106" s="52" t="n">
        <x:f>IFERROR(INDEX('Six-Factor Calc'!$U$5:$U$121,MATCH($A106,'Six-Factor Calc'!$A$5:$A$121,0)),"")</x:f>
        <x:v>3.600824587706147</x:v>
      </x:c>
      <x:c r="V106" s="47" t="n">
        <x:f>IFERROR(INDEX('Six-Factor Calc'!$V$5:$V$121,MATCH($A106,'Six-Factor Calc'!$A$5:$A$121,0)),"")</x:f>
        <x:v>96</x:v>
      </x:c>
      <x:c r="W106" s="52" t="n">
        <x:f>IFERROR(INDEX('Six-Factor Calc'!$W$5:$W$121,MATCH($A106,'Six-Factor Calc'!$A$5:$A$121,0)),"")</x:f>
        <x:v>3.470344827586207</x:v>
      </x:c>
      <x:c r="X106" s="47" t="n">
        <x:f>IFERROR(INDEX('Six-Factor Calc'!$X$5:$X$121,MATCH($A106,'Six-Factor Calc'!$A$5:$A$121,0)),"")</x:f>
        <x:v>89</x:v>
      </x:c>
      <x:c r="Y106" s="52" t="n">
        <x:f>IFERROR(INDEX('Six-Factor Calc'!$Y$5:$Y$121,MATCH($A106,'Six-Factor Calc'!$A$5:$A$121,0)),"")</x:f>
        <x:v>7.905172413793104</x:v>
      </x:c>
      <x:c r="Z106" s="47" t="n">
        <x:f>IFERROR(INDEX('Six-Factor Calc'!$Z$5:$Z$121,MATCH($A106,'Six-Factor Calc'!$A$5:$A$121,0)),"")</x:f>
        <x:v>28</x:v>
      </x:c>
      <x:c r="AA106" s="47" t="str">
        <x:f>IFERROR(INDEX('Six-Factor Calc'!$AA$5:$AA$121,MATCH($A106,'Six-Factor Calc'!$A$5:$A$121,0)),"")</x:f>
        <x:v>Utilities</x:v>
      </x:c>
      <x:c r="AB106" s="54" t="n">
        <x:f>IFERROR(INDEX('Six-Factor Calc'!$AB$5:$AB$121,MATCH($A106,'Six-Factor Calc'!$A$5:$A$121,0)),"")</x:f>
        <x:v>46213</x:v>
      </x:c>
      <x:c r="AC106" s="54" t="n">
        <x:f>IFERROR(INDEX('Six-Factor Calc'!$AC$5:$AC$121,MATCH($A106,'Six-Factor Calc'!$A$5:$A$121,0)),"")</x:f>
        <x:v>46112</x:v>
      </x:c>
      <x:c r="AD106" s="54" t="n">
        <x:f>IFERROR(INDEX('Six-Factor Calc'!$AD$5:$AD$121,MATCH($A106,'Six-Factor Calc'!$A$5:$A$121,0)),"")</x:f>
        <x:v>46022</x:v>
      </x:c>
      <x:c r="AE106" s="47" t="str">
        <x:f>IFERROR(INDEX('Six-Factor Calc'!$AE$5:$AE$121,MATCH($A106,'Six-Factor Calc'!$A$5:$A$121,0)),"")</x:f>
        <x:v>OK</x:v>
      </x:c>
    </x:row>
    <x:row r="107">
      <x:c r="A107" s="12" t="n">
        <x:v>103</x:v>
      </x:c>
      <x:c r="B107" s="47" t="str">
        <x:f>IFERROR(INDEX('Six-Factor Calc'!$B$5:$B$121,MATCH($A107,'Six-Factor Calc'!$A$5:$A$121,0)),"")</x:f>
        <x:v>WTRG</x:v>
      </x:c>
      <x:c r="C107" s="47" t="str">
        <x:f>IFERROR(INDEX('Six-Factor Calc'!$C$5:$C$121,MATCH($A107,'Six-Factor Calc'!$A$5:$A$121,0)),"")</x:f>
        <x:v>Essential Utilities Inc.</x:v>
      </x:c>
      <x:c r="D107" s="49" t="str">
        <x:f>IFERROR(INDEX('Six-Factor Calc'!$D$5:$D$121,MATCH($A107,'Six-Factor Calc'!$A$5:$A$121,0)),"")</x:f>
        <x:v>Long</x:v>
      </x:c>
      <x:c r="E107" s="49" t="n">
        <x:f>IFERROR(INDEX('Six-Factor Calc'!$E$5:$E$121,MATCH($A107,'Six-Factor Calc'!$A$5:$A$121,0)),"")</x:f>
        <x:v>0.004179</x:v>
      </x:c>
      <x:c r="F107" s="50" t="n">
        <x:f>IFERROR(INDEX('Six-Factor Calc'!$F$5:$F$121,MATCH($A107,'Six-Factor Calc'!$A$5:$A$121,0)),"")</x:f>
        <x:v>0.17660457119115475</x:v>
      </x:c>
      <x:c r="G107" s="50" t="n">
        <x:f>IFERROR(INDEX('Six-Factor Calc'!$G$5:$G$121,MATCH($A107,'Six-Factor Calc'!$A$5:$A$121,0)),"")</x:f>
        <x:v>0.029320476213381512</x:v>
      </x:c>
      <x:c r="H107" s="329" t="n">
        <x:f>IFERROR(INDEX('Six-Factor Calc'!$H$5:$H$121,MATCH($A107,'Six-Factor Calc'!$A$5:$A$121,0)),"")</x:f>
        <x:v>4.0898120485211935</x:v>
      </x:c>
      <x:c r="I107" s="47" t="n">
        <x:f>IFERROR(INDEX('Six-Factor Calc'!$I$5:$I$121,MATCH($A107,'Six-Factor Calc'!$A$5:$A$121,0)),"")</x:f>
        <x:v>6</x:v>
      </x:c>
      <x:c r="J107" s="52" t="n">
        <x:f>IFERROR(INDEX('Six-Factor Calc'!$J$5:$J$121,MATCH($A107,'Six-Factor Calc'!$A$5:$A$121,0)),"")</x:f>
        <x:v>2.6293103448275863</x:v>
      </x:c>
      <x:c r="K107" s="47" t="n">
        <x:f>IFERROR(INDEX('Six-Factor Calc'!$K$5:$K$121,MATCH($A107,'Six-Factor Calc'!$A$5:$A$121,0)),"")</x:f>
        <x:v>96</x:v>
      </x:c>
      <x:c r="L107" s="52" t="n">
        <x:f>IFERROR(INDEX('Six-Factor Calc'!$L$5:$L$121,MATCH($A107,'Six-Factor Calc'!$A$5:$A$121,0)),"")</x:f>
        <x:v>3.5950592885375494</x:v>
      </x:c>
      <x:c r="M107" s="47" t="n">
        <x:f>IFERROR(INDEX('Six-Factor Calc'!$M$5:$M$121,MATCH($A107,'Six-Factor Calc'!$A$5:$A$121,0)),"")</x:f>
        <x:v>94</x:v>
      </x:c>
      <x:c r="N107" s="47" t="str">
        <x:f>IFERROR(INDEX('Six-Factor Calc'!$N$5:$N$121,MATCH($A107,'Six-Factor Calc'!$A$5:$A$121,0)),"")</x:f>
        <x:v>SUE + CAR3</x:v>
      </x:c>
      <x:c r="O107" s="52" t="n">
        <x:f>IFERROR(INDEX('Six-Factor Calc'!$O$5:$O$121,MATCH($A107,'Six-Factor Calc'!$A$5:$A$121,0)),"")</x:f>
        <x:v>7.048</x:v>
      </x:c>
      <x:c r="P107" s="47" t="n">
        <x:f>IFERROR(INDEX('Six-Factor Calc'!$P$5:$P$121,MATCH($A107,'Six-Factor Calc'!$A$5:$A$121,0)),"")</x:f>
        <x:v>39</x:v>
      </x:c>
      <x:c r="Q107" s="50" t="n">
        <x:f>IFERROR(INDEX('Six-Factor Calc'!$Q$5:$Q$121,MATCH($A107,'Six-Factor Calc'!$A$5:$A$121,0)),"")</x:f>
        <x:v>0.34881</x:v>
      </x:c>
      <x:c r="R107" s="50" t="n">
        <x:f>IFERROR(INDEX('Six-Factor Calc'!$R$5:$R$121,MATCH($A107,'Six-Factor Calc'!$A$5:$A$121,0)),"")</x:f>
        <x:v>0.34714</x:v>
      </x:c>
      <x:c r="S107" s="317" t="n">
        <x:f>IFERROR(INDEX('Six-Factor Calc'!$S$5:$S$121,MATCH($A107,'Six-Factor Calc'!$A$5:$A$121,0)),"")</x:f>
        <x:v>0.004810739183038557</x:v>
      </x:c>
      <x:c r="T107" s="47" t="str">
        <x:f>IFERROR(INDEX('Six-Factor Calc'!$T$5:$T$121,MATCH($A107,'Six-Factor Calc'!$A$5:$A$121,0)),"")</x:f>
        <x:v>OK</x:v>
      </x:c>
      <x:c r="U107" s="52" t="n">
        <x:f>IFERROR(INDEX('Six-Factor Calc'!$U$5:$U$121,MATCH($A107,'Six-Factor Calc'!$A$5:$A$121,0)),"")</x:f>
        <x:v>5.349752623688156</x:v>
      </x:c>
      <x:c r="V107" s="47" t="n">
        <x:f>IFERROR(INDEX('Six-Factor Calc'!$V$5:$V$121,MATCH($A107,'Six-Factor Calc'!$A$5:$A$121,0)),"")</x:f>
        <x:v>62</x:v>
      </x:c>
      <x:c r="W107" s="52" t="n">
        <x:f>IFERROR(INDEX('Six-Factor Calc'!$W$5:$W$121,MATCH($A107,'Six-Factor Calc'!$A$5:$A$121,0)),"")</x:f>
        <x:v>4.873103448275862</x:v>
      </x:c>
      <x:c r="X107" s="47" t="n">
        <x:f>IFERROR(INDEX('Six-Factor Calc'!$X$5:$X$121,MATCH($A107,'Six-Factor Calc'!$A$5:$A$121,0)),"")</x:f>
        <x:v>63</x:v>
      </x:c>
      <x:c r="Y107" s="52" t="n">
        <x:f>IFERROR(INDEX('Six-Factor Calc'!$Y$5:$Y$121,MATCH($A107,'Six-Factor Calc'!$A$5:$A$121,0)),"")</x:f>
        <x:v>2.0086206896551726</x:v>
      </x:c>
      <x:c r="Z107" s="47" t="n">
        <x:f>IFERROR(INDEX('Six-Factor Calc'!$Z$5:$Z$121,MATCH($A107,'Six-Factor Calc'!$A$5:$A$121,0)),"")</x:f>
        <x:v>104</x:v>
      </x:c>
      <x:c r="AA107" s="47" t="str">
        <x:f>IFERROR(INDEX('Six-Factor Calc'!$AA$5:$AA$121,MATCH($A107,'Six-Factor Calc'!$A$5:$A$121,0)),"")</x:f>
        <x:v>Utilities</x:v>
      </x:c>
      <x:c r="AB107" s="54" t="n">
        <x:f>IFERROR(INDEX('Six-Factor Calc'!$AB$5:$AB$121,MATCH($A107,'Six-Factor Calc'!$A$5:$A$121,0)),"")</x:f>
        <x:v>46213</x:v>
      </x:c>
      <x:c r="AC107" s="54" t="n">
        <x:f>IFERROR(INDEX('Six-Factor Calc'!$AC$5:$AC$121,MATCH($A107,'Six-Factor Calc'!$A$5:$A$121,0)),"")</x:f>
        <x:v>46112</x:v>
      </x:c>
      <x:c r="AD107" s="54" t="n">
        <x:f>IFERROR(INDEX('Six-Factor Calc'!$AD$5:$AD$121,MATCH($A107,'Six-Factor Calc'!$A$5:$A$121,0)),"")</x:f>
        <x:v>46022</x:v>
      </x:c>
      <x:c r="AE107" s="47" t="str">
        <x:f>IFERROR(INDEX('Six-Factor Calc'!$AE$5:$AE$121,MATCH($A107,'Six-Factor Calc'!$A$5:$A$121,0)),"")</x:f>
        <x:v>OK</x:v>
      </x:c>
    </x:row>
    <x:row r="108">
      <x:c r="A108" s="12" t="n">
        <x:v>104</x:v>
      </x:c>
      <x:c r="B108" s="47" t="str">
        <x:f>IFERROR(INDEX('Six-Factor Calc'!$B$5:$B$121,MATCH($A108,'Six-Factor Calc'!$A$5:$A$121,0)),"")</x:f>
        <x:v>VTR</x:v>
      </x:c>
      <x:c r="C108" s="47" t="str">
        <x:f>IFERROR(INDEX('Six-Factor Calc'!$C$5:$C$121,MATCH($A108,'Six-Factor Calc'!$A$5:$A$121,0)),"")</x:f>
        <x:v>Ventas Inc. REIT</x:v>
      </x:c>
      <x:c r="D108" s="49" t="str">
        <x:f>IFERROR(INDEX('Six-Factor Calc'!$D$5:$D$121,MATCH($A108,'Six-Factor Calc'!$A$5:$A$121,0)),"")</x:f>
        <x:v>Long</x:v>
      </x:c>
      <x:c r="E108" s="49" t="n">
        <x:f>IFERROR(INDEX('Six-Factor Calc'!$E$5:$E$121,MATCH($A108,'Six-Factor Calc'!$A$5:$A$121,0)),"")</x:f>
        <x:v>0.004053</x:v>
      </x:c>
      <x:c r="F108" s="50" t="n">
        <x:f>IFERROR(INDEX('Six-Factor Calc'!$F$5:$F$121,MATCH($A108,'Six-Factor Calc'!$A$5:$A$121,0)),"")</x:f>
        <x:v>0.3429567615360264</x:v>
      </x:c>
      <x:c r="G108" s="50" t="n">
        <x:f>IFERROR(INDEX('Six-Factor Calc'!$G$5:$G$121,MATCH($A108,'Six-Factor Calc'!$A$5:$A$121,0)),"")</x:f>
        <x:v>0.09621604522945264</x:v>
      </x:c>
      <x:c r="H108" s="329" t="n">
        <x:f>IFERROR(INDEX('Six-Factor Calc'!$H$5:$H$121,MATCH($A108,'Six-Factor Calc'!$A$5:$A$121,0)),"")</x:f>
        <x:v>3.9966206215074283</x:v>
      </x:c>
      <x:c r="I108" s="47" t="n">
        <x:f>IFERROR(INDEX('Six-Factor Calc'!$I$5:$I$121,MATCH($A108,'Six-Factor Calc'!$A$5:$A$121,0)),"")</x:f>
        <x:v>6</x:v>
      </x:c>
      <x:c r="J108" s="52" t="n">
        <x:f>IFERROR(INDEX('Six-Factor Calc'!$J$5:$J$121,MATCH($A108,'Six-Factor Calc'!$A$5:$A$121,0)),"")</x:f>
        <x:v>2.396551724137931</x:v>
      </x:c>
      <x:c r="K108" s="47" t="n">
        <x:f>IFERROR(INDEX('Six-Factor Calc'!$K$5:$K$121,MATCH($A108,'Six-Factor Calc'!$A$5:$A$121,0)),"")</x:f>
        <x:v>99</x:v>
      </x:c>
      <x:c r="L108" s="52" t="n">
        <x:f>IFERROR(INDEX('Six-Factor Calc'!$L$5:$L$121,MATCH($A108,'Six-Factor Calc'!$A$5:$A$121,0)),"")</x:f>
        <x:v>6.663241106719367</x:v>
      </x:c>
      <x:c r="M108" s="47" t="n">
        <x:f>IFERROR(INDEX('Six-Factor Calc'!$M$5:$M$121,MATCH($A108,'Six-Factor Calc'!$A$5:$A$121,0)),"")</x:f>
        <x:v>34</x:v>
      </x:c>
      <x:c r="N108" s="47" t="str">
        <x:f>IFERROR(INDEX('Six-Factor Calc'!$N$5:$N$121,MATCH($A108,'Six-Factor Calc'!$A$5:$A$121,0)),"")</x:f>
        <x:v>SUE + CAR3</x:v>
      </x:c>
      <x:c r="O108" s="52" t="n">
        <x:f>IFERROR(INDEX('Six-Factor Calc'!$O$5:$O$121,MATCH($A108,'Six-Factor Calc'!$A$5:$A$121,0)),"")</x:f>
        <x:v>1.459</x:v>
      </x:c>
      <x:c r="P108" s="47" t="n">
        <x:f>IFERROR(INDEX('Six-Factor Calc'!$P$5:$P$121,MATCH($A108,'Six-Factor Calc'!$A$5:$A$121,0)),"")</x:f>
        <x:v>109</x:v>
      </x:c>
      <x:c r="Q108" s="50" t="n">
        <x:f>IFERROR(INDEX('Six-Factor Calc'!$Q$5:$Q$121,MATCH($A108,'Six-Factor Calc'!$A$5:$A$121,0)),"")</x:f>
        <x:v>0.11</x:v>
      </x:c>
      <x:c r="R108" s="50" t="n">
        <x:f>IFERROR(INDEX('Six-Factor Calc'!$R$5:$R$121,MATCH($A108,'Six-Factor Calc'!$A$5:$A$121,0)),"")</x:f>
        <x:v>0.15</x:v>
      </x:c>
      <x:c r="S108" s="317" t="n">
        <x:f>IFERROR(INDEX('Six-Factor Calc'!$S$5:$S$121,MATCH($A108,'Six-Factor Calc'!$A$5:$A$121,0)),"")</x:f>
        <x:v>-0.26666666666666666</x:v>
      </x:c>
      <x:c r="T108" s="47" t="str">
        <x:f>IFERROR(INDEX('Six-Factor Calc'!$T$5:$T$121,MATCH($A108,'Six-Factor Calc'!$A$5:$A$121,0)),"")</x:f>
        <x:v>THIN COVERAGE</x:v>
      </x:c>
      <x:c r="U108" s="52" t="n">
        <x:f>IFERROR(INDEX('Six-Factor Calc'!$U$5:$U$121,MATCH($A108,'Six-Factor Calc'!$A$5:$A$121,0)),"")</x:f>
        <x:v>3.094827586206897</x:v>
      </x:c>
      <x:c r="V108" s="47" t="n">
        <x:f>IFERROR(INDEX('Six-Factor Calc'!$V$5:$V$121,MATCH($A108,'Six-Factor Calc'!$A$5:$A$121,0)),"")</x:f>
        <x:v>104</x:v>
      </x:c>
      <x:c r="W108" s="52" t="n">
        <x:f>IFERROR(INDEX('Six-Factor Calc'!$W$5:$W$121,MATCH($A108,'Six-Factor Calc'!$A$5:$A$121,0)),"")</x:f>
        <x:v>6.663793103448276</x:v>
      </x:c>
      <x:c r="X108" s="47" t="n">
        <x:f>IFERROR(INDEX('Six-Factor Calc'!$X$5:$X$121,MATCH($A108,'Six-Factor Calc'!$A$5:$A$121,0)),"")</x:f>
        <x:v>30</x:v>
      </x:c>
      <x:c r="Y108" s="52" t="n">
        <x:f>IFERROR(INDEX('Six-Factor Calc'!$Y$5:$Y$121,MATCH($A108,'Six-Factor Calc'!$A$5:$A$121,0)),"")</x:f>
        <x:v>3.6379310344827585</x:v>
      </x:c>
      <x:c r="Z108" s="47" t="n">
        <x:f>IFERROR(INDEX('Six-Factor Calc'!$Z$5:$Z$121,MATCH($A108,'Six-Factor Calc'!$A$5:$A$121,0)),"")</x:f>
        <x:v>83</x:v>
      </x:c>
      <x:c r="AA108" s="47" t="str">
        <x:f>IFERROR(INDEX('Six-Factor Calc'!$AA$5:$AA$121,MATCH($A108,'Six-Factor Calc'!$A$5:$A$121,0)),"")</x:f>
        <x:v>Real Estate</x:v>
      </x:c>
      <x:c r="AB108" s="54" t="n">
        <x:f>IFERROR(INDEX('Six-Factor Calc'!$AB$5:$AB$121,MATCH($A108,'Six-Factor Calc'!$A$5:$A$121,0)),"")</x:f>
        <x:v>46213</x:v>
      </x:c>
      <x:c r="AC108" s="54" t="n">
        <x:f>IFERROR(INDEX('Six-Factor Calc'!$AC$5:$AC$121,MATCH($A108,'Six-Factor Calc'!$A$5:$A$121,0)),"")</x:f>
        <x:v>46112</x:v>
      </x:c>
      <x:c r="AD108" s="54" t="n">
        <x:f>IFERROR(INDEX('Six-Factor Calc'!$AD$5:$AD$121,MATCH($A108,'Six-Factor Calc'!$A$5:$A$121,0)),"")</x:f>
        <x:v>46022</x:v>
      </x:c>
      <x:c r="AE108" s="47" t="str">
        <x:f>IFERROR(INDEX('Six-Factor Calc'!$AE$5:$AE$121,MATCH($A108,'Six-Factor Calc'!$A$5:$A$121,0)),"")</x:f>
        <x:v>OK</x:v>
      </x:c>
    </x:row>
    <x:row r="109">
      <x:c r="A109" s="12" t="n">
        <x:v>105</x:v>
      </x:c>
      <x:c r="B109" s="47" t="str">
        <x:f>IFERROR(INDEX('Six-Factor Calc'!$B$5:$B$121,MATCH($A109,'Six-Factor Calc'!$A$5:$A$121,0)),"")</x:f>
        <x:v>AWK</x:v>
      </x:c>
      <x:c r="C109" s="47" t="str">
        <x:f>IFERROR(INDEX('Six-Factor Calc'!$C$5:$C$121,MATCH($A109,'Six-Factor Calc'!$A$5:$A$121,0)),"")</x:f>
        <x:v>American Water Works Co. Inc.</x:v>
      </x:c>
      <x:c r="D109" s="49" t="str">
        <x:f>IFERROR(INDEX('Six-Factor Calc'!$D$5:$D$121,MATCH($A109,'Six-Factor Calc'!$A$5:$A$121,0)),"")</x:f>
        <x:v>Long</x:v>
      </x:c>
      <x:c r="E109" s="49" t="n">
        <x:f>IFERROR(INDEX('Six-Factor Calc'!$E$5:$E$121,MATCH($A109,'Six-Factor Calc'!$A$5:$A$121,0)),"")</x:f>
        <x:v>0.00427</x:v>
      </x:c>
      <x:c r="F109" s="50" t="n">
        <x:f>IFERROR(INDEX('Six-Factor Calc'!$F$5:$F$121,MATCH($A109,'Six-Factor Calc'!$A$5:$A$121,0)),"")</x:f>
        <x:v>0.12930054815164585</x:v>
      </x:c>
      <x:c r="G109" s="50" t="n">
        <x:f>IFERROR(INDEX('Six-Factor Calc'!$G$5:$G$121,MATCH($A109,'Six-Factor Calc'!$A$5:$A$121,0)),"")</x:f>
        <x:v>-0.022299314587094863</x:v>
      </x:c>
      <x:c r="H109" s="329" t="n">
        <x:f>IFERROR(INDEX('Six-Factor Calc'!$H$5:$H$121,MATCH($A109,'Six-Factor Calc'!$A$5:$A$121,0)),"")</x:f>
        <x:v>3.990209077279542</x:v>
      </x:c>
      <x:c r="I109" s="47" t="n">
        <x:f>IFERROR(INDEX('Six-Factor Calc'!$I$5:$I$121,MATCH($A109,'Six-Factor Calc'!$A$5:$A$121,0)),"")</x:f>
        <x:v>6</x:v>
      </x:c>
      <x:c r="J109" s="52" t="n">
        <x:f>IFERROR(INDEX('Six-Factor Calc'!$J$5:$J$121,MATCH($A109,'Six-Factor Calc'!$A$5:$A$121,0)),"")</x:f>
        <x:v>5.0344827586206895</x:v>
      </x:c>
      <x:c r="K109" s="47" t="n">
        <x:f>IFERROR(INDEX('Six-Factor Calc'!$K$5:$K$121,MATCH($A109,'Six-Factor Calc'!$A$5:$A$121,0)),"")</x:f>
        <x:v>65</x:v>
      </x:c>
      <x:c r="L109" s="52" t="n">
        <x:f>IFERROR(INDEX('Six-Factor Calc'!$L$5:$L$121,MATCH($A109,'Six-Factor Calc'!$A$5:$A$121,0)),"")</x:f>
        <x:v>3.5719367588932807</x:v>
      </x:c>
      <x:c r="M109" s="47" t="n">
        <x:f>IFERROR(INDEX('Six-Factor Calc'!$M$5:$M$121,MATCH($A109,'Six-Factor Calc'!$A$5:$A$121,0)),"")</x:f>
        <x:v>95</x:v>
      </x:c>
      <x:c r="N109" s="47" t="str">
        <x:f>IFERROR(INDEX('Six-Factor Calc'!$N$5:$N$121,MATCH($A109,'Six-Factor Calc'!$A$5:$A$121,0)),"")</x:f>
        <x:v>SUE + CAR3</x:v>
      </x:c>
      <x:c r="O109" s="52" t="n">
        <x:f>IFERROR(INDEX('Six-Factor Calc'!$O$5:$O$121,MATCH($A109,'Six-Factor Calc'!$A$5:$A$121,0)),"")</x:f>
        <x:v>4.717</x:v>
      </x:c>
      <x:c r="P109" s="47" t="n">
        <x:f>IFERROR(INDEX('Six-Factor Calc'!$P$5:$P$121,MATCH($A109,'Six-Factor Calc'!$A$5:$A$121,0)),"")</x:f>
        <x:v>67</x:v>
      </x:c>
      <x:c r="Q109" s="50" t="n">
        <x:f>IFERROR(INDEX('Six-Factor Calc'!$Q$5:$Q$121,MATCH($A109,'Six-Factor Calc'!$A$5:$A$121,0)),"")</x:f>
        <x:v>2.07134</x:v>
      </x:c>
      <x:c r="R109" s="50" t="n">
        <x:f>IFERROR(INDEX('Six-Factor Calc'!$R$5:$R$121,MATCH($A109,'Six-Factor Calc'!$A$5:$A$121,0)),"")</x:f>
        <x:v>2.08917</x:v>
      </x:c>
      <x:c r="S109" s="317" t="n">
        <x:f>IFERROR(INDEX('Six-Factor Calc'!$S$5:$S$121,MATCH($A109,'Six-Factor Calc'!$A$5:$A$121,0)),"")</x:f>
        <x:v>-0.008534489773450706</x:v>
      </x:c>
      <x:c r="T109" s="47" t="str">
        <x:f>IFERROR(INDEX('Six-Factor Calc'!$T$5:$T$121,MATCH($A109,'Six-Factor Calc'!$A$5:$A$121,0)),"")</x:f>
        <x:v>OK</x:v>
      </x:c>
      <x:c r="U109" s="52" t="n">
        <x:f>IFERROR(INDEX('Six-Factor Calc'!$U$5:$U$121,MATCH($A109,'Six-Factor Calc'!$A$5:$A$121,0)),"")</x:f>
        <x:v>4.086075712143928</x:v>
      </x:c>
      <x:c r="V109" s="47" t="n">
        <x:f>IFERROR(INDEX('Six-Factor Calc'!$V$5:$V$121,MATCH($A109,'Six-Factor Calc'!$A$5:$A$121,0)),"")</x:f>
        <x:v>90</x:v>
      </x:c>
      <x:c r="W109" s="52" t="n">
        <x:f>IFERROR(INDEX('Six-Factor Calc'!$W$5:$W$121,MATCH($A109,'Six-Factor Calc'!$A$5:$A$121,0)),"")</x:f>
        <x:v>3.0668965517241378</x:v>
      </x:c>
      <x:c r="X109" s="47" t="n">
        <x:f>IFERROR(INDEX('Six-Factor Calc'!$X$5:$X$121,MATCH($A109,'Six-Factor Calc'!$A$5:$A$121,0)),"")</x:f>
        <x:v>98</x:v>
      </x:c>
      <x:c r="Y109" s="52" t="n">
        <x:f>IFERROR(INDEX('Six-Factor Calc'!$Y$5:$Y$121,MATCH($A109,'Six-Factor Calc'!$A$5:$A$121,0)),"")</x:f>
        <x:v>2.318965517241379</x:v>
      </x:c>
      <x:c r="Z109" s="47" t="n">
        <x:f>IFERROR(INDEX('Six-Factor Calc'!$Z$5:$Z$121,MATCH($A109,'Six-Factor Calc'!$A$5:$A$121,0)),"")</x:f>
        <x:v>100</x:v>
      </x:c>
      <x:c r="AA109" s="47" t="str">
        <x:f>IFERROR(INDEX('Six-Factor Calc'!$AA$5:$AA$121,MATCH($A109,'Six-Factor Calc'!$A$5:$A$121,0)),"")</x:f>
        <x:v>Utilities</x:v>
      </x:c>
      <x:c r="AB109" s="54" t="n">
        <x:f>IFERROR(INDEX('Six-Factor Calc'!$AB$5:$AB$121,MATCH($A109,'Six-Factor Calc'!$A$5:$A$121,0)),"")</x:f>
        <x:v>46213</x:v>
      </x:c>
      <x:c r="AC109" s="54" t="n">
        <x:f>IFERROR(INDEX('Six-Factor Calc'!$AC$5:$AC$121,MATCH($A109,'Six-Factor Calc'!$A$5:$A$121,0)),"")</x:f>
        <x:v>46112</x:v>
      </x:c>
      <x:c r="AD109" s="54" t="n">
        <x:f>IFERROR(INDEX('Six-Factor Calc'!$AD$5:$AD$121,MATCH($A109,'Six-Factor Calc'!$A$5:$A$121,0)),"")</x:f>
        <x:v>46022</x:v>
      </x:c>
      <x:c r="AE109" s="47" t="str">
        <x:f>IFERROR(INDEX('Six-Factor Calc'!$AE$5:$AE$121,MATCH($A109,'Six-Factor Calc'!$A$5:$A$121,0)),"")</x:f>
        <x:v>OK</x:v>
      </x:c>
    </x:row>
    <x:row r="110">
      <x:c r="A110" s="12" t="n">
        <x:v>106</x:v>
      </x:c>
      <x:c r="B110" s="47" t="str">
        <x:f>IFERROR(INDEX('Six-Factor Calc'!$B$5:$B$121,MATCH($A110,'Six-Factor Calc'!$A$5:$A$121,0)),"")</x:f>
        <x:v>MOS</x:v>
      </x:c>
      <x:c r="C110" s="47" t="str">
        <x:f>IFERROR(INDEX('Six-Factor Calc'!$C$5:$C$121,MATCH($A110,'Six-Factor Calc'!$A$5:$A$121,0)),"")</x:f>
        <x:v>The Mosaic Co.</x:v>
      </x:c>
      <x:c r="D110" s="49" t="str">
        <x:f>IFERROR(INDEX('Six-Factor Calc'!$D$5:$D$121,MATCH($A110,'Six-Factor Calc'!$A$5:$A$121,0)),"")</x:f>
        <x:v>Long</x:v>
      </x:c>
      <x:c r="E110" s="49" t="n">
        <x:f>IFERROR(INDEX('Six-Factor Calc'!$E$5:$E$121,MATCH($A110,'Six-Factor Calc'!$A$5:$A$121,0)),"")</x:f>
        <x:v>0.003921</x:v>
      </x:c>
      <x:c r="F110" s="50" t="n">
        <x:f>IFERROR(INDEX('Six-Factor Calc'!$F$5:$F$121,MATCH($A110,'Six-Factor Calc'!$A$5:$A$121,0)),"")</x:f>
        <x:v>0.4716245465474435</x:v>
      </x:c>
      <x:c r="G110" s="50" t="n">
        <x:f>IFERROR(INDEX('Six-Factor Calc'!$G$5:$G$121,MATCH($A110,'Six-Factor Calc'!$A$5:$A$121,0)),"")</x:f>
        <x:v>0.17993745226425145</x:v>
      </x:c>
      <x:c r="H110" s="329" t="n">
        <x:f>IFERROR(INDEX('Six-Factor Calc'!$H$5:$H$121,MATCH($A110,'Six-Factor Calc'!$A$5:$A$121,0)),"")</x:f>
        <x:v>3.9614805097451273</x:v>
      </x:c>
      <x:c r="I110" s="47" t="n">
        <x:f>IFERROR(INDEX('Six-Factor Calc'!$I$5:$I$121,MATCH($A110,'Six-Factor Calc'!$A$5:$A$121,0)),"")</x:f>
        <x:v>6</x:v>
      </x:c>
      <x:c r="J110" s="52" t="n">
        <x:f>IFERROR(INDEX('Six-Factor Calc'!$J$5:$J$121,MATCH($A110,'Six-Factor Calc'!$A$5:$A$121,0)),"")</x:f>
        <x:v>4.025862068965518</x:v>
      </x:c>
      <x:c r="K110" s="47" t="n">
        <x:f>IFERROR(INDEX('Six-Factor Calc'!$K$5:$K$121,MATCH($A110,'Six-Factor Calc'!$A$5:$A$121,0)),"")</x:f>
        <x:v>78</x:v>
      </x:c>
      <x:c r="L110" s="52" t="n">
        <x:f>IFERROR(INDEX('Six-Factor Calc'!$L$5:$L$121,MATCH($A110,'Six-Factor Calc'!$A$5:$A$121,0)),"")</x:f>
        <x:v>3.523913043478261</x:v>
      </x:c>
      <x:c r="M110" s="47" t="n">
        <x:f>IFERROR(INDEX('Six-Factor Calc'!$M$5:$M$121,MATCH($A110,'Six-Factor Calc'!$A$5:$A$121,0)),"")</x:f>
        <x:v>98</x:v>
      </x:c>
      <x:c r="N110" s="47" t="str">
        <x:f>IFERROR(INDEX('Six-Factor Calc'!$N$5:$N$121,MATCH($A110,'Six-Factor Calc'!$A$5:$A$121,0)),"")</x:f>
        <x:v>SUE + CAR3</x:v>
      </x:c>
      <x:c r="O110" s="52" t="n">
        <x:f>IFERROR(INDEX('Six-Factor Calc'!$O$5:$O$121,MATCH($A110,'Six-Factor Calc'!$A$5:$A$121,0)),"")</x:f>
        <x:v>1</x:v>
      </x:c>
      <x:c r="P110" s="47" t="n">
        <x:f>IFERROR(INDEX('Six-Factor Calc'!$P$5:$P$121,MATCH($A110,'Six-Factor Calc'!$A$5:$A$121,0)),"")</x:f>
        <x:v>115</x:v>
      </x:c>
      <x:c r="Q110" s="50" t="n">
        <x:f>IFERROR(INDEX('Six-Factor Calc'!$Q$5:$Q$121,MATCH($A110,'Six-Factor Calc'!$A$5:$A$121,0)),"")</x:f>
        <x:v>0.02972</x:v>
      </x:c>
      <x:c r="R110" s="50" t="n">
        <x:f>IFERROR(INDEX('Six-Factor Calc'!$R$5:$R$121,MATCH($A110,'Six-Factor Calc'!$A$5:$A$121,0)),"")</x:f>
        <x:v>0.31443</x:v>
      </x:c>
      <x:c r="S110" s="317" t="n">
        <x:f>IFERROR(INDEX('Six-Factor Calc'!$S$5:$S$121,MATCH($A110,'Six-Factor Calc'!$A$5:$A$121,0)),"")</x:f>
        <x:v>-0.9054797570206404</x:v>
      </x:c>
      <x:c r="T110" s="47" t="str">
        <x:f>IFERROR(INDEX('Six-Factor Calc'!$T$5:$T$121,MATCH($A110,'Six-Factor Calc'!$A$5:$A$121,0)),"")</x:f>
        <x:v>OK</x:v>
      </x:c>
      <x:c r="U110" s="52" t="n">
        <x:f>IFERROR(INDEX('Six-Factor Calc'!$U$5:$U$121,MATCH($A110,'Six-Factor Calc'!$A$5:$A$121,0)),"")</x:f>
        <x:v>5.488227136431783</x:v>
      </x:c>
      <x:c r="V110" s="47" t="n">
        <x:f>IFERROR(INDEX('Six-Factor Calc'!$V$5:$V$121,MATCH($A110,'Six-Factor Calc'!$A$5:$A$121,0)),"")</x:f>
        <x:v>56</x:v>
      </x:c>
      <x:c r="W110" s="52" t="n">
        <x:f>IFERROR(INDEX('Six-Factor Calc'!$W$5:$W$121,MATCH($A110,'Six-Factor Calc'!$A$5:$A$121,0)),"")</x:f>
        <x:v>4.393620689655172</x:v>
      </x:c>
      <x:c r="X110" s="47" t="n">
        <x:f>IFERROR(INDEX('Six-Factor Calc'!$X$5:$X$121,MATCH($A110,'Six-Factor Calc'!$A$5:$A$121,0)),"")</x:f>
        <x:v>73</x:v>
      </x:c>
      <x:c r="Y110" s="52" t="n">
        <x:f>IFERROR(INDEX('Six-Factor Calc'!$Y$5:$Y$121,MATCH($A110,'Six-Factor Calc'!$A$5:$A$121,0)),"")</x:f>
        <x:v>7.2844827586206895</x:v>
      </x:c>
      <x:c r="Z110" s="47" t="n">
        <x:f>IFERROR(INDEX('Six-Factor Calc'!$Z$5:$Z$121,MATCH($A110,'Six-Factor Calc'!$A$5:$A$121,0)),"")</x:f>
        <x:v>36</x:v>
      </x:c>
      <x:c r="AA110" s="47" t="str">
        <x:f>IFERROR(INDEX('Six-Factor Calc'!$AA$5:$AA$121,MATCH($A110,'Six-Factor Calc'!$A$5:$A$121,0)),"")</x:f>
        <x:v>Industrials</x:v>
      </x:c>
      <x:c r="AB110" s="54" t="n">
        <x:f>IFERROR(INDEX('Six-Factor Calc'!$AB$5:$AB$121,MATCH($A110,'Six-Factor Calc'!$A$5:$A$121,0)),"")</x:f>
        <x:v>46213</x:v>
      </x:c>
      <x:c r="AC110" s="54" t="n">
        <x:f>IFERROR(INDEX('Six-Factor Calc'!$AC$5:$AC$121,MATCH($A110,'Six-Factor Calc'!$A$5:$A$121,0)),"")</x:f>
        <x:v>46112</x:v>
      </x:c>
      <x:c r="AD110" s="54" t="n">
        <x:f>IFERROR(INDEX('Six-Factor Calc'!$AD$5:$AD$121,MATCH($A110,'Six-Factor Calc'!$A$5:$A$121,0)),"")</x:f>
        <x:v>46022</x:v>
      </x:c>
      <x:c r="AE110" s="47" t="str">
        <x:f>IFERROR(INDEX('Six-Factor Calc'!$AE$5:$AE$121,MATCH($A110,'Six-Factor Calc'!$A$5:$A$121,0)),"")</x:f>
        <x:v>OK</x:v>
      </x:c>
    </x:row>
    <x:row r="111">
      <x:c r="A111" s="12" t="n">
        <x:v>107</x:v>
      </x:c>
      <x:c r="B111" s="47" t="str">
        <x:f>IFERROR(INDEX('Six-Factor Calc'!$B$5:$B$121,MATCH($A111,'Six-Factor Calc'!$A$5:$A$121,0)),"")</x:f>
        <x:v>AZO</x:v>
      </x:c>
      <x:c r="C111" s="47" t="str">
        <x:f>IFERROR(INDEX('Six-Factor Calc'!$C$5:$C$121,MATCH($A111,'Six-Factor Calc'!$A$5:$A$121,0)),"")</x:f>
        <x:v>AutoZone Inc.</x:v>
      </x:c>
      <x:c r="D111" s="49" t="str">
        <x:f>IFERROR(INDEX('Six-Factor Calc'!$D$5:$D$121,MATCH($A111,'Six-Factor Calc'!$A$5:$A$121,0)),"")</x:f>
        <x:v>Long</x:v>
      </x:c>
      <x:c r="E111" s="49" t="n">
        <x:f>IFERROR(INDEX('Six-Factor Calc'!$E$5:$E$121,MATCH($A111,'Six-Factor Calc'!$A$5:$A$121,0)),"")</x:f>
        <x:v>0.003934</x:v>
      </x:c>
      <x:c r="F111" s="50" t="n">
        <x:f>IFERROR(INDEX('Six-Factor Calc'!$F$5:$F$121,MATCH($A111,'Six-Factor Calc'!$A$5:$A$121,0)),"")</x:f>
        <x:v>0.19784165815018134</x:v>
      </x:c>
      <x:c r="G111" s="50" t="n">
        <x:f>IFERROR(INDEX('Six-Factor Calc'!$G$5:$G$121,MATCH($A111,'Six-Factor Calc'!$A$5:$A$121,0)),"")</x:f>
        <x:v>0.022321904345368772</x:v>
      </x:c>
      <x:c r="H111" s="329" t="n">
        <x:f>IFERROR(INDEX('Six-Factor Calc'!$H$5:$H$121,MATCH($A111,'Six-Factor Calc'!$A$5:$A$121,0)),"")</x:f>
        <x:v>3.697596020171732</x:v>
      </x:c>
      <x:c r="I111" s="47" t="n">
        <x:f>IFERROR(INDEX('Six-Factor Calc'!$I$5:$I$121,MATCH($A111,'Six-Factor Calc'!$A$5:$A$121,0)),"")</x:f>
        <x:v>6</x:v>
      </x:c>
      <x:c r="J111" s="52" t="n">
        <x:f>IFERROR(INDEX('Six-Factor Calc'!$J$5:$J$121,MATCH($A111,'Six-Factor Calc'!$A$5:$A$121,0)),"")</x:f>
        <x:v>1.1551724137931034</x:v>
      </x:c>
      <x:c r="K111" s="47" t="n">
        <x:f>IFERROR(INDEX('Six-Factor Calc'!$K$5:$K$121,MATCH($A111,'Six-Factor Calc'!$A$5:$A$121,0)),"")</x:f>
        <x:v>113</x:v>
      </x:c>
      <x:c r="L111" s="52" t="n">
        <x:f>IFERROR(INDEX('Six-Factor Calc'!$L$5:$L$121,MATCH($A111,'Six-Factor Calc'!$A$5:$A$121,0)),"")</x:f>
        <x:v>4.10197628458498</x:v>
      </x:c>
      <x:c r="M111" s="47" t="n">
        <x:f>IFERROR(INDEX('Six-Factor Calc'!$M$5:$M$121,MATCH($A111,'Six-Factor Calc'!$A$5:$A$121,0)),"")</x:f>
        <x:v>87</x:v>
      </x:c>
      <x:c r="N111" s="47" t="str">
        <x:f>IFERROR(INDEX('Six-Factor Calc'!$N$5:$N$121,MATCH($A111,'Six-Factor Calc'!$A$5:$A$121,0)),"")</x:f>
        <x:v>SUE + CAR3</x:v>
      </x:c>
      <x:c r="O111" s="52" t="n">
        <x:f>IFERROR(INDEX('Six-Factor Calc'!$O$5:$O$121,MATCH($A111,'Six-Factor Calc'!$A$5:$A$121,0)),"")</x:f>
        <x:v>5.806</x:v>
      </x:c>
      <x:c r="P111" s="47" t="n">
        <x:f>IFERROR(INDEX('Six-Factor Calc'!$P$5:$P$121,MATCH($A111,'Six-Factor Calc'!$A$5:$A$121,0)),"")</x:f>
        <x:v>53</x:v>
      </x:c>
      <x:c r="Q111" s="50" t="n">
        <x:f>IFERROR(INDEX('Six-Factor Calc'!$Q$5:$Q$121,MATCH($A111,'Six-Factor Calc'!$A$5:$A$121,0)),"")</x:f>
        <x:v>54.53667</x:v>
      </x:c>
      <x:c r="R111" s="50" t="n">
        <x:f>IFERROR(INDEX('Six-Factor Calc'!$R$5:$R$121,MATCH($A111,'Six-Factor Calc'!$A$5:$A$121,0)),"")</x:f>
        <x:v>54.61534</x:v>
      </x:c>
      <x:c r="S111" s="317" t="n">
        <x:f>IFERROR(INDEX('Six-Factor Calc'!$S$5:$S$121,MATCH($A111,'Six-Factor Calc'!$A$5:$A$121,0)),"")</x:f>
        <x:v>-0.0014404377964140195</x:v>
      </x:c>
      <x:c r="T111" s="47" t="str">
        <x:f>IFERROR(INDEX('Six-Factor Calc'!$T$5:$T$121,MATCH($A111,'Six-Factor Calc'!$A$5:$A$121,0)),"")</x:f>
        <x:v>OK</x:v>
      </x:c>
      <x:c r="U111" s="52" t="n">
        <x:f>IFERROR(INDEX('Six-Factor Calc'!$U$5:$U$121,MATCH($A111,'Six-Factor Calc'!$A$5:$A$121,0)),"")</x:f>
        <x:v>4.2344002998500745</x:v>
      </x:c>
      <x:c r="V111" s="47" t="n">
        <x:f>IFERROR(INDEX('Six-Factor Calc'!$V$5:$V$121,MATCH($A111,'Six-Factor Calc'!$A$5:$A$121,0)),"")</x:f>
        <x:v>86</x:v>
      </x:c>
      <x:c r="W111" s="52" t="n">
        <x:f>IFERROR(INDEX('Six-Factor Calc'!$W$5:$W$121,MATCH($A111,'Six-Factor Calc'!$A$5:$A$121,0)),"")</x:f>
        <x:v>2.5408620689655175</x:v>
      </x:c>
      <x:c r="X111" s="47" t="n">
        <x:f>IFERROR(INDEX('Six-Factor Calc'!$X$5:$X$121,MATCH($A111,'Six-Factor Calc'!$A$5:$A$121,0)),"")</x:f>
        <x:v>106</x:v>
      </x:c>
      <x:c r="Y111" s="52" t="n">
        <x:f>IFERROR(INDEX('Six-Factor Calc'!$Y$5:$Y$121,MATCH($A111,'Six-Factor Calc'!$A$5:$A$121,0)),"")</x:f>
        <x:v>5.9655172413793105</x:v>
      </x:c>
      <x:c r="Z111" s="47" t="n">
        <x:f>IFERROR(INDEX('Six-Factor Calc'!$Z$5:$Z$121,MATCH($A111,'Six-Factor Calc'!$A$5:$A$121,0)),"")</x:f>
        <x:v>53</x:v>
      </x:c>
      <x:c r="AA111" s="47" t="str">
        <x:f>IFERROR(INDEX('Six-Factor Calc'!$AA$5:$AA$121,MATCH($A111,'Six-Factor Calc'!$A$5:$A$121,0)),"")</x:f>
        <x:v>Consumer Discretionary</x:v>
      </x:c>
      <x:c r="AB111" s="54" t="n">
        <x:f>IFERROR(INDEX('Six-Factor Calc'!$AB$5:$AB$121,MATCH($A111,'Six-Factor Calc'!$A$5:$A$121,0)),"")</x:f>
        <x:v>46213</x:v>
      </x:c>
      <x:c r="AC111" s="54" t="n">
        <x:f>IFERROR(INDEX('Six-Factor Calc'!$AC$5:$AC$121,MATCH($A111,'Six-Factor Calc'!$A$5:$A$121,0)),"")</x:f>
        <x:v>46151</x:v>
      </x:c>
      <x:c r="AD111" s="54" t="n">
        <x:f>IFERROR(INDEX('Six-Factor Calc'!$AD$5:$AD$121,MATCH($A111,'Six-Factor Calc'!$A$5:$A$121,0)),"")</x:f>
        <x:v>45899</x:v>
      </x:c>
      <x:c r="AE111" s="47" t="str">
        <x:f>IFERROR(INDEX('Six-Factor Calc'!$AE$5:$AE$121,MATCH($A111,'Six-Factor Calc'!$A$5:$A$121,0)),"")</x:f>
        <x:v>OK</x:v>
      </x:c>
    </x:row>
    <x:row r="112">
      <x:c r="A112" s="12" t="n">
        <x:v>108</x:v>
      </x:c>
      <x:c r="B112" s="47" t="str">
        <x:f>IFERROR(INDEX('Six-Factor Calc'!$B$5:$B$121,MATCH($A112,'Six-Factor Calc'!$A$5:$A$121,0)),"")</x:f>
        <x:v>PM</x:v>
      </x:c>
      <x:c r="C112" s="47" t="str">
        <x:f>IFERROR(INDEX('Six-Factor Calc'!$C$5:$C$121,MATCH($A112,'Six-Factor Calc'!$A$5:$A$121,0)),"")</x:f>
        <x:v>Philip Morris International Inc.</x:v>
      </x:c>
      <x:c r="D112" s="49" t="str">
        <x:f>IFERROR(INDEX('Six-Factor Calc'!$D$5:$D$121,MATCH($A112,'Six-Factor Calc'!$A$5:$A$121,0)),"")</x:f>
        <x:v>Long</x:v>
      </x:c>
      <x:c r="E112" s="49" t="n">
        <x:f>IFERROR(INDEX('Six-Factor Calc'!$E$5:$E$121,MATCH($A112,'Six-Factor Calc'!$A$5:$A$121,0)),"")</x:f>
        <x:v>0.003748</x:v>
      </x:c>
      <x:c r="F112" s="50" t="n">
        <x:f>IFERROR(INDEX('Six-Factor Calc'!$F$5:$F$121,MATCH($A112,'Six-Factor Calc'!$A$5:$A$121,0)),"")</x:f>
        <x:v>0.2268078732793771</x:v>
      </x:c>
      <x:c r="G112" s="50" t="n">
        <x:f>IFERROR(INDEX('Six-Factor Calc'!$G$5:$G$121,MATCH($A112,'Six-Factor Calc'!$A$5:$A$121,0)),"")</x:f>
        <x:v>-0.00866325718722727</x:v>
      </x:c>
      <x:c r="H112" s="329" t="n">
        <x:f>IFERROR(INDEX('Six-Factor Calc'!$H$5:$H$121,MATCH($A112,'Six-Factor Calc'!$A$5:$A$121,0)),"")</x:f>
        <x:v>3.6471726863840805</x:v>
      </x:c>
      <x:c r="I112" s="47" t="n">
        <x:f>IFERROR(INDEX('Six-Factor Calc'!$I$5:$I$121,MATCH($A112,'Six-Factor Calc'!$A$5:$A$121,0)),"")</x:f>
        <x:v>6</x:v>
      </x:c>
      <x:c r="J112" s="52" t="n">
        <x:f>IFERROR(INDEX('Six-Factor Calc'!$J$5:$J$121,MATCH($A112,'Six-Factor Calc'!$A$5:$A$121,0)),"")</x:f>
        <x:v>1.543103448275862</x:v>
      </x:c>
      <x:c r="K112" s="47" t="n">
        <x:f>IFERROR(INDEX('Six-Factor Calc'!$K$5:$K$121,MATCH($A112,'Six-Factor Calc'!$A$5:$A$121,0)),"")</x:f>
        <x:v>110</x:v>
      </x:c>
      <x:c r="L112" s="52" t="n">
        <x:f>IFERROR(INDEX('Six-Factor Calc'!$L$5:$L$121,MATCH($A112,'Six-Factor Calc'!$A$5:$A$121,0)),"")</x:f>
        <x:v>6.129644268774704</x:v>
      </x:c>
      <x:c r="M112" s="47" t="n">
        <x:f>IFERROR(INDEX('Six-Factor Calc'!$M$5:$M$121,MATCH($A112,'Six-Factor Calc'!$A$5:$A$121,0)),"")</x:f>
        <x:v>43</x:v>
      </x:c>
      <x:c r="N112" s="47" t="str">
        <x:f>IFERROR(INDEX('Six-Factor Calc'!$N$5:$N$121,MATCH($A112,'Six-Factor Calc'!$A$5:$A$121,0)),"")</x:f>
        <x:v>SUE + CAR3</x:v>
      </x:c>
      <x:c r="O112" s="52" t="n">
        <x:f>IFERROR(INDEX('Six-Factor Calc'!$O$5:$O$121,MATCH($A112,'Six-Factor Calc'!$A$5:$A$121,0)),"")</x:f>
        <x:v>2.008</x:v>
      </x:c>
      <x:c r="P112" s="47" t="n">
        <x:f>IFERROR(INDEX('Six-Factor Calc'!$P$5:$P$121,MATCH($A112,'Six-Factor Calc'!$A$5:$A$121,0)),"")</x:f>
        <x:v>102</x:v>
      </x:c>
      <x:c r="Q112" s="50" t="n">
        <x:f>IFERROR(INDEX('Six-Factor Calc'!$Q$5:$Q$121,MATCH($A112,'Six-Factor Calc'!$A$5:$A$121,0)),"")</x:f>
        <x:v>2.24951</x:v>
      </x:c>
      <x:c r="R112" s="50" t="n">
        <x:f>IFERROR(INDEX('Six-Factor Calc'!$R$5:$R$121,MATCH($A112,'Six-Factor Calc'!$A$5:$A$121,0)),"")</x:f>
        <x:v>2.43136</x:v>
      </x:c>
      <x:c r="S112" s="317" t="n">
        <x:f>IFERROR(INDEX('Six-Factor Calc'!$S$5:$S$121,MATCH($A112,'Six-Factor Calc'!$A$5:$A$121,0)),"")</x:f>
        <x:v>-0.07479353119241917</x:v>
      </x:c>
      <x:c r="T112" s="47" t="str">
        <x:f>IFERROR(INDEX('Six-Factor Calc'!$T$5:$T$121,MATCH($A112,'Six-Factor Calc'!$A$5:$A$121,0)),"")</x:f>
        <x:v>OK</x:v>
      </x:c>
      <x:c r="U112" s="52" t="n">
        <x:f>IFERROR(INDEX('Six-Factor Calc'!$U$5:$U$121,MATCH($A112,'Six-Factor Calc'!$A$5:$A$121,0)),"")</x:f>
        <x:v>3.0431821589205397</x:v>
      </x:c>
      <x:c r="V112" s="47" t="n">
        <x:f>IFERROR(INDEX('Six-Factor Calc'!$V$5:$V$121,MATCH($A112,'Six-Factor Calc'!$A$5:$A$121,0)),"")</x:f>
        <x:v>106</x:v>
      </x:c>
      <x:c r="W112" s="52" t="n">
        <x:f>IFERROR(INDEX('Six-Factor Calc'!$W$5:$W$121,MATCH($A112,'Six-Factor Calc'!$A$5:$A$121,0)),"")</x:f>
        <x:v>4.316034482758621</x:v>
      </x:c>
      <x:c r="X112" s="47" t="n">
        <x:f>IFERROR(INDEX('Six-Factor Calc'!$X$5:$X$121,MATCH($A112,'Six-Factor Calc'!$A$5:$A$121,0)),"")</x:f>
        <x:v>76</x:v>
      </x:c>
      <x:c r="Y112" s="52" t="n">
        <x:f>IFERROR(INDEX('Six-Factor Calc'!$Y$5:$Y$121,MATCH($A112,'Six-Factor Calc'!$A$5:$A$121,0)),"")</x:f>
        <x:v>5.189655172413793</x:v>
      </x:c>
      <x:c r="Z112" s="47" t="n">
        <x:f>IFERROR(INDEX('Six-Factor Calc'!$Z$5:$Z$121,MATCH($A112,'Six-Factor Calc'!$A$5:$A$121,0)),"")</x:f>
        <x:v>63</x:v>
      </x:c>
      <x:c r="AA112" s="47" t="str">
        <x:f>IFERROR(INDEX('Six-Factor Calc'!$AA$5:$AA$121,MATCH($A112,'Six-Factor Calc'!$A$5:$A$121,0)),"")</x:f>
        <x:v>Health Care</x:v>
      </x:c>
      <x:c r="AB112" s="54" t="n">
        <x:f>IFERROR(INDEX('Six-Factor Calc'!$AB$5:$AB$121,MATCH($A112,'Six-Factor Calc'!$A$5:$A$121,0)),"")</x:f>
        <x:v>46213</x:v>
      </x:c>
      <x:c r="AC112" s="54" t="n">
        <x:f>IFERROR(INDEX('Six-Factor Calc'!$AC$5:$AC$121,MATCH($A112,'Six-Factor Calc'!$A$5:$A$121,0)),"")</x:f>
        <x:v>46112</x:v>
      </x:c>
      <x:c r="AD112" s="54" t="n">
        <x:f>IFERROR(INDEX('Six-Factor Calc'!$AD$5:$AD$121,MATCH($A112,'Six-Factor Calc'!$A$5:$A$121,0)),"")</x:f>
        <x:v>46022</x:v>
      </x:c>
      <x:c r="AE112" s="47" t="str">
        <x:f>IFERROR(INDEX('Six-Factor Calc'!$AE$5:$AE$121,MATCH($A112,'Six-Factor Calc'!$A$5:$A$121,0)),"")</x:f>
        <x:v>OK</x:v>
      </x:c>
    </x:row>
    <x:row r="113">
      <x:c r="A113" s="12" t="n">
        <x:v>109</x:v>
      </x:c>
      <x:c r="B113" s="47" t="str">
        <x:f>IFERROR(INDEX('Six-Factor Calc'!$B$5:$B$121,MATCH($A113,'Six-Factor Calc'!$A$5:$A$121,0)),"")</x:f>
        <x:v>PCG</x:v>
      </x:c>
      <x:c r="C113" s="47" t="str">
        <x:f>IFERROR(INDEX('Six-Factor Calc'!$C$5:$C$121,MATCH($A113,'Six-Factor Calc'!$A$5:$A$121,0)),"")</x:f>
        <x:v>PG&amp;E Corp.</x:v>
      </x:c>
      <x:c r="D113" s="49" t="str">
        <x:f>IFERROR(INDEX('Six-Factor Calc'!$D$5:$D$121,MATCH($A113,'Six-Factor Calc'!$A$5:$A$121,0)),"")</x:f>
        <x:v>Short</x:v>
      </x:c>
      <x:c r="E113" s="49" t="n">
        <x:f>IFERROR(INDEX('Six-Factor Calc'!$E$5:$E$121,MATCH($A113,'Six-Factor Calc'!$A$5:$A$121,0)),"")</x:f>
        <x:v>-0.00372</x:v>
      </x:c>
      <x:c r="F113" s="50" t="n">
        <x:f>IFERROR(INDEX('Six-Factor Calc'!$F$5:$F$121,MATCH($A113,'Six-Factor Calc'!$A$5:$A$121,0)),"")</x:f>
        <x:v>-0.008231448743165441</x:v>
      </x:c>
      <x:c r="G113" s="50" t="n">
        <x:f>IFERROR(INDEX('Six-Factor Calc'!$G$5:$G$121,MATCH($A113,'Six-Factor Calc'!$A$5:$A$121,0)),"")</x:f>
        <x:v>-0.15868214205289752</x:v>
      </x:c>
      <x:c r="H113" s="329" t="n">
        <x:f>IFERROR(INDEX('Six-Factor Calc'!$H$5:$H$121,MATCH($A113,'Six-Factor Calc'!$A$5:$A$121,0)),"")</x:f>
        <x:v>3.6215813684067055</x:v>
      </x:c>
      <x:c r="I113" s="47" t="n">
        <x:f>IFERROR(INDEX('Six-Factor Calc'!$I$5:$I$121,MATCH($A113,'Six-Factor Calc'!$A$5:$A$121,0)),"")</x:f>
        <x:v>6</x:v>
      </x:c>
      <x:c r="J113" s="52" t="n">
        <x:f>IFERROR(INDEX('Six-Factor Calc'!$J$5:$J$121,MATCH($A113,'Six-Factor Calc'!$A$5:$A$121,0)),"")</x:f>
        <x:v>2.0086206896551726</x:v>
      </x:c>
      <x:c r="K113" s="47" t="n">
        <x:f>IFERROR(INDEX('Six-Factor Calc'!$K$5:$K$121,MATCH($A113,'Six-Factor Calc'!$A$5:$A$121,0)),"")</x:f>
        <x:v>104</x:v>
      </x:c>
      <x:c r="L113" s="52" t="n">
        <x:f>IFERROR(INDEX('Six-Factor Calc'!$L$5:$L$121,MATCH($A113,'Six-Factor Calc'!$A$5:$A$121,0)),"")</x:f>
        <x:v>6.072727272727273</x:v>
      </x:c>
      <x:c r="M113" s="47" t="n">
        <x:f>IFERROR(INDEX('Six-Factor Calc'!$M$5:$M$121,MATCH($A113,'Six-Factor Calc'!$A$5:$A$121,0)),"")</x:f>
        <x:v>48</x:v>
      </x:c>
      <x:c r="N113" s="47" t="str">
        <x:f>IFERROR(INDEX('Six-Factor Calc'!$N$5:$N$121,MATCH($A113,'Six-Factor Calc'!$A$5:$A$121,0)),"")</x:f>
        <x:v>SUE + CAR3</x:v>
      </x:c>
      <x:c r="O113" s="52" t="n">
        <x:f>IFERROR(INDEX('Six-Factor Calc'!$O$5:$O$121,MATCH($A113,'Six-Factor Calc'!$A$5:$A$121,0)),"")</x:f>
        <x:v>2.395</x:v>
      </x:c>
      <x:c r="P113" s="47" t="n">
        <x:f>IFERROR(INDEX('Six-Factor Calc'!$P$5:$P$121,MATCH($A113,'Six-Factor Calc'!$A$5:$A$121,0)),"")</x:f>
        <x:v>97</x:v>
      </x:c>
      <x:c r="Q113" s="50" t="n">
        <x:f>IFERROR(INDEX('Six-Factor Calc'!$Q$5:$Q$121,MATCH($A113,'Six-Factor Calc'!$A$5:$A$121,0)),"")</x:f>
        <x:v>0.42049</x:v>
      </x:c>
      <x:c r="R113" s="50" t="n">
        <x:f>IFERROR(INDEX('Six-Factor Calc'!$R$5:$R$121,MATCH($A113,'Six-Factor Calc'!$A$5:$A$121,0)),"")</x:f>
        <x:v>0.44902</x:v>
      </x:c>
      <x:c r="S113" s="317" t="n">
        <x:f>IFERROR(INDEX('Six-Factor Calc'!$S$5:$S$121,MATCH($A113,'Six-Factor Calc'!$A$5:$A$121,0)),"")</x:f>
        <x:v>-0.06353837245556991</x:v>
      </x:c>
      <x:c r="T113" s="47" t="str">
        <x:f>IFERROR(INDEX('Six-Factor Calc'!$T$5:$T$121,MATCH($A113,'Six-Factor Calc'!$A$5:$A$121,0)),"")</x:f>
        <x:v>OK</x:v>
      </x:c>
      <x:c r="U113" s="52" t="n">
        <x:f>IFERROR(INDEX('Six-Factor Calc'!$U$5:$U$121,MATCH($A113,'Six-Factor Calc'!$A$5:$A$121,0)),"")</x:f>
        <x:v>5.453009745127436</x:v>
      </x:c>
      <x:c r="V113" s="47" t="n">
        <x:f>IFERROR(INDEX('Six-Factor Calc'!$V$5:$V$121,MATCH($A113,'Six-Factor Calc'!$A$5:$A$121,0)),"")</x:f>
        <x:v>59</x:v>
      </x:c>
      <x:c r="W113" s="52" t="n">
        <x:f>IFERROR(INDEX('Six-Factor Calc'!$W$5:$W$121,MATCH($A113,'Six-Factor Calc'!$A$5:$A$121,0)),"")</x:f>
        <x:v>4.055344827586207</x:v>
      </x:c>
      <x:c r="X113" s="47" t="n">
        <x:f>IFERROR(INDEX('Six-Factor Calc'!$X$5:$X$121,MATCH($A113,'Six-Factor Calc'!$A$5:$A$121,0)),"")</x:f>
        <x:v>81</x:v>
      </x:c>
      <x:c r="Y113" s="52" t="n">
        <x:f>IFERROR(INDEX('Six-Factor Calc'!$Y$5:$Y$121,MATCH($A113,'Six-Factor Calc'!$A$5:$A$121,0)),"")</x:f>
        <x:v>1.3103448275862069</x:v>
      </x:c>
      <x:c r="Z113" s="47" t="n">
        <x:f>IFERROR(INDEX('Six-Factor Calc'!$Z$5:$Z$121,MATCH($A113,'Six-Factor Calc'!$A$5:$A$121,0)),"")</x:f>
        <x:v>113</x:v>
      </x:c>
      <x:c r="AA113" s="47" t="str">
        <x:f>IFERROR(INDEX('Six-Factor Calc'!$AA$5:$AA$121,MATCH($A113,'Six-Factor Calc'!$A$5:$A$121,0)),"")</x:f>
        <x:v>Utilities</x:v>
      </x:c>
      <x:c r="AB113" s="54" t="n">
        <x:f>IFERROR(INDEX('Six-Factor Calc'!$AB$5:$AB$121,MATCH($A113,'Six-Factor Calc'!$A$5:$A$121,0)),"")</x:f>
        <x:v>46213</x:v>
      </x:c>
      <x:c r="AC113" s="54" t="n">
        <x:f>IFERROR(INDEX('Six-Factor Calc'!$AC$5:$AC$121,MATCH($A113,'Six-Factor Calc'!$A$5:$A$121,0)),"")</x:f>
        <x:v>46112</x:v>
      </x:c>
      <x:c r="AD113" s="54" t="n">
        <x:f>IFERROR(INDEX('Six-Factor Calc'!$AD$5:$AD$121,MATCH($A113,'Six-Factor Calc'!$A$5:$A$121,0)),"")</x:f>
        <x:v>46022</x:v>
      </x:c>
      <x:c r="AE113" s="47" t="str">
        <x:f>IFERROR(INDEX('Six-Factor Calc'!$AE$5:$AE$121,MATCH($A113,'Six-Factor Calc'!$A$5:$A$121,0)),"")</x:f>
        <x:v>OK</x:v>
      </x:c>
    </x:row>
    <x:row r="114">
      <x:c r="A114" s="12" t="n">
        <x:v>110</x:v>
      </x:c>
      <x:c r="B114" s="47" t="str">
        <x:f>IFERROR(INDEX('Six-Factor Calc'!$B$5:$B$121,MATCH($A114,'Six-Factor Calc'!$A$5:$A$121,0)),"")</x:f>
        <x:v>MCD</x:v>
      </x:c>
      <x:c r="C114" s="47" t="str">
        <x:f>IFERROR(INDEX('Six-Factor Calc'!$C$5:$C$121,MATCH($A114,'Six-Factor Calc'!$A$5:$A$121,0)),"")</x:f>
        <x:v>McDonald's Corp.</x:v>
      </x:c>
      <x:c r="D114" s="49" t="str">
        <x:f>IFERROR(INDEX('Six-Factor Calc'!$D$5:$D$121,MATCH($A114,'Six-Factor Calc'!$A$5:$A$121,0)),"")</x:f>
        <x:v>Long</x:v>
      </x:c>
      <x:c r="E114" s="49" t="n">
        <x:f>IFERROR(INDEX('Six-Factor Calc'!$E$5:$E$121,MATCH($A114,'Six-Factor Calc'!$A$5:$A$121,0)),"")</x:f>
        <x:v>0.003778</x:v>
      </x:c>
      <x:c r="F114" s="50" t="n">
        <x:f>IFERROR(INDEX('Six-Factor Calc'!$F$5:$F$121,MATCH($A114,'Six-Factor Calc'!$A$5:$A$121,0)),"")</x:f>
        <x:v>0.139461704505625</x:v>
      </x:c>
      <x:c r="G114" s="50" t="n">
        <x:f>IFERROR(INDEX('Six-Factor Calc'!$G$5:$G$121,MATCH($A114,'Six-Factor Calc'!$A$5:$A$121,0)),"")</x:f>
        <x:v>0.03974482844154049</x:v>
      </x:c>
      <x:c r="H114" s="329" t="n">
        <x:f>IFERROR(INDEX('Six-Factor Calc'!$H$5:$H$121,MATCH($A114,'Six-Factor Calc'!$A$5:$A$121,0)),"")</x:f>
        <x:v>3.566723183862614</x:v>
      </x:c>
      <x:c r="I114" s="47" t="n">
        <x:f>IFERROR(INDEX('Six-Factor Calc'!$I$5:$I$121,MATCH($A114,'Six-Factor Calc'!$A$5:$A$121,0)),"")</x:f>
        <x:v>6</x:v>
      </x:c>
      <x:c r="J114" s="52" t="n">
        <x:f>IFERROR(INDEX('Six-Factor Calc'!$J$5:$J$121,MATCH($A114,'Six-Factor Calc'!$A$5:$A$121,0)),"")</x:f>
        <x:v>1.1551724137931034</x:v>
      </x:c>
      <x:c r="K114" s="47" t="n">
        <x:f>IFERROR(INDEX('Six-Factor Calc'!$K$5:$K$121,MATCH($A114,'Six-Factor Calc'!$A$5:$A$121,0)),"")</x:f>
        <x:v>113</x:v>
      </x:c>
      <x:c r="L114" s="52" t="n">
        <x:f>IFERROR(INDEX('Six-Factor Calc'!$L$5:$L$121,MATCH($A114,'Six-Factor Calc'!$A$5:$A$121,0)),"")</x:f>
        <x:v>5.037549407114624</x:v>
      </x:c>
      <x:c r="M114" s="47" t="n">
        <x:f>IFERROR(INDEX('Six-Factor Calc'!$M$5:$M$121,MATCH($A114,'Six-Factor Calc'!$A$5:$A$121,0)),"")</x:f>
        <x:v>72</x:v>
      </x:c>
      <x:c r="N114" s="47" t="str">
        <x:f>IFERROR(INDEX('Six-Factor Calc'!$N$5:$N$121,MATCH($A114,'Six-Factor Calc'!$A$5:$A$121,0)),"")</x:f>
        <x:v>SUE + CAR3</x:v>
      </x:c>
      <x:c r="O114" s="52" t="n">
        <x:f>IFERROR(INDEX('Six-Factor Calc'!$O$5:$O$121,MATCH($A114,'Six-Factor Calc'!$A$5:$A$121,0)),"")</x:f>
        <x:v>4.024</x:v>
      </x:c>
      <x:c r="P114" s="47" t="n">
        <x:f>IFERROR(INDEX('Six-Factor Calc'!$P$5:$P$121,MATCH($A114,'Six-Factor Calc'!$A$5:$A$121,0)),"")</x:f>
        <x:v>76</x:v>
      </x:c>
      <x:c r="Q114" s="50" t="n">
        <x:f>IFERROR(INDEX('Six-Factor Calc'!$Q$5:$Q$121,MATCH($A114,'Six-Factor Calc'!$A$5:$A$121,0)),"")</x:f>
        <x:v>3.39735</x:v>
      </x:c>
      <x:c r="R114" s="50" t="n">
        <x:f>IFERROR(INDEX('Six-Factor Calc'!$R$5:$R$121,MATCH($A114,'Six-Factor Calc'!$A$5:$A$121,0)),"")</x:f>
        <x:v>3.45181</x:v>
      </x:c>
      <x:c r="S114" s="317" t="n">
        <x:f>IFERROR(INDEX('Six-Factor Calc'!$S$5:$S$121,MATCH($A114,'Six-Factor Calc'!$A$5:$A$121,0)),"")</x:f>
        <x:v>-0.015777229917058058</x:v>
      </x:c>
      <x:c r="T114" s="47" t="str">
        <x:f>IFERROR(INDEX('Six-Factor Calc'!$T$5:$T$121,MATCH($A114,'Six-Factor Calc'!$A$5:$A$121,0)),"")</x:f>
        <x:v>OK</x:v>
      </x:c>
      <x:c r="U114" s="52" t="n">
        <x:f>IFERROR(INDEX('Six-Factor Calc'!$U$5:$U$121,MATCH($A114,'Six-Factor Calc'!$A$5:$A$121,0)),"")</x:f>
        <x:v>3.2132983508245876</x:v>
      </x:c>
      <x:c r="V114" s="47" t="n">
        <x:f>IFERROR(INDEX('Six-Factor Calc'!$V$5:$V$121,MATCH($A114,'Six-Factor Calc'!$A$5:$A$121,0)),"")</x:f>
        <x:v>101</x:v>
      </x:c>
      <x:c r="W114" s="52" t="n">
        <x:f>IFERROR(INDEX('Six-Factor Calc'!$W$5:$W$121,MATCH($A114,'Six-Factor Calc'!$A$5:$A$121,0)),"")</x:f>
        <x:v>4.038275862068966</x:v>
      </x:c>
      <x:c r="X114" s="47" t="n">
        <x:f>IFERROR(INDEX('Six-Factor Calc'!$X$5:$X$121,MATCH($A114,'Six-Factor Calc'!$A$5:$A$121,0)),"")</x:f>
        <x:v>82</x:v>
      </x:c>
      <x:c r="Y114" s="52" t="n">
        <x:f>IFERROR(INDEX('Six-Factor Calc'!$Y$5:$Y$121,MATCH($A114,'Six-Factor Calc'!$A$5:$A$121,0)),"")</x:f>
        <x:v>4.879310344827585</x:v>
      </x:c>
      <x:c r="Z114" s="47" t="n">
        <x:f>IFERROR(INDEX('Six-Factor Calc'!$Z$5:$Z$121,MATCH($A114,'Six-Factor Calc'!$A$5:$A$121,0)),"")</x:f>
        <x:v>67</x:v>
      </x:c>
      <x:c r="AA114" s="47" t="str">
        <x:f>IFERROR(INDEX('Six-Factor Calc'!$AA$5:$AA$121,MATCH($A114,'Six-Factor Calc'!$A$5:$A$121,0)),"")</x:f>
        <x:v>Consumer Discretionary</x:v>
      </x:c>
      <x:c r="AB114" s="54" t="n">
        <x:f>IFERROR(INDEX('Six-Factor Calc'!$AB$5:$AB$121,MATCH($A114,'Six-Factor Calc'!$A$5:$A$121,0)),"")</x:f>
        <x:v>46213</x:v>
      </x:c>
      <x:c r="AC114" s="54" t="n">
        <x:f>IFERROR(INDEX('Six-Factor Calc'!$AC$5:$AC$121,MATCH($A114,'Six-Factor Calc'!$A$5:$A$121,0)),"")</x:f>
        <x:v>46112</x:v>
      </x:c>
      <x:c r="AD114" s="54" t="n">
        <x:f>IFERROR(INDEX('Six-Factor Calc'!$AD$5:$AD$121,MATCH($A114,'Six-Factor Calc'!$A$5:$A$121,0)),"")</x:f>
        <x:v>46022</x:v>
      </x:c>
      <x:c r="AE114" s="47" t="str">
        <x:f>IFERROR(INDEX('Six-Factor Calc'!$AE$5:$AE$121,MATCH($A114,'Six-Factor Calc'!$A$5:$A$121,0)),"")</x:f>
        <x:v>OK</x:v>
      </x:c>
    </x:row>
    <x:row r="115">
      <x:c r="A115" s="12" t="n">
        <x:v>111</x:v>
      </x:c>
      <x:c r="B115" s="47" t="str">
        <x:f>IFERROR(INDEX('Six-Factor Calc'!$B$5:$B$121,MATCH($A115,'Six-Factor Calc'!$A$5:$A$121,0)),"")</x:f>
        <x:v>EIX</x:v>
      </x:c>
      <x:c r="C115" s="47" t="str">
        <x:f>IFERROR(INDEX('Six-Factor Calc'!$C$5:$C$121,MATCH($A115,'Six-Factor Calc'!$A$5:$A$121,0)),"")</x:f>
        <x:v>Edison International</x:v>
      </x:c>
      <x:c r="D115" s="49" t="str">
        <x:f>IFERROR(INDEX('Six-Factor Calc'!$D$5:$D$121,MATCH($A115,'Six-Factor Calc'!$A$5:$A$121,0)),"")</x:f>
        <x:v>Short</x:v>
      </x:c>
      <x:c r="E115" s="49" t="n">
        <x:f>IFERROR(INDEX('Six-Factor Calc'!$E$5:$E$121,MATCH($A115,'Six-Factor Calc'!$A$5:$A$121,0)),"")</x:f>
        <x:v>-0.00375</x:v>
      </x:c>
      <x:c r="F115" s="50" t="n">
        <x:f>IFERROR(INDEX('Six-Factor Calc'!$F$5:$F$121,MATCH($A115,'Six-Factor Calc'!$A$5:$A$121,0)),"")</x:f>
        <x:v>0.24531301035200592</x:v>
      </x:c>
      <x:c r="G115" s="50" t="n">
        <x:f>IFERROR(INDEX('Six-Factor Calc'!$G$5:$G$121,MATCH($A115,'Six-Factor Calc'!$A$5:$A$121,0)),"")</x:f>
        <x:v>-0.06045813110505138</x:v>
      </x:c>
      <x:c r="H115" s="329" t="n">
        <x:f>IFERROR(INDEX('Six-Factor Calc'!$H$5:$H$121,MATCH($A115,'Six-Factor Calc'!$A$5:$A$121,0)),"")</x:f>
        <x:v>3.4734099086820227</x:v>
      </x:c>
      <x:c r="I115" s="47" t="n">
        <x:f>IFERROR(INDEX('Six-Factor Calc'!$I$5:$I$121,MATCH($A115,'Six-Factor Calc'!$A$5:$A$121,0)),"")</x:f>
        <x:v>6</x:v>
      </x:c>
      <x:c r="J115" s="52" t="n">
        <x:f>IFERROR(INDEX('Six-Factor Calc'!$J$5:$J$121,MATCH($A115,'Six-Factor Calc'!$A$5:$A$121,0)),"")</x:f>
        <x:v>2.862068965517241</x:v>
      </x:c>
      <x:c r="K115" s="47" t="n">
        <x:f>IFERROR(INDEX('Six-Factor Calc'!$K$5:$K$121,MATCH($A115,'Six-Factor Calc'!$A$5:$A$121,0)),"")</x:f>
        <x:v>93</x:v>
      </x:c>
      <x:c r="L115" s="52" t="n">
        <x:f>IFERROR(INDEX('Six-Factor Calc'!$L$5:$L$121,MATCH($A115,'Six-Factor Calc'!$A$5:$A$121,0)),"")</x:f>
        <x:v>3.9916996047430833</x:v>
      </x:c>
      <x:c r="M115" s="47" t="n">
        <x:f>IFERROR(INDEX('Six-Factor Calc'!$M$5:$M$121,MATCH($A115,'Six-Factor Calc'!$A$5:$A$121,0)),"")</x:f>
        <x:v>89</x:v>
      </x:c>
      <x:c r="N115" s="47" t="str">
        <x:f>IFERROR(INDEX('Six-Factor Calc'!$N$5:$N$121,MATCH($A115,'Six-Factor Calc'!$A$5:$A$121,0)),"")</x:f>
        <x:v>SUE + CAR3</x:v>
      </x:c>
      <x:c r="O115" s="52" t="n">
        <x:f>IFERROR(INDEX('Six-Factor Calc'!$O$5:$O$121,MATCH($A115,'Six-Factor Calc'!$A$5:$A$121,0)),"")</x:f>
        <x:v>3.088</x:v>
      </x:c>
      <x:c r="P115" s="47" t="n">
        <x:f>IFERROR(INDEX('Six-Factor Calc'!$P$5:$P$121,MATCH($A115,'Six-Factor Calc'!$A$5:$A$121,0)),"")</x:f>
        <x:v>88</x:v>
      </x:c>
      <x:c r="Q115" s="50" t="n">
        <x:f>IFERROR(INDEX('Six-Factor Calc'!$Q$5:$Q$121,MATCH($A115,'Six-Factor Calc'!$A$5:$A$121,0)),"")</x:f>
        <x:v>1.91706</x:v>
      </x:c>
      <x:c r="R115" s="50" t="n">
        <x:f>IFERROR(INDEX('Six-Factor Calc'!$R$5:$R$121,MATCH($A115,'Six-Factor Calc'!$A$5:$A$121,0)),"")</x:f>
        <x:v>1.97132</x:v>
      </x:c>
      <x:c r="S115" s="317" t="n">
        <x:f>IFERROR(INDEX('Six-Factor Calc'!$S$5:$S$121,MATCH($A115,'Six-Factor Calc'!$A$5:$A$121,0)),"")</x:f>
        <x:v>-0.027524704259075126</x:v>
      </x:c>
      <x:c r="T115" s="47" t="str">
        <x:f>IFERROR(INDEX('Six-Factor Calc'!$T$5:$T$121,MATCH($A115,'Six-Factor Calc'!$A$5:$A$121,0)),"")</x:f>
        <x:v>OK</x:v>
      </x:c>
      <x:c r="U115" s="52" t="n">
        <x:f>IFERROR(INDEX('Six-Factor Calc'!$U$5:$U$121,MATCH($A115,'Six-Factor Calc'!$A$5:$A$121,0)),"")</x:f>
        <x:v>6.245468515742129</x:v>
      </x:c>
      <x:c r="V115" s="47" t="n">
        <x:f>IFERROR(INDEX('Six-Factor Calc'!$V$5:$V$121,MATCH($A115,'Six-Factor Calc'!$A$5:$A$121,0)),"")</x:f>
        <x:v>42</x:v>
      </x:c>
      <x:c r="W115" s="52" t="n">
        <x:f>IFERROR(INDEX('Six-Factor Calc'!$W$5:$W$121,MATCH($A115,'Six-Factor Calc'!$A$5:$A$121,0)),"")</x:f>
        <x:v>3.2639655172413793</x:v>
      </x:c>
      <x:c r="X115" s="47" t="n">
        <x:f>IFERROR(INDEX('Six-Factor Calc'!$X$5:$X$121,MATCH($A115,'Six-Factor Calc'!$A$5:$A$121,0)),"")</x:f>
        <x:v>95</x:v>
      </x:c>
      <x:c r="Y115" s="52" t="n">
        <x:f>IFERROR(INDEX('Six-Factor Calc'!$Y$5:$Y$121,MATCH($A115,'Six-Factor Calc'!$A$5:$A$121,0)),"")</x:f>
        <x:v>1.6982758620689655</x:v>
      </x:c>
      <x:c r="Z115" s="47" t="n">
        <x:f>IFERROR(INDEX('Six-Factor Calc'!$Z$5:$Z$121,MATCH($A115,'Six-Factor Calc'!$A$5:$A$121,0)),"")</x:f>
        <x:v>108</x:v>
      </x:c>
      <x:c r="AA115" s="47" t="str">
        <x:f>IFERROR(INDEX('Six-Factor Calc'!$AA$5:$AA$121,MATCH($A115,'Six-Factor Calc'!$A$5:$A$121,0)),"")</x:f>
        <x:v>Utilities</x:v>
      </x:c>
      <x:c r="AB115" s="54" t="n">
        <x:f>IFERROR(INDEX('Six-Factor Calc'!$AB$5:$AB$121,MATCH($A115,'Six-Factor Calc'!$A$5:$A$121,0)),"")</x:f>
        <x:v>46213</x:v>
      </x:c>
      <x:c r="AC115" s="54" t="n">
        <x:f>IFERROR(INDEX('Six-Factor Calc'!$AC$5:$AC$121,MATCH($A115,'Six-Factor Calc'!$A$5:$A$121,0)),"")</x:f>
        <x:v>46112</x:v>
      </x:c>
      <x:c r="AD115" s="54" t="n">
        <x:f>IFERROR(INDEX('Six-Factor Calc'!$AD$5:$AD$121,MATCH($A115,'Six-Factor Calc'!$A$5:$A$121,0)),"")</x:f>
        <x:v>46022</x:v>
      </x:c>
      <x:c r="AE115" s="47" t="str">
        <x:f>IFERROR(INDEX('Six-Factor Calc'!$AE$5:$AE$121,MATCH($A115,'Six-Factor Calc'!$A$5:$A$121,0)),"")</x:f>
        <x:v>OK</x:v>
      </x:c>
    </x:row>
    <x:row r="116">
      <x:c r="A116" s="12" t="n">
        <x:v>112</x:v>
      </x:c>
      <x:c r="B116" s="47" t="str">
        <x:f>IFERROR(INDEX('Six-Factor Calc'!$B$5:$B$121,MATCH($A116,'Six-Factor Calc'!$A$5:$A$121,0)),"")</x:f>
        <x:v>DUK</x:v>
      </x:c>
      <x:c r="C116" s="47" t="str">
        <x:f>IFERROR(INDEX('Six-Factor Calc'!$C$5:$C$121,MATCH($A116,'Six-Factor Calc'!$A$5:$A$121,0)),"")</x:f>
        <x:v>Duke Energy Corp.</x:v>
      </x:c>
      <x:c r="D116" s="49" t="str">
        <x:f>IFERROR(INDEX('Six-Factor Calc'!$D$5:$D$121,MATCH($A116,'Six-Factor Calc'!$A$5:$A$121,0)),"")</x:f>
        <x:v>Long</x:v>
      </x:c>
      <x:c r="E116" s="49" t="n">
        <x:f>IFERROR(INDEX('Six-Factor Calc'!$E$5:$E$121,MATCH($A116,'Six-Factor Calc'!$A$5:$A$121,0)),"")</x:f>
        <x:v>0.0041</x:v>
      </x:c>
      <x:c r="F116" s="50" t="n">
        <x:f>IFERROR(INDEX('Six-Factor Calc'!$F$5:$F$121,MATCH($A116,'Six-Factor Calc'!$A$5:$A$121,0)),"")</x:f>
        <x:v>0.06386806150342139</x:v>
      </x:c>
      <x:c r="G116" s="50" t="n">
        <x:f>IFERROR(INDEX('Six-Factor Calc'!$G$5:$G$121,MATCH($A116,'Six-Factor Calc'!$A$5:$A$121,0)),"")</x:f>
        <x:v>-0.01146342389453718</x:v>
      </x:c>
      <x:c r="H116" s="329" t="n">
        <x:f>IFERROR(INDEX('Six-Factor Calc'!$H$5:$H$121,MATCH($A116,'Six-Factor Calc'!$A$5:$A$121,0)),"")</x:f>
        <x:v>3.4650728499386667</x:v>
      </x:c>
      <x:c r="I116" s="47" t="n">
        <x:f>IFERROR(INDEX('Six-Factor Calc'!$I$5:$I$121,MATCH($A116,'Six-Factor Calc'!$A$5:$A$121,0)),"")</x:f>
        <x:v>6</x:v>
      </x:c>
      <x:c r="J116" s="52" t="n">
        <x:f>IFERROR(INDEX('Six-Factor Calc'!$J$5:$J$121,MATCH($A116,'Six-Factor Calc'!$A$5:$A$121,0)),"")</x:f>
        <x:v>2.086206896551724</x:v>
      </x:c>
      <x:c r="K116" s="47" t="n">
        <x:f>IFERROR(INDEX('Six-Factor Calc'!$K$5:$K$121,MATCH($A116,'Six-Factor Calc'!$A$5:$A$121,0)),"")</x:f>
        <x:v>103</x:v>
      </x:c>
      <x:c r="L116" s="52" t="n">
        <x:f>IFERROR(INDEX('Six-Factor Calc'!$L$5:$L$121,MATCH($A116,'Six-Factor Calc'!$A$5:$A$121,0)),"")</x:f>
        <x:v>4.738735177865612</x:v>
      </x:c>
      <x:c r="M116" s="47" t="n">
        <x:f>IFERROR(INDEX('Six-Factor Calc'!$M$5:$M$121,MATCH($A116,'Six-Factor Calc'!$A$5:$A$121,0)),"")</x:f>
        <x:v>77</x:v>
      </x:c>
      <x:c r="N116" s="47" t="str">
        <x:f>IFERROR(INDEX('Six-Factor Calc'!$N$5:$N$121,MATCH($A116,'Six-Factor Calc'!$A$5:$A$121,0)),"")</x:f>
        <x:v>SUE + CAR3</x:v>
      </x:c>
      <x:c r="O116" s="52" t="n">
        <x:f>IFERROR(INDEX('Six-Factor Calc'!$O$5:$O$121,MATCH($A116,'Six-Factor Calc'!$A$5:$A$121,0)),"")</x:f>
        <x:v>3.016</x:v>
      </x:c>
      <x:c r="P116" s="47" t="n">
        <x:f>IFERROR(INDEX('Six-Factor Calc'!$P$5:$P$121,MATCH($A116,'Six-Factor Calc'!$A$5:$A$121,0)),"")</x:f>
        <x:v>89</x:v>
      </x:c>
      <x:c r="Q116" s="50" t="n">
        <x:f>IFERROR(INDEX('Six-Factor Calc'!$Q$5:$Q$121,MATCH($A116,'Six-Factor Calc'!$A$5:$A$121,0)),"")</x:f>
        <x:v>1.858</x:v>
      </x:c>
      <x:c r="R116" s="50" t="n">
        <x:f>IFERROR(INDEX('Six-Factor Calc'!$R$5:$R$121,MATCH($A116,'Six-Factor Calc'!$A$5:$A$121,0)),"")</x:f>
        <x:v>1.9115</x:v>
      </x:c>
      <x:c r="S116" s="317" t="n">
        <x:f>IFERROR(INDEX('Six-Factor Calc'!$S$5:$S$121,MATCH($A116,'Six-Factor Calc'!$A$5:$A$121,0)),"")</x:f>
        <x:v>-0.027988490714098813</x:v>
      </x:c>
      <x:c r="T116" s="47" t="str">
        <x:f>IFERROR(INDEX('Six-Factor Calc'!$T$5:$T$121,MATCH($A116,'Six-Factor Calc'!$A$5:$A$121,0)),"")</x:f>
        <x:v>OK</x:v>
      </x:c>
      <x:c r="U116" s="52" t="n">
        <x:f>IFERROR(INDEX('Six-Factor Calc'!$U$5:$U$121,MATCH($A116,'Six-Factor Calc'!$A$5:$A$121,0)),"")</x:f>
        <x:v>4.461053223388306</x:v>
      </x:c>
      <x:c r="V116" s="47" t="n">
        <x:f>IFERROR(INDEX('Six-Factor Calc'!$V$5:$V$121,MATCH($A116,'Six-Factor Calc'!$A$5:$A$121,0)),"")</x:f>
        <x:v>80</x:v>
      </x:c>
      <x:c r="W116" s="52" t="n">
        <x:f>IFERROR(INDEX('Six-Factor Calc'!$W$5:$W$121,MATCH($A116,'Six-Factor Calc'!$A$5:$A$121,0)),"")</x:f>
        <x:v>4.758275862068966</x:v>
      </x:c>
      <x:c r="X116" s="47" t="n">
        <x:f>IFERROR(INDEX('Six-Factor Calc'!$X$5:$X$121,MATCH($A116,'Six-Factor Calc'!$A$5:$A$121,0)),"")</x:f>
        <x:v>66</x:v>
      </x:c>
      <x:c r="Y116" s="52" t="n">
        <x:f>IFERROR(INDEX('Six-Factor Calc'!$Y$5:$Y$121,MATCH($A116,'Six-Factor Calc'!$A$5:$A$121,0)),"")</x:f>
        <x:v>2.086206896551724</x:v>
      </x:c>
      <x:c r="Z116" s="47" t="n">
        <x:f>IFERROR(INDEX('Six-Factor Calc'!$Z$5:$Z$121,MATCH($A116,'Six-Factor Calc'!$A$5:$A$121,0)),"")</x:f>
        <x:v>103</x:v>
      </x:c>
      <x:c r="AA116" s="47" t="str">
        <x:f>IFERROR(INDEX('Six-Factor Calc'!$AA$5:$AA$121,MATCH($A116,'Six-Factor Calc'!$A$5:$A$121,0)),"")</x:f>
        <x:v>Utilities</x:v>
      </x:c>
      <x:c r="AB116" s="54" t="n">
        <x:f>IFERROR(INDEX('Six-Factor Calc'!$AB$5:$AB$121,MATCH($A116,'Six-Factor Calc'!$A$5:$A$121,0)),"")</x:f>
        <x:v>46213</x:v>
      </x:c>
      <x:c r="AC116" s="54" t="n">
        <x:f>IFERROR(INDEX('Six-Factor Calc'!$AC$5:$AC$121,MATCH($A116,'Six-Factor Calc'!$A$5:$A$121,0)),"")</x:f>
        <x:v>46112</x:v>
      </x:c>
      <x:c r="AD116" s="54" t="n">
        <x:f>IFERROR(INDEX('Six-Factor Calc'!$AD$5:$AD$121,MATCH($A116,'Six-Factor Calc'!$A$5:$A$121,0)),"")</x:f>
        <x:v>46022</x:v>
      </x:c>
      <x:c r="AE116" s="47" t="str">
        <x:f>IFERROR(INDEX('Six-Factor Calc'!$AE$5:$AE$121,MATCH($A116,'Six-Factor Calc'!$A$5:$A$121,0)),"")</x:f>
        <x:v>OK</x:v>
      </x:c>
    </x:row>
    <x:row r="117">
      <x:c r="A117" s="12" t="n">
        <x:v>113</x:v>
      </x:c>
      <x:c r="B117" s="47" t="str">
        <x:f>IFERROR(INDEX('Six-Factor Calc'!$B$5:$B$121,MATCH($A117,'Six-Factor Calc'!$A$5:$A$121,0)),"")</x:f>
        <x:v>JNJ</x:v>
      </x:c>
      <x:c r="C117" s="47" t="str">
        <x:f>IFERROR(INDEX('Six-Factor Calc'!$C$5:$C$121,MATCH($A117,'Six-Factor Calc'!$A$5:$A$121,0)),"")</x:f>
        <x:v>Johnson &amp; Johnson</x:v>
      </x:c>
      <x:c r="D117" s="49" t="str">
        <x:f>IFERROR(INDEX('Six-Factor Calc'!$D$5:$D$121,MATCH($A117,'Six-Factor Calc'!$A$5:$A$121,0)),"")</x:f>
        <x:v>Long</x:v>
      </x:c>
      <x:c r="E117" s="49" t="n">
        <x:f>IFERROR(INDEX('Six-Factor Calc'!$E$5:$E$121,MATCH($A117,'Six-Factor Calc'!$A$5:$A$121,0)),"")</x:f>
        <x:v>0.004419</x:v>
      </x:c>
      <x:c r="F117" s="50" t="n">
        <x:f>IFERROR(INDEX('Six-Factor Calc'!$F$5:$F$121,MATCH($A117,'Six-Factor Calc'!$A$5:$A$121,0)),"")</x:f>
        <x:v>0.2849472630684089</x:v>
      </x:c>
      <x:c r="G117" s="50" t="n">
        <x:f>IFERROR(INDEX('Six-Factor Calc'!$G$5:$G$121,MATCH($A117,'Six-Factor Calc'!$A$5:$A$121,0)),"")</x:f>
        <x:v>0.023565713829494992</x:v>
      </x:c>
      <x:c r="H117" s="329" t="n">
        <x:f>IFERROR(INDEX('Six-Factor Calc'!$H$5:$H$121,MATCH($A117,'Six-Factor Calc'!$A$5:$A$121,0)),"")</x:f>
        <x:v>3.4242377674798963</x:v>
      </x:c>
      <x:c r="I117" s="47" t="n">
        <x:f>IFERROR(INDEX('Six-Factor Calc'!$I$5:$I$121,MATCH($A117,'Six-Factor Calc'!$A$5:$A$121,0)),"")</x:f>
        <x:v>6</x:v>
      </x:c>
      <x:c r="J117" s="52" t="n">
        <x:f>IFERROR(INDEX('Six-Factor Calc'!$J$5:$J$121,MATCH($A117,'Six-Factor Calc'!$A$5:$A$121,0)),"")</x:f>
        <x:v>4.413793103448276</x:v>
      </x:c>
      <x:c r="K117" s="47" t="n">
        <x:f>IFERROR(INDEX('Six-Factor Calc'!$K$5:$K$121,MATCH($A117,'Six-Factor Calc'!$A$5:$A$121,0)),"")</x:f>
        <x:v>73</x:v>
      </x:c>
      <x:c r="L117" s="52" t="n">
        <x:f>IFERROR(INDEX('Six-Factor Calc'!$L$5:$L$121,MATCH($A117,'Six-Factor Calc'!$A$5:$A$121,0)),"")</x:f>
        <x:v>3.525691699604743</x:v>
      </x:c>
      <x:c r="M117" s="47" t="n">
        <x:f>IFERROR(INDEX('Six-Factor Calc'!$M$5:$M$121,MATCH($A117,'Six-Factor Calc'!$A$5:$A$121,0)),"")</x:f>
        <x:v>97</x:v>
      </x:c>
      <x:c r="N117" s="47" t="str">
        <x:f>IFERROR(INDEX('Six-Factor Calc'!$N$5:$N$121,MATCH($A117,'Six-Factor Calc'!$A$5:$A$121,0)),"")</x:f>
        <x:v>SUE + CAR3</x:v>
      </x:c>
      <x:c r="O117" s="52" t="n">
        <x:f>IFERROR(INDEX('Six-Factor Calc'!$O$5:$O$121,MATCH($A117,'Six-Factor Calc'!$A$5:$A$121,0)),"")</x:f>
        <x:v>1.54</x:v>
      </x:c>
      <x:c r="P117" s="47" t="n">
        <x:f>IFERROR(INDEX('Six-Factor Calc'!$P$5:$P$121,MATCH($A117,'Six-Factor Calc'!$A$5:$A$121,0)),"")</x:f>
        <x:v>108</x:v>
      </x:c>
      <x:c r="Q117" s="50" t="n">
        <x:f>IFERROR(INDEX('Six-Factor Calc'!$Q$5:$Q$121,MATCH($A117,'Six-Factor Calc'!$A$5:$A$121,0)),"")</x:f>
        <x:v>2.425</x:v>
      </x:c>
      <x:c r="R117" s="50" t="n">
        <x:f>IFERROR(INDEX('Six-Factor Calc'!$R$5:$R$121,MATCH($A117,'Six-Factor Calc'!$A$5:$A$121,0)),"")</x:f>
        <x:v>3.02384</x:v>
      </x:c>
      <x:c r="S117" s="317" t="n">
        <x:f>IFERROR(INDEX('Six-Factor Calc'!$S$5:$S$121,MATCH($A117,'Six-Factor Calc'!$A$5:$A$121,0)),"")</x:f>
        <x:v>-0.19803957881369386</x:v>
      </x:c>
      <x:c r="T117" s="47" t="str">
        <x:f>IFERROR(INDEX('Six-Factor Calc'!$T$5:$T$121,MATCH($A117,'Six-Factor Calc'!$A$5:$A$121,0)),"")</x:f>
        <x:v>OK</x:v>
      </x:c>
      <x:c r="U117" s="52" t="n">
        <x:f>IFERROR(INDEX('Six-Factor Calc'!$U$5:$U$121,MATCH($A117,'Six-Factor Calc'!$A$5:$A$121,0)),"")</x:f>
        <x:v>2.9541266866566716</x:v>
      </x:c>
      <x:c r="V117" s="47" t="n">
        <x:f>IFERROR(INDEX('Six-Factor Calc'!$V$5:$V$121,MATCH($A117,'Six-Factor Calc'!$A$5:$A$121,0)),"")</x:f>
        <x:v>109</x:v>
      </x:c>
      <x:c r="W117" s="52" t="n">
        <x:f>IFERROR(INDEX('Six-Factor Calc'!$W$5:$W$121,MATCH($A117,'Six-Factor Calc'!$A$5:$A$121,0)),"")</x:f>
        <x:v>4.362586206896552</x:v>
      </x:c>
      <x:c r="X117" s="47" t="n">
        <x:f>IFERROR(INDEX('Six-Factor Calc'!$X$5:$X$121,MATCH($A117,'Six-Factor Calc'!$A$5:$A$121,0)),"")</x:f>
        <x:v>75</x:v>
      </x:c>
      <x:c r="Y117" s="52" t="n">
        <x:f>IFERROR(INDEX('Six-Factor Calc'!$Y$5:$Y$121,MATCH($A117,'Six-Factor Calc'!$A$5:$A$121,0)),"")</x:f>
        <x:v>3.327586206896552</x:v>
      </x:c>
      <x:c r="Z117" s="47" t="n">
        <x:f>IFERROR(INDEX('Six-Factor Calc'!$Z$5:$Z$121,MATCH($A117,'Six-Factor Calc'!$A$5:$A$121,0)),"")</x:f>
        <x:v>87</x:v>
      </x:c>
      <x:c r="AA117" s="47" t="str">
        <x:f>IFERROR(INDEX('Six-Factor Calc'!$AA$5:$AA$121,MATCH($A117,'Six-Factor Calc'!$A$5:$A$121,0)),"")</x:f>
        <x:v>Health Care</x:v>
      </x:c>
      <x:c r="AB117" s="54" t="n">
        <x:f>IFERROR(INDEX('Six-Factor Calc'!$AB$5:$AB$121,MATCH($A117,'Six-Factor Calc'!$A$5:$A$121,0)),"")</x:f>
        <x:v>46213</x:v>
      </x:c>
      <x:c r="AC117" s="54" t="n">
        <x:f>IFERROR(INDEX('Six-Factor Calc'!$AC$5:$AC$121,MATCH($A117,'Six-Factor Calc'!$A$5:$A$121,0)),"")</x:f>
        <x:v>46110</x:v>
      </x:c>
      <x:c r="AD117" s="54" t="n">
        <x:f>IFERROR(INDEX('Six-Factor Calc'!$AD$5:$AD$121,MATCH($A117,'Six-Factor Calc'!$A$5:$A$121,0)),"")</x:f>
        <x:v>46019</x:v>
      </x:c>
      <x:c r="AE117" s="47" t="str">
        <x:f>IFERROR(INDEX('Six-Factor Calc'!$AE$5:$AE$121,MATCH($A117,'Six-Factor Calc'!$A$5:$A$121,0)),"")</x:f>
        <x:v>OK</x:v>
      </x:c>
    </x:row>
    <x:row r="118">
      <x:c r="A118" s="12" t="n">
        <x:v>114</x:v>
      </x:c>
      <x:c r="B118" s="47" t="str">
        <x:f>IFERROR(INDEX('Six-Factor Calc'!$B$5:$B$121,MATCH($A118,'Six-Factor Calc'!$A$5:$A$121,0)),"")</x:f>
        <x:v>CE</x:v>
      </x:c>
      <x:c r="C118" s="47" t="str">
        <x:f>IFERROR(INDEX('Six-Factor Calc'!$C$5:$C$121,MATCH($A118,'Six-Factor Calc'!$A$5:$A$121,0)),"")</x:f>
        <x:v>Celanese Corp.</x:v>
      </x:c>
      <x:c r="D118" s="49" t="str">
        <x:f>IFERROR(INDEX('Six-Factor Calc'!$D$5:$D$121,MATCH($A118,'Six-Factor Calc'!$A$5:$A$121,0)),"")</x:f>
        <x:v>Long</x:v>
      </x:c>
      <x:c r="E118" s="49" t="n">
        <x:f>IFERROR(INDEX('Six-Factor Calc'!$E$5:$E$121,MATCH($A118,'Six-Factor Calc'!$A$5:$A$121,0)),"")</x:f>
        <x:v>0.00355</x:v>
      </x:c>
      <x:c r="F118" s="50" t="n">
        <x:f>IFERROR(INDEX('Six-Factor Calc'!$F$5:$F$121,MATCH($A118,'Six-Factor Calc'!$A$5:$A$121,0)),"")</x:f>
        <x:v>-0.03803466978720145</x:v>
      </x:c>
      <x:c r="G118" s="50" t="n">
        <x:f>IFERROR(INDEX('Six-Factor Calc'!$G$5:$G$121,MATCH($A118,'Six-Factor Calc'!$A$5:$A$121,0)),"")</x:f>
        <x:v>-0.3821796284199904</x:v>
      </x:c>
      <x:c r="H118" s="329" t="n">
        <x:f>IFERROR(INDEX('Six-Factor Calc'!$H$5:$H$121,MATCH($A118,'Six-Factor Calc'!$A$5:$A$121,0)),"")</x:f>
        <x:v>3.304516014719913</x:v>
      </x:c>
      <x:c r="I118" s="47" t="n">
        <x:f>IFERROR(INDEX('Six-Factor Calc'!$I$5:$I$121,MATCH($A118,'Six-Factor Calc'!$A$5:$A$121,0)),"")</x:f>
        <x:v>6</x:v>
      </x:c>
      <x:c r="J118" s="52" t="n">
        <x:f>IFERROR(INDEX('Six-Factor Calc'!$J$5:$J$121,MATCH($A118,'Six-Factor Calc'!$A$5:$A$121,0)),"")</x:f>
        <x:v>1.3879310344827587</x:v>
      </x:c>
      <x:c r="K118" s="47" t="n">
        <x:f>IFERROR(INDEX('Six-Factor Calc'!$K$5:$K$121,MATCH($A118,'Six-Factor Calc'!$A$5:$A$121,0)),"")</x:f>
        <x:v>112</x:v>
      </x:c>
      <x:c r="L118" s="52" t="n">
        <x:f>IFERROR(INDEX('Six-Factor Calc'!$L$5:$L$121,MATCH($A118,'Six-Factor Calc'!$A$5:$A$121,0)),"")</x:f>
        <x:v>2.7839920948616603</x:v>
      </x:c>
      <x:c r="M118" s="47" t="n">
        <x:f>IFERROR(INDEX('Six-Factor Calc'!$M$5:$M$121,MATCH($A118,'Six-Factor Calc'!$A$5:$A$121,0)),"")</x:f>
        <x:v>107</x:v>
      </x:c>
      <x:c r="N118" s="47" t="str">
        <x:f>IFERROR(INDEX('Six-Factor Calc'!$N$5:$N$121,MATCH($A118,'Six-Factor Calc'!$A$5:$A$121,0)),"")</x:f>
        <x:v>SUE + CAR3</x:v>
      </x:c>
      <x:c r="O118" s="52" t="n">
        <x:f>IFERROR(INDEX('Six-Factor Calc'!$O$5:$O$121,MATCH($A118,'Six-Factor Calc'!$A$5:$A$121,0)),"")</x:f>
        <x:v>1.927</x:v>
      </x:c>
      <x:c r="P118" s="47" t="n">
        <x:f>IFERROR(INDEX('Six-Factor Calc'!$P$5:$P$121,MATCH($A118,'Six-Factor Calc'!$A$5:$A$121,0)),"")</x:f>
        <x:v>103</x:v>
      </x:c>
      <x:c r="Q118" s="50" t="n">
        <x:f>IFERROR(INDEX('Six-Factor Calc'!$Q$5:$Q$121,MATCH($A118,'Six-Factor Calc'!$A$5:$A$121,0)),"")</x:f>
        <x:v>1.5741</x:v>
      </x:c>
      <x:c r="R118" s="50" t="n">
        <x:f>IFERROR(INDEX('Six-Factor Calc'!$R$5:$R$121,MATCH($A118,'Six-Factor Calc'!$A$5:$A$121,0)),"")</x:f>
        <x:v>1.77868</x:v>
      </x:c>
      <x:c r="S118" s="317" t="n">
        <x:f>IFERROR(INDEX('Six-Factor Calc'!$S$5:$S$121,MATCH($A118,'Six-Factor Calc'!$A$5:$A$121,0)),"")</x:f>
        <x:v>-0.11501787842669844</x:v>
      </x:c>
      <x:c r="T118" s="47" t="str">
        <x:f>IFERROR(INDEX('Six-Factor Calc'!$T$5:$T$121,MATCH($A118,'Six-Factor Calc'!$A$5:$A$121,0)),"")</x:f>
        <x:v>OK</x:v>
      </x:c>
      <x:c r="U118" s="52" t="n">
        <x:f>IFERROR(INDEX('Six-Factor Calc'!$U$5:$U$121,MATCH($A118,'Six-Factor Calc'!$A$5:$A$121,0)),"")</x:f>
        <x:v>6.778317091454273</x:v>
      </x:c>
      <x:c r="V118" s="47" t="n">
        <x:f>IFERROR(INDEX('Six-Factor Calc'!$V$5:$V$121,MATCH($A118,'Six-Factor Calc'!$A$5:$A$121,0)),"")</x:f>
        <x:v>31</x:v>
      </x:c>
      <x:c r="W118" s="52" t="n">
        <x:f>IFERROR(INDEX('Six-Factor Calc'!$W$5:$W$121,MATCH($A118,'Six-Factor Calc'!$A$5:$A$121,0)),"")</x:f>
        <x:v>8.443620689655173</x:v>
      </x:c>
      <x:c r="X118" s="47" t="n">
        <x:f>IFERROR(INDEX('Six-Factor Calc'!$X$5:$X$121,MATCH($A118,'Six-Factor Calc'!$A$5:$A$121,0)),"")</x:f>
        <x:v>8</x:v>
      </x:c>
      <x:c r="Y118" s="52" t="n">
        <x:f>IFERROR(INDEX('Six-Factor Calc'!$Y$5:$Y$121,MATCH($A118,'Six-Factor Calc'!$A$5:$A$121,0)),"")</x:f>
        <x:v>2.2413793103448274</x:v>
      </x:c>
      <x:c r="Z118" s="47" t="n">
        <x:f>IFERROR(INDEX('Six-Factor Calc'!$Z$5:$Z$121,MATCH($A118,'Six-Factor Calc'!$A$5:$A$121,0)),"")</x:f>
        <x:v>101</x:v>
      </x:c>
      <x:c r="AA118" s="47" t="str">
        <x:f>IFERROR(INDEX('Six-Factor Calc'!$AA$5:$AA$121,MATCH($A118,'Six-Factor Calc'!$A$5:$A$121,0)),"")</x:f>
        <x:v>Industrials</x:v>
      </x:c>
      <x:c r="AB118" s="54" t="n">
        <x:f>IFERROR(INDEX('Six-Factor Calc'!$AB$5:$AB$121,MATCH($A118,'Six-Factor Calc'!$A$5:$A$121,0)),"")</x:f>
        <x:v>46213</x:v>
      </x:c>
      <x:c r="AC118" s="54" t="n">
        <x:f>IFERROR(INDEX('Six-Factor Calc'!$AC$5:$AC$121,MATCH($A118,'Six-Factor Calc'!$A$5:$A$121,0)),"")</x:f>
        <x:v>46112</x:v>
      </x:c>
      <x:c r="AD118" s="54" t="n">
        <x:f>IFERROR(INDEX('Six-Factor Calc'!$AD$5:$AD$121,MATCH($A118,'Six-Factor Calc'!$A$5:$A$121,0)),"")</x:f>
        <x:v>46022</x:v>
      </x:c>
      <x:c r="AE118" s="47" t="str">
        <x:f>IFERROR(INDEX('Six-Factor Calc'!$AE$5:$AE$121,MATCH($A118,'Six-Factor Calc'!$A$5:$A$121,0)),"")</x:f>
        <x:v>OK</x:v>
      </x:c>
    </x:row>
    <x:row r="119">
      <x:c r="A119" s="12" t="n">
        <x:v>115</x:v>
      </x:c>
      <x:c r="B119" s="47" t="str">
        <x:f>IFERROR(INDEX('Six-Factor Calc'!$B$5:$B$121,MATCH($A119,'Six-Factor Calc'!$A$5:$A$121,0)),"")</x:f>
        <x:v>EXC</x:v>
      </x:c>
      <x:c r="C119" s="47" t="str">
        <x:f>IFERROR(INDEX('Six-Factor Calc'!$C$5:$C$121,MATCH($A119,'Six-Factor Calc'!$A$5:$A$121,0)),"")</x:f>
        <x:v>Exelon Corp.</x:v>
      </x:c>
      <x:c r="D119" s="49" t="str">
        <x:f>IFERROR(INDEX('Six-Factor Calc'!$D$5:$D$121,MATCH($A119,'Six-Factor Calc'!$A$5:$A$121,0)),"")</x:f>
        <x:v>Long</x:v>
      </x:c>
      <x:c r="E119" s="49" t="n">
        <x:f>IFERROR(INDEX('Six-Factor Calc'!$E$5:$E$121,MATCH($A119,'Six-Factor Calc'!$A$5:$A$121,0)),"")</x:f>
        <x:v>0.004104</x:v>
      </x:c>
      <x:c r="F119" s="50" t="n">
        <x:f>IFERROR(INDEX('Six-Factor Calc'!$F$5:$F$121,MATCH($A119,'Six-Factor Calc'!$A$5:$A$121,0)),"")</x:f>
        <x:v>-0.12161401577010789</x:v>
      </x:c>
      <x:c r="G119" s="50" t="n">
        <x:f>IFERROR(INDEX('Six-Factor Calc'!$G$5:$G$121,MATCH($A119,'Six-Factor Calc'!$A$5:$A$121,0)),"")</x:f>
        <x:v>-0.015744465797022388</x:v>
      </x:c>
      <x:c r="H119" s="329" t="n">
        <x:f>IFERROR(INDEX('Six-Factor Calc'!$H$5:$H$121,MATCH($A119,'Six-Factor Calc'!$A$5:$A$121,0)),"")</x:f>
        <x:v>3.2527008995502253</x:v>
      </x:c>
      <x:c r="I119" s="47" t="n">
        <x:f>IFERROR(INDEX('Six-Factor Calc'!$I$5:$I$121,MATCH($A119,'Six-Factor Calc'!$A$5:$A$121,0)),"")</x:f>
        <x:v>6</x:v>
      </x:c>
      <x:c r="J119" s="52" t="n">
        <x:f>IFERROR(INDEX('Six-Factor Calc'!$J$5:$J$121,MATCH($A119,'Six-Factor Calc'!$A$5:$A$121,0)),"")</x:f>
        <x:v>2.5517241379310347</x:v>
      </x:c>
      <x:c r="K119" s="47" t="n">
        <x:f>IFERROR(INDEX('Six-Factor Calc'!$K$5:$K$121,MATCH($A119,'Six-Factor Calc'!$A$5:$A$121,0)),"")</x:f>
        <x:v>97</x:v>
      </x:c>
      <x:c r="L119" s="52" t="n">
        <x:f>IFERROR(INDEX('Six-Factor Calc'!$L$5:$L$121,MATCH($A119,'Six-Factor Calc'!$A$5:$A$121,0)),"")</x:f>
        <x:v>4.189130434782609</x:v>
      </x:c>
      <x:c r="M119" s="47" t="n">
        <x:f>IFERROR(INDEX('Six-Factor Calc'!$M$5:$M$121,MATCH($A119,'Six-Factor Calc'!$A$5:$A$121,0)),"")</x:f>
        <x:v>84</x:v>
      </x:c>
      <x:c r="N119" s="47" t="str">
        <x:f>IFERROR(INDEX('Six-Factor Calc'!$N$5:$N$121,MATCH($A119,'Six-Factor Calc'!$A$5:$A$121,0)),"")</x:f>
        <x:v>SUE + CAR3</x:v>
      </x:c>
      <x:c r="O119" s="52" t="n">
        <x:f>IFERROR(INDEX('Six-Factor Calc'!$O$5:$O$121,MATCH($A119,'Six-Factor Calc'!$A$5:$A$121,0)),"")</x:f>
        <x:v>2.782</x:v>
      </x:c>
      <x:c r="P119" s="47" t="n">
        <x:f>IFERROR(INDEX('Six-Factor Calc'!$P$5:$P$121,MATCH($A119,'Six-Factor Calc'!$A$5:$A$121,0)),"")</x:f>
        <x:v>92</x:v>
      </x:c>
      <x:c r="Q119" s="50" t="n">
        <x:f>IFERROR(INDEX('Six-Factor Calc'!$Q$5:$Q$121,MATCH($A119,'Six-Factor Calc'!$A$5:$A$121,0)),"")</x:f>
        <x:v>0.84854</x:v>
      </x:c>
      <x:c r="R119" s="50" t="n">
        <x:f>IFERROR(INDEX('Six-Factor Calc'!$R$5:$R$121,MATCH($A119,'Six-Factor Calc'!$A$5:$A$121,0)),"")</x:f>
        <x:v>0.8828</x:v>
      </x:c>
      <x:c r="S119" s="317" t="n">
        <x:f>IFERROR(INDEX('Six-Factor Calc'!$S$5:$S$121,MATCH($A119,'Six-Factor Calc'!$A$5:$A$121,0)),"")</x:f>
        <x:v>-0.03880833710919808</x:v>
      </x:c>
      <x:c r="T119" s="47" t="str">
        <x:f>IFERROR(INDEX('Six-Factor Calc'!$T$5:$T$121,MATCH($A119,'Six-Factor Calc'!$A$5:$A$121,0)),"")</x:f>
        <x:v>OK</x:v>
      </x:c>
      <x:c r="U119" s="52" t="n">
        <x:f>IFERROR(INDEX('Six-Factor Calc'!$U$5:$U$121,MATCH($A119,'Six-Factor Calc'!$A$5:$A$121,0)),"")</x:f>
        <x:v>5.391109445277361</x:v>
      </x:c>
      <x:c r="V119" s="47" t="n">
        <x:f>IFERROR(INDEX('Six-Factor Calc'!$V$5:$V$121,MATCH($A119,'Six-Factor Calc'!$A$5:$A$121,0)),"")</x:f>
        <x:v>61</x:v>
      </x:c>
      <x:c r="W119" s="52" t="n">
        <x:f>IFERROR(INDEX('Six-Factor Calc'!$W$5:$W$121,MATCH($A119,'Six-Factor Calc'!$A$5:$A$121,0)),"")</x:f>
        <x:v>3.3105172413793102</x:v>
      </x:c>
      <x:c r="X119" s="47" t="n">
        <x:f>IFERROR(INDEX('Six-Factor Calc'!$X$5:$X$121,MATCH($A119,'Six-Factor Calc'!$A$5:$A$121,0)),"")</x:f>
        <x:v>94</x:v>
      </x:c>
      <x:c r="Y119" s="52" t="n">
        <x:f>IFERROR(INDEX('Six-Factor Calc'!$Y$5:$Y$121,MATCH($A119,'Six-Factor Calc'!$A$5:$A$121,0)),"")</x:f>
        <x:v>1.2327586206896552</x:v>
      </x:c>
      <x:c r="Z119" s="47" t="n">
        <x:f>IFERROR(INDEX('Six-Factor Calc'!$Z$5:$Z$121,MATCH($A119,'Six-Factor Calc'!$A$5:$A$121,0)),"")</x:f>
        <x:v>114</x:v>
      </x:c>
      <x:c r="AA119" s="47" t="str">
        <x:f>IFERROR(INDEX('Six-Factor Calc'!$AA$5:$AA$121,MATCH($A119,'Six-Factor Calc'!$A$5:$A$121,0)),"")</x:f>
        <x:v>Utilities</x:v>
      </x:c>
      <x:c r="AB119" s="54" t="n">
        <x:f>IFERROR(INDEX('Six-Factor Calc'!$AB$5:$AB$121,MATCH($A119,'Six-Factor Calc'!$A$5:$A$121,0)),"")</x:f>
        <x:v>46213</x:v>
      </x:c>
      <x:c r="AC119" s="54" t="n">
        <x:f>IFERROR(INDEX('Six-Factor Calc'!$AC$5:$AC$121,MATCH($A119,'Six-Factor Calc'!$A$5:$A$121,0)),"")</x:f>
        <x:v>46112</x:v>
      </x:c>
      <x:c r="AD119" s="54" t="n">
        <x:f>IFERROR(INDEX('Six-Factor Calc'!$AD$5:$AD$121,MATCH($A119,'Six-Factor Calc'!$A$5:$A$121,0)),"")</x:f>
        <x:v>46022</x:v>
      </x:c>
      <x:c r="AE119" s="47" t="str">
        <x:f>IFERROR(INDEX('Six-Factor Calc'!$AE$5:$AE$121,MATCH($A119,'Six-Factor Calc'!$A$5:$A$121,0)),"")</x:f>
        <x:v>OK</x:v>
      </x:c>
    </x:row>
    <x:row r="120">
      <x:c r="A120" s="12" t="n">
        <x:v>116</x:v>
      </x:c>
      <x:c r="B120" s="47" t="str">
        <x:f>IFERROR(INDEX('Six-Factor Calc'!$B$5:$B$121,MATCH($A120,'Six-Factor Calc'!$A$5:$A$121,0)),"")</x:f>
        <x:v>VNOM</x:v>
      </x:c>
      <x:c r="C120" s="47" t="str">
        <x:f>IFERROR(INDEX('Six-Factor Calc'!$C$5:$C$121,MATCH($A120,'Six-Factor Calc'!$A$5:$A$121,0)),"")</x:f>
        <x:v>Viper Energy Inc.</x:v>
      </x:c>
      <x:c r="D120" s="49" t="str">
        <x:f>IFERROR(INDEX('Six-Factor Calc'!$D$5:$D$121,MATCH($A120,'Six-Factor Calc'!$A$5:$A$121,0)),"")</x:f>
        <x:v>Short</x:v>
      </x:c>
      <x:c r="E120" s="49" t="n">
        <x:f>IFERROR(INDEX('Six-Factor Calc'!$E$5:$E$121,MATCH($A120,'Six-Factor Calc'!$A$5:$A$121,0)),"")</x:f>
        <x:v>-0.00318</x:v>
      </x:c>
      <x:c r="F120" s="50" t="n">
        <x:f>IFERROR(INDEX('Six-Factor Calc'!$F$5:$F$121,MATCH($A120,'Six-Factor Calc'!$A$5:$A$121,0)),"")</x:f>
        <x:v>0.28369742322390556</x:v>
      </x:c>
      <x:c r="G120" s="50" t="n">
        <x:f>IFERROR(INDEX('Six-Factor Calc'!$G$5:$G$121,MATCH($A120,'Six-Factor Calc'!$A$5:$A$121,0)),"")</x:f>
        <x:v>-0.059240328586682926</x:v>
      </x:c>
      <x:c r="H120" s="329" t="n">
        <x:f>IFERROR(INDEX('Six-Factor Calc'!$H$5:$H$121,MATCH($A120,'Six-Factor Calc'!$A$5:$A$121,0)),"")</x:f>
        <x:v>3.2207961019490257</x:v>
      </x:c>
      <x:c r="I120" s="47" t="n">
        <x:f>IFERROR(INDEX('Six-Factor Calc'!$I$5:$I$121,MATCH($A120,'Six-Factor Calc'!$A$5:$A$121,0)),"")</x:f>
        <x:v>6</x:v>
      </x:c>
      <x:c r="J120" s="52" t="n">
        <x:f>IFERROR(INDEX('Six-Factor Calc'!$J$5:$J$121,MATCH($A120,'Six-Factor Calc'!$A$5:$A$121,0)),"")</x:f>
        <x:v>1.6982758620689655</x:v>
      </x:c>
      <x:c r="K120" s="47" t="n">
        <x:f>IFERROR(INDEX('Six-Factor Calc'!$K$5:$K$121,MATCH($A120,'Six-Factor Calc'!$A$5:$A$121,0)),"")</x:f>
        <x:v>108</x:v>
      </x:c>
      <x:c r="L120" s="52" t="n">
        <x:f>IFERROR(INDEX('Six-Factor Calc'!$L$5:$L$121,MATCH($A120,'Six-Factor Calc'!$A$5:$A$121,0)),"")</x:f>
        <x:v>6.869565217391305</x:v>
      </x:c>
      <x:c r="M120" s="47" t="n">
        <x:f>IFERROR(INDEX('Six-Factor Calc'!$M$5:$M$121,MATCH($A120,'Six-Factor Calc'!$A$5:$A$121,0)),"")</x:f>
        <x:v>28</x:v>
      </x:c>
      <x:c r="N120" s="47" t="str">
        <x:f>IFERROR(INDEX('Six-Factor Calc'!$N$5:$N$121,MATCH($A120,'Six-Factor Calc'!$A$5:$A$121,0)),"")</x:f>
        <x:v>CAR3 only</x:v>
      </x:c>
      <x:c r="O120" s="52" t="n">
        <x:f>IFERROR(INDEX('Six-Factor Calc'!$O$5:$O$121,MATCH($A120,'Six-Factor Calc'!$A$5:$A$121,0)),"")</x:f>
        <x:v>3.403</x:v>
      </x:c>
      <x:c r="P120" s="47" t="n">
        <x:f>IFERROR(INDEX('Six-Factor Calc'!$P$5:$P$121,MATCH($A120,'Six-Factor Calc'!$A$5:$A$121,0)),"")</x:f>
        <x:v>84</x:v>
      </x:c>
      <x:c r="Q120" s="50" t="n">
        <x:f>IFERROR(INDEX('Six-Factor Calc'!$Q$5:$Q$121,MATCH($A120,'Six-Factor Calc'!$A$5:$A$121,0)),"")</x:f>
        <x:v>0.65801</x:v>
      </x:c>
      <x:c r="R120" s="50" t="n">
        <x:f>IFERROR(INDEX('Six-Factor Calc'!$R$5:$R$121,MATCH($A120,'Six-Factor Calc'!$A$5:$A$121,0)),"")</x:f>
        <x:v>0.67297</x:v>
      </x:c>
      <x:c r="S120" s="317" t="n">
        <x:f>IFERROR(INDEX('Six-Factor Calc'!$S$5:$S$121,MATCH($A120,'Six-Factor Calc'!$A$5:$A$121,0)),"")</x:f>
        <x:v>-0.022229817079513166</x:v>
      </x:c>
      <x:c r="T120" s="47" t="str">
        <x:f>IFERROR(INDEX('Six-Factor Calc'!$T$5:$T$121,MATCH($A120,'Six-Factor Calc'!$A$5:$A$121,0)),"")</x:f>
        <x:v>OK</x:v>
      </x:c>
      <x:c r="U120" s="52" t="n">
        <x:f>IFERROR(INDEX('Six-Factor Calc'!$U$5:$U$121,MATCH($A120,'Six-Factor Calc'!$A$5:$A$121,0)),"")</x:f>
        <x:v>2.6050224887556226</x:v>
      </x:c>
      <x:c r="V120" s="47" t="n">
        <x:f>IFERROR(INDEX('Six-Factor Calc'!$V$5:$V$121,MATCH($A120,'Six-Factor Calc'!$A$5:$A$121,0)),"")</x:f>
        <x:v>114</x:v>
      </x:c>
      <x:c r="W120" s="52" t="n">
        <x:f>IFERROR(INDEX('Six-Factor Calc'!$W$5:$W$121,MATCH($A120,'Six-Factor Calc'!$A$5:$A$121,0)),"")</x:f>
        <x:v>1</x:v>
      </x:c>
      <x:c r="X120" s="47" t="n">
        <x:f>IFERROR(INDEX('Six-Factor Calc'!$X$5:$X$121,MATCH($A120,'Six-Factor Calc'!$A$5:$A$121,0)),"")</x:f>
        <x:v>117</x:v>
      </x:c>
      <x:c r="Y120" s="52" t="n">
        <x:f>IFERROR(INDEX('Six-Factor Calc'!$Y$5:$Y$121,MATCH($A120,'Six-Factor Calc'!$A$5:$A$121,0)),"")</x:f>
        <x:v>1</x:v>
      </x:c>
      <x:c r="Z120" s="47" t="n">
        <x:f>IFERROR(INDEX('Six-Factor Calc'!$Z$5:$Z$121,MATCH($A120,'Six-Factor Calc'!$A$5:$A$121,0)),"")</x:f>
        <x:v>117</x:v>
      </x:c>
      <x:c r="AA120" s="47" t="str">
        <x:f>IFERROR(INDEX('Six-Factor Calc'!$AA$5:$AA$121,MATCH($A120,'Six-Factor Calc'!$A$5:$A$121,0)),"")</x:f>
        <x:v>Energy</x:v>
      </x:c>
      <x:c r="AB120" s="54" t="n">
        <x:f>IFERROR(INDEX('Six-Factor Calc'!$AB$5:$AB$121,MATCH($A120,'Six-Factor Calc'!$A$5:$A$121,0)),"")</x:f>
        <x:v>46213</x:v>
      </x:c>
      <x:c r="AC120" s="54" t="n">
        <x:f>IFERROR(INDEX('Six-Factor Calc'!$AC$5:$AC$121,MATCH($A120,'Six-Factor Calc'!$A$5:$A$121,0)),"")</x:f>
        <x:v>46112</x:v>
      </x:c>
      <x:c r="AD120" s="54" t="n">
        <x:f>IFERROR(INDEX('Six-Factor Calc'!$AD$5:$AD$121,MATCH($A120,'Six-Factor Calc'!$A$5:$A$121,0)),"")</x:f>
        <x:v>46022</x:v>
      </x:c>
      <x:c r="AE120" s="47" t="str">
        <x:f>IFERROR(INDEX('Six-Factor Calc'!$AE$5:$AE$121,MATCH($A120,'Six-Factor Calc'!$A$5:$A$121,0)),"")</x:f>
        <x:v>OK</x:v>
      </x:c>
    </x:row>
    <x:row r="121">
      <x:c r="A121" s="12" t="n">
        <x:v>117</x:v>
      </x:c>
      <x:c r="B121" s="47" t="str">
        <x:f>IFERROR(INDEX('Six-Factor Calc'!$B$5:$B$121,MATCH($A121,'Six-Factor Calc'!$A$5:$A$121,0)),"")</x:f>
        <x:v>MTDR</x:v>
      </x:c>
      <x:c r="C121" s="47" t="str">
        <x:f>IFERROR(INDEX('Six-Factor Calc'!$C$5:$C$121,MATCH($A121,'Six-Factor Calc'!$A$5:$A$121,0)),"")</x:f>
        <x:v>Matador Resources Co.</x:v>
      </x:c>
      <x:c r="D121" s="49" t="str">
        <x:f>IFERROR(INDEX('Six-Factor Calc'!$D$5:$D$121,MATCH($A121,'Six-Factor Calc'!$A$5:$A$121,0)),"")</x:f>
        <x:v>Long</x:v>
      </x:c>
      <x:c r="E121" s="49" t="n">
        <x:f>IFERROR(INDEX('Six-Factor Calc'!$E$5:$E$121,MATCH($A121,'Six-Factor Calc'!$A$5:$A$121,0)),"")</x:f>
        <x:v>0.003708</x:v>
      </x:c>
      <x:c r="F121" s="50" t="n">
        <x:f>IFERROR(INDEX('Six-Factor Calc'!$F$5:$F$121,MATCH($A121,'Six-Factor Calc'!$A$5:$A$121,0)),"")</x:f>
        <x:v>0.16776063390899118</x:v>
      </x:c>
      <x:c r="G121" s="50" t="n">
        <x:f>IFERROR(INDEX('Six-Factor Calc'!$G$5:$G$121,MATCH($A121,'Six-Factor Calc'!$A$5:$A$121,0)),"")</x:f>
        <x:v>-0.17671103983116512</x:v>
      </x:c>
      <x:c r="H121" s="329" t="n">
        <x:f>IFERROR(INDEX('Six-Factor Calc'!$H$5:$H$121,MATCH($A121,'Six-Factor Calc'!$A$5:$A$121,0)),"")</x:f>
        <x:v>2.9725713506882925</x:v>
      </x:c>
      <x:c r="I121" s="47" t="n">
        <x:f>IFERROR(INDEX('Six-Factor Calc'!$I$5:$I$121,MATCH($A121,'Six-Factor Calc'!$A$5:$A$121,0)),"")</x:f>
        <x:v>6</x:v>
      </x:c>
      <x:c r="J121" s="52" t="n">
        <x:f>IFERROR(INDEX('Six-Factor Calc'!$J$5:$J$121,MATCH($A121,'Six-Factor Calc'!$A$5:$A$121,0)),"")</x:f>
        <x:v>3.6379310344827585</x:v>
      </x:c>
      <x:c r="K121" s="47" t="n">
        <x:f>IFERROR(INDEX('Six-Factor Calc'!$K$5:$K$121,MATCH($A121,'Six-Factor Calc'!$A$5:$A$121,0)),"")</x:f>
        <x:v>83</x:v>
      </x:c>
      <x:c r="L121" s="52" t="n">
        <x:f>IFERROR(INDEX('Six-Factor Calc'!$L$5:$L$121,MATCH($A121,'Six-Factor Calc'!$A$5:$A$121,0)),"")</x:f>
        <x:v>1.1191699604743084</x:v>
      </x:c>
      <x:c r="M121" s="47" t="n">
        <x:f>IFERROR(INDEX('Six-Factor Calc'!$M$5:$M$121,MATCH($A121,'Six-Factor Calc'!$A$5:$A$121,0)),"")</x:f>
        <x:v>117</x:v>
      </x:c>
      <x:c r="N121" s="47" t="str">
        <x:f>IFERROR(INDEX('Six-Factor Calc'!$N$5:$N$121,MATCH($A121,'Six-Factor Calc'!$A$5:$A$121,0)),"")</x:f>
        <x:v>SUE + CAR3</x:v>
      </x:c>
      <x:c r="O121" s="52" t="n">
        <x:f>IFERROR(INDEX('Six-Factor Calc'!$O$5:$O$121,MATCH($A121,'Six-Factor Calc'!$A$5:$A$121,0)),"")</x:f>
        <x:v>1.693</x:v>
      </x:c>
      <x:c r="P121" s="47" t="n">
        <x:f>IFERROR(INDEX('Six-Factor Calc'!$P$5:$P$121,MATCH($A121,'Six-Factor Calc'!$A$5:$A$121,0)),"")</x:f>
        <x:v>106</x:v>
      </x:c>
      <x:c r="Q121" s="50" t="n">
        <x:f>IFERROR(INDEX('Six-Factor Calc'!$Q$5:$Q$121,MATCH($A121,'Six-Factor Calc'!$A$5:$A$121,0)),"")</x:f>
        <x:v>1.62434</x:v>
      </x:c>
      <x:c r="R121" s="50" t="n">
        <x:f>IFERROR(INDEX('Six-Factor Calc'!$R$5:$R$121,MATCH($A121,'Six-Factor Calc'!$A$5:$A$121,0)),"")</x:f>
        <x:v>1.95213</x:v>
      </x:c>
      <x:c r="S121" s="317" t="n">
        <x:f>IFERROR(INDEX('Six-Factor Calc'!$S$5:$S$121,MATCH($A121,'Six-Factor Calc'!$A$5:$A$121,0)),"")</x:f>
        <x:v>-0.16791402211942855</x:v>
      </x:c>
      <x:c r="T121" s="47" t="str">
        <x:f>IFERROR(INDEX('Six-Factor Calc'!$T$5:$T$121,MATCH($A121,'Six-Factor Calc'!$A$5:$A$121,0)),"")</x:f>
        <x:v>OK</x:v>
      </x:c>
      <x:c r="U121" s="52" t="n">
        <x:f>IFERROR(INDEX('Six-Factor Calc'!$U$5:$U$121,MATCH($A121,'Six-Factor Calc'!$A$5:$A$121,0)),"")</x:f>
        <x:v>6.583440779610195</x:v>
      </x:c>
      <x:c r="V121" s="47" t="n">
        <x:f>IFERROR(INDEX('Six-Factor Calc'!$V$5:$V$121,MATCH($A121,'Six-Factor Calc'!$A$5:$A$121,0)),"")</x:f>
        <x:v>35</x:v>
      </x:c>
      <x:c r="W121" s="52" t="n">
        <x:f>IFERROR(INDEX('Six-Factor Calc'!$W$5:$W$121,MATCH($A121,'Six-Factor Calc'!$A$5:$A$121,0)),"")</x:f>
        <x:v>2.745689655172414</x:v>
      </x:c>
      <x:c r="X121" s="47" t="n">
        <x:f>IFERROR(INDEX('Six-Factor Calc'!$X$5:$X$121,MATCH($A121,'Six-Factor Calc'!$A$5:$A$121,0)),"")</x:f>
        <x:v>102</x:v>
      </x:c>
      <x:c r="Y121" s="52" t="n">
        <x:f>IFERROR(INDEX('Six-Factor Calc'!$Y$5:$Y$121,MATCH($A121,'Six-Factor Calc'!$A$5:$A$121,0)),"")</x:f>
        <x:v>4.181034482758621</x:v>
      </x:c>
      <x:c r="Z121" s="47" t="n">
        <x:f>IFERROR(INDEX('Six-Factor Calc'!$Z$5:$Z$121,MATCH($A121,'Six-Factor Calc'!$A$5:$A$121,0)),"")</x:f>
        <x:v>76</x:v>
      </x:c>
      <x:c r="AA121" s="47" t="str">
        <x:f>IFERROR(INDEX('Six-Factor Calc'!$AA$5:$AA$121,MATCH($A121,'Six-Factor Calc'!$A$5:$A$121,0)),"")</x:f>
        <x:v>Energy</x:v>
      </x:c>
      <x:c r="AB121" s="54" t="n">
        <x:f>IFERROR(INDEX('Six-Factor Calc'!$AB$5:$AB$121,MATCH($A121,'Six-Factor Calc'!$A$5:$A$121,0)),"")</x:f>
        <x:v>46213</x:v>
      </x:c>
      <x:c r="AC121" s="54" t="n">
        <x:f>IFERROR(INDEX('Six-Factor Calc'!$AC$5:$AC$121,MATCH($A121,'Six-Factor Calc'!$A$5:$A$121,0)),"")</x:f>
        <x:v>46112</x:v>
      </x:c>
      <x:c r="AD121" s="54" t="n">
        <x:f>IFERROR(INDEX('Six-Factor Calc'!$AD$5:$AD$121,MATCH($A121,'Six-Factor Calc'!$A$5:$A$121,0)),"")</x:f>
        <x:v>46022</x:v>
      </x:c>
      <x:c r="AE121" s="47" t="str">
        <x:f>IFERROR(INDEX('Six-Factor Calc'!$AE$5:$AE$121,MATCH($A121,'Six-Factor Calc'!$A$5:$A$121,0)),"")</x:f>
        <x:v>OK</x:v>
      </x:c>
    </x:row>
  </x:sheetData>
  <x:mergeCells>
    <x:mergeCell ref="A1:AE1"/>
    <x:mergeCell ref="A2:AE2"/>
    <x:mergeCell ref="A3:AE3"/>
  </x:mergeCells>
  <x:conditionalFormatting sqref="Q5:Q121">
    <x:cfRule type="colorScale" priority="4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S5:S121">
    <x:cfRule type="colorScale" priority="5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N5:N121">
    <x:cfRule type="containsText" dxfId="0" priority="6" operator="containsText" text="only"/>
  </x:conditionalFormatting>
  <x:conditionalFormatting sqref="J5:J121">
    <x:cfRule type="colorScale" priority="7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L5:L121">
    <x:cfRule type="colorScale" priority="8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O5:O121">
    <x:cfRule type="colorScale" priority="9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U5:U121">
    <x:cfRule type="colorScale" priority="10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W5:W121">
    <x:cfRule type="colorScale" priority="1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Y5:Y121">
    <x:cfRule type="colorScale" priority="12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T5:T121">
    <x:cfRule type="containsText" dxfId="7" priority="13" operator="containsText" text="OK"/>
    <x:cfRule type="containsText" dxfId="8" priority="14" operator="containsText" text="THIN"/>
    <x:cfRule type="containsText" dxfId="9" priority="15" operator="containsText" text="NO CURRENT"/>
  </x:conditionalFormatting>
  <x:pageMargins left="0.7" right="0.7" top="0.75" bottom="0.75" header="0.3" footer="0.3"/>
  <x:legacyDrawing xmlns:r="http://schemas.openxmlformats.org/officeDocument/2006/relationships" r:id="R3c47a7b0db524bc8"/>
  <x:tableParts count="1">
    <x:tablePart xmlns:r="http://schemas.openxmlformats.org/officeDocument/2006/relationships" r:id="R76485f4e0eda47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0" hidden="0" customWidth="1"/>
    <x:col min="4" max="4" width="13" hidden="0" customWidth="1"/>
    <x:col min="5" max="5" width="11" hidden="0" customWidth="1"/>
    <x:col min="6" max="6" width="10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3" hidden="0" customWidth="1"/>
    <x:col min="13" max="13" width="24" hidden="0" customWidth="1"/>
    <x:col min="14" max="14" width="44" hidden="0" customWidth="1"/>
  </x:cols>
  <x:sheetData>
    <x:row r="1" ht="34" customHeight="1">
      <x:c r="A1" s="24" t="str">
        <x:v>SPHQ-Style Quality Ranking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33" t="str">
        <x:v>Higher scores reward high ROE, low balance-sheet accruals and low financial leverage.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5"/>
    </x:row>
    <x:row r="3">
      <x:c r="A3" s="263" t="str">
        <x:v>S&amp;P-style 2.5% / 97.5% winsorized z-scores; financial and real-estate SICs omit the accruals component. SEC data is a public-data approximation, not an official SPHQ constituent score.</x:v>
      </x:c>
      <x:c r="B3" s="264"/>
      <x:c r="C3" s="264"/>
      <x:c r="D3" s="264"/>
      <x:c r="E3" s="264"/>
      <x:c r="F3" s="264"/>
      <x:c r="G3" s="264"/>
      <x:c r="H3" s="264"/>
      <x:c r="I3" s="264"/>
      <x:c r="J3" s="264"/>
      <x:c r="K3" s="264"/>
      <x:c r="L3" s="264"/>
      <x:c r="M3" s="264"/>
      <x:c r="N3" s="265"/>
    </x:row>
    <x:row r="4">
      <x:c r="A4" s="7" t="str">
        <x:v>Rank</x:v>
      </x:c>
      <x:c r="B4" s="7" t="str">
        <x:v>Ticker</x:v>
      </x:c>
      <x:c r="C4" s="7" t="str">
        <x:v>Company</x:v>
      </x:c>
      <x:c r="D4" s="7" t="str">
        <x:v>Quality Score</x:v>
      </x:c>
      <x:c r="E4" s="7" t="str">
        <x:v>ROE</x:v>
      </x:c>
      <x:c r="F4" s="7" t="str">
        <x:v>ROE Z</x:v>
      </x:c>
      <x:c r="G4" s="7" t="str">
        <x:v>B/S Accruals</x:v>
      </x:c>
      <x:c r="H4" s="7" t="str">
        <x:v>Accruals Z</x:v>
      </x:c>
      <x:c r="I4" s="7" t="str">
        <x:v>Leverage</x:v>
      </x:c>
      <x:c r="J4" s="7" t="str">
        <x:v>Leverage Z</x:v>
      </x:c>
      <x:c r="K4" s="7" t="str">
        <x:v>Average Z</x:v>
      </x:c>
      <x:c r="L4" s="7" t="str">
        <x:v>BSA Excluded</x:v>
      </x:c>
      <x:c r="M4" s="7" t="str">
        <x:v>SIC / Sector</x:v>
      </x:c>
      <x:c r="N4" s="7" t="str">
        <x:v>SEC Source</x:v>
      </x:c>
    </x:row>
    <x:row r="5">
      <x:c r="A5" s="237" t="n">
        <x:f>RANK(D5,$D$5:$D$121,0)</x:f>
        <x:v>1</x:v>
      </x:c>
      <x:c r="B5" s="236" t="str">
        <x:f>'Raw Inputs'!A2</x:f>
        <x:v>MUSA</x:v>
      </x:c>
      <x:c r="C5" s="236" t="str">
        <x:f>'Raw Inputs'!B2</x:f>
        <x:v>Murphy USA Inc.</x:v>
      </x:c>
      <x:c r="D5" s="238" t="n">
        <x:f>1+9*'Raw Inputs'!V2</x:f>
        <x:v>10</x:v>
      </x:c>
      <x:c r="E5" s="266" t="n">
        <x:f>'Raw Inputs'!W2</x:f>
        <x:v>0.8880513231756215</x:v>
      </x:c>
      <x:c r="F5" s="266" t="n">
        <x:f>'Raw Inputs'!X2</x:f>
        <x:v>3.960476274945493</x:v>
      </x:c>
      <x:c r="G5" s="266" t="n">
        <x:f>'Raw Inputs'!Y2</x:f>
        <x:v>-0.04283833653451885</x:v>
      </x:c>
      <x:c r="H5" s="266" t="n">
        <x:f>'Raw Inputs'!Z2</x:f>
        <x:v>0.7494887911135356</x:v>
      </x:c>
      <x:c r="I5" s="266" t="n">
        <x:f>'Raw Inputs'!AA2</x:f>
        <x:v>0</x:v>
      </x:c>
      <x:c r="J5" s="266" t="n">
        <x:f>'Raw Inputs'!AB2</x:f>
        <x:v>0.6785881953312037</x:v>
      </x:c>
      <x:c r="K5" s="266" t="n">
        <x:f>'Raw Inputs'!U2</x:f>
        <x:v>1.7961844204634108</x:v>
      </x:c>
      <x:c r="L5" s="236" t="b">
        <x:f>'Raw Inputs'!AC2</x:f>
        <x:v>0</x:v>
      </x:c>
      <x:c r="M5" s="236" t="str">
        <x:f>'Raw Inputs'!R2</x:f>
        <x:v>Retail-Auto Dealers &amp; Gasoline Stations</x:v>
      </x:c>
      <x:c r="N5" s="20" t="str">
        <x:f>'Raw Inputs'!CC2</x:f>
        <x:v>https://data.sec.gov/api/xbrl/companyfacts/CIK0001573516.json</x:v>
      </x:c>
    </x:row>
    <x:row r="6">
      <x:c r="A6" s="237" t="n">
        <x:f>RANK(D6,$D$5:$D$121,0)</x:f>
        <x:v>2</x:v>
      </x:c>
      <x:c r="B6" s="236" t="str">
        <x:f>'Raw Inputs'!A13</x:f>
        <x:v>PPC</x:v>
      </x:c>
      <x:c r="C6" s="236" t="str">
        <x:f>'Raw Inputs'!B13</x:f>
        <x:v>Pilgrim's Pride Corp.</x:v>
      </x:c>
      <x:c r="D6" s="238" t="n">
        <x:f>1+9*'Raw Inputs'!V13</x:f>
        <x:v>9.922413793103448</x:v>
      </x:c>
      <x:c r="E6" s="266" t="n">
        <x:f>'Raw Inputs'!W13</x:f>
        <x:v>0.24123286368391733</x:v>
      </x:c>
      <x:c r="F6" s="266" t="n">
        <x:f>'Raw Inputs'!X13</x:f>
        <x:v>0.20270016436353994</x:v>
      </x:c>
      <x:c r="G6" s="266" t="n">
        <x:f>'Raw Inputs'!Y13</x:f>
        <x:v>-0.2253120947374468</x:v>
      </x:c>
      <x:c r="H6" s="266" t="n">
        <x:f>'Raw Inputs'!Z13</x:f>
        <x:v>2.550700717319892</x:v>
      </x:c>
      <x:c r="I6" s="266" t="n">
        <x:f>'Raw Inputs'!AA13</x:f>
        <x:v>0.0002510835450605291</x:v>
      </x:c>
      <x:c r="J6" s="266" t="n">
        <x:f>'Raw Inputs'!AB13</x:f>
        <x:v>0.6783087218422219</x:v>
      </x:c>
      <x:c r="K6" s="266" t="n">
        <x:f>'Raw Inputs'!U13</x:f>
        <x:v>1.143903201175218</x:v>
      </x:c>
      <x:c r="L6" s="236" t="b">
        <x:f>'Raw Inputs'!AC13</x:f>
        <x:v>0</x:v>
      </x:c>
      <x:c r="M6" s="236" t="str">
        <x:f>'Raw Inputs'!R13</x:f>
        <x:v>Poultry Slaughtering and Processing</x:v>
      </x:c>
      <x:c r="N6" s="20" t="str">
        <x:f>'Raw Inputs'!CC13</x:f>
        <x:v>https://data.sec.gov/api/xbrl/companyfacts/CIK0000802481.json</x:v>
      </x:c>
    </x:row>
    <x:row r="7">
      <x:c r="A7" s="237" t="n">
        <x:f>RANK(D7,$D$5:$D$121,0)</x:f>
        <x:v>3</x:v>
      </x:c>
      <x:c r="B7" s="236" t="str">
        <x:f>'Raw Inputs'!A21</x:f>
        <x:v>RTX</x:v>
      </x:c>
      <x:c r="C7" s="236" t="str">
        <x:f>'Raw Inputs'!B21</x:f>
        <x:v>RTX Corp.</x:v>
      </x:c>
      <x:c r="D7" s="238" t="n">
        <x:f>1+9*'Raw Inputs'!V21</x:f>
        <x:v>9.844827586206897</x:v>
      </x:c>
      <x:c r="E7" s="266" t="n">
        <x:f>'Raw Inputs'!W21</x:f>
        <x:v>0.11121158709479653</x:v>
      </x:c>
      <x:c r="F7" s="266" t="n">
        <x:f>'Raw Inputs'!X21</x:f>
        <x:v>-0.5526753816867707</x:v>
      </x:c>
      <x:c r="G7" s="266" t="n">
        <x:f>'Raw Inputs'!Y21</x:f>
        <x:v>-0.22489668802778942</x:v>
      </x:c>
      <x:c r="H7" s="266" t="n">
        <x:f>'Raw Inputs'!Z21</x:f>
        <x:v>2.550700717319892</x:v>
      </x:c>
      <x:c r="I7" s="266" t="n">
        <x:f>'Raw Inputs'!AA21</x:f>
        <x:v>0.0031266763736684804</x:v>
      </x:c>
      <x:c r="J7" s="266" t="n">
        <x:f>'Raw Inputs'!AB21</x:f>
        <x:v>0.6751079865630204</x:v>
      </x:c>
      <x:c r="K7" s="266" t="n">
        <x:f>'Raw Inputs'!U21</x:f>
        <x:v>0.8910444407320472</x:v>
      </x:c>
      <x:c r="L7" s="236" t="b">
        <x:f>'Raw Inputs'!AC21</x:f>
        <x:v>0</x:v>
      </x:c>
      <x:c r="M7" s="236" t="str">
        <x:f>'Raw Inputs'!R21</x:f>
        <x:v>Aircraft Engines &amp; Engine Parts</x:v>
      </x:c>
      <x:c r="N7" s="20" t="str">
        <x:f>'Raw Inputs'!CC21</x:f>
        <x:v>https://data.sec.gov/api/xbrl/companyfacts/CIK0000101829.json</x:v>
      </x:c>
    </x:row>
    <x:row r="8">
      <x:c r="A8" s="237" t="n">
        <x:f>RANK(D8,$D$5:$D$121,0)</x:f>
        <x:v>4</x:v>
      </x:c>
      <x:c r="B8" s="236" t="str">
        <x:f>'Raw Inputs'!A30</x:f>
        <x:v>PGR</x:v>
      </x:c>
      <x:c r="C8" s="236" t="str">
        <x:f>'Raw Inputs'!B30</x:f>
        <x:v>The Progressive Corp.</x:v>
      </x:c>
      <x:c r="D8" s="238" t="n">
        <x:f>1+9*'Raw Inputs'!V30</x:f>
        <x:v>9.767241379310345</x:v>
      </x:c>
      <x:c r="E8" s="266" t="n">
        <x:f>'Raw Inputs'!W30</x:f>
        <x:v>0.3811957919730897</x:v>
      </x:c>
      <x:c r="F8" s="266" t="n">
        <x:f>'Raw Inputs'!X30</x:f>
        <x:v>1.0158330312045065</x:v>
      </x:c>
      <x:c r="G8" s="266" t="n">
        <x:f>'Raw Inputs'!Y30</x:f>
        <x:v>0</x:v>
      </x:c>
      <x:c r="H8" s="266" t="n">
        <x:f>'Raw Inputs'!Z30</x:f>
        <x:v>0</x:v>
      </x:c>
      <x:c r="I8" s="266" t="n">
        <x:f>'Raw Inputs'!AA30</x:f>
        <x:v>0</x:v>
      </x:c>
      <x:c r="J8" s="266" t="n">
        <x:f>'Raw Inputs'!AB30</x:f>
        <x:v>0.6785881953312037</x:v>
      </x:c>
      <x:c r="K8" s="266" t="n">
        <x:f>'Raw Inputs'!U30</x:f>
        <x:v>0.8472106132678552</x:v>
      </x:c>
      <x:c r="L8" s="236" t="b">
        <x:f>'Raw Inputs'!AC30</x:f>
        <x:v>1</x:v>
      </x:c>
      <x:c r="M8" s="236" t="str">
        <x:f>'Raw Inputs'!R30</x:f>
        <x:v>Fire, Marine &amp; Casualty Insurance</x:v>
      </x:c>
      <x:c r="N8" s="20" t="str">
        <x:f>'Raw Inputs'!CC30</x:f>
        <x:v>https://data.sec.gov/api/xbrl/companyfacts/CIK0000080661.json</x:v>
      </x:c>
    </x:row>
    <x:row r="9">
      <x:c r="A9" s="237" t="n">
        <x:f>RANK(D9,$D$5:$D$121,0)</x:f>
        <x:v>5</x:v>
      </x:c>
      <x:c r="B9" s="236" t="str">
        <x:f>'Raw Inputs'!A4</x:f>
        <x:v>ALL</x:v>
      </x:c>
      <x:c r="C9" s="236" t="str">
        <x:f>'Raw Inputs'!B4</x:f>
        <x:v>The Allstate Corp.</x:v>
      </x:c>
      <x:c r="D9" s="238" t="n">
        <x:f>1+9*'Raw Inputs'!V4</x:f>
        <x:v>9.689655172413794</x:v>
      </x:c>
      <x:c r="E9" s="266" t="n">
        <x:f>'Raw Inputs'!W4</x:f>
        <x:v>0.3967330937602091</x:v>
      </x:c>
      <x:c r="F9" s="266" t="n">
        <x:f>'Raw Inputs'!X4</x:f>
        <x:v>1.1060990102002535</x:v>
      </x:c>
      <x:c r="G9" s="266" t="n">
        <x:f>'Raw Inputs'!Y4</x:f>
        <x:v>0</x:v>
      </x:c>
      <x:c r="H9" s="266" t="n">
        <x:f>'Raw Inputs'!Z4</x:f>
        <x:v>0</x:v>
      </x:c>
      <x:c r="I9" s="266" t="n">
        <x:f>'Raw Inputs'!AA4</x:f>
        <x:v>0.24469127736033977</x:v>
      </x:c>
      <x:c r="J9" s="266" t="n">
        <x:f>'Raw Inputs'!AB4</x:f>
        <x:v>0.40622974591218086</x:v>
      </x:c>
      <x:c r="K9" s="266" t="n">
        <x:f>'Raw Inputs'!U4</x:f>
        <x:v>0.7561643780562172</x:v>
      </x:c>
      <x:c r="L9" s="236" t="b">
        <x:f>'Raw Inputs'!AC4</x:f>
        <x:v>1</x:v>
      </x:c>
      <x:c r="M9" s="236" t="str">
        <x:f>'Raw Inputs'!R4</x:f>
        <x:v>Fire, Marine &amp; Casualty Insurance</x:v>
      </x:c>
      <x:c r="N9" s="20" t="str">
        <x:f>'Raw Inputs'!CC4</x:f>
        <x:v>https://data.sec.gov/api/xbrl/companyfacts/CIK0000899051.json</x:v>
      </x:c>
    </x:row>
    <x:row r="10">
      <x:c r="A10" s="237" t="n">
        <x:f>RANK(D10,$D$5:$D$121,0)</x:f>
        <x:v>6</x:v>
      </x:c>
      <x:c r="B10" s="236" t="str">
        <x:f>'Raw Inputs'!A79</x:f>
        <x:v>FAST</x:v>
      </x:c>
      <x:c r="C10" s="236" t="str">
        <x:f>'Raw Inputs'!B79</x:f>
        <x:v>Fastenal Co.</x:v>
      </x:c>
      <x:c r="D10" s="238" t="n">
        <x:f>1+9*'Raw Inputs'!V79</x:f>
        <x:v>9.612068965517242</x:v>
      </x:c>
      <x:c r="E10" s="266" t="n">
        <x:f>'Raw Inputs'!W79</x:f>
        <x:v>0.3295466071609697</x:v>
      </x:c>
      <x:c r="F10" s="266" t="n">
        <x:f>'Raw Inputs'!X79</x:f>
        <x:v>0.7157703629706136</x:v>
      </x:c>
      <x:c r="G10" s="266" t="n">
        <x:f>'Raw Inputs'!Y79</x:f>
        <x:v>0</x:v>
      </x:c>
      <x:c r="H10" s="266" t="n">
        <x:f>'Raw Inputs'!Z79</x:f>
        <x:v>0</x:v>
      </x:c>
      <x:c r="I10" s="266" t="n">
        <x:f>'Raw Inputs'!AA79</x:f>
        <x:v>0.031696926665990464</x:v>
      </x:c>
      <x:c r="J10" s="266" t="n">
        <x:f>'Raw Inputs'!AB79</x:f>
        <x:v>0.6433073063218888</x:v>
      </x:c>
      <x:c r="K10" s="266" t="n">
        <x:f>'Raw Inputs'!U79</x:f>
        <x:v>0.6795388346462512</x:v>
      </x:c>
      <x:c r="L10" s="236" t="b">
        <x:f>'Raw Inputs'!AC79</x:f>
        <x:v>0</x:v>
      </x:c>
      <x:c r="M10" s="236" t="str">
        <x:f>'Raw Inputs'!R79</x:f>
        <x:v>Retail-Building Materials, Hardware, Garden Supply</x:v>
      </x:c>
      <x:c r="N10" s="20" t="str">
        <x:f>'Raw Inputs'!CC79</x:f>
        <x:v>https://data.sec.gov/api/xbrl/companyfacts/CIK0000815556.json</x:v>
      </x:c>
    </x:row>
    <x:row r="11">
      <x:c r="A11" s="237" t="n">
        <x:f>RANK(D11,$D$5:$D$121,0)</x:f>
        <x:v>7</x:v>
      </x:c>
      <x:c r="B11" s="236" t="str">
        <x:f>'Raw Inputs'!A34</x:f>
        <x:v>HSY</x:v>
      </x:c>
      <x:c r="C11" s="236" t="str">
        <x:f>'Raw Inputs'!B34</x:f>
        <x:v>The Hershey Co.</x:v>
      </x:c>
      <x:c r="D11" s="238" t="n">
        <x:f>1+9*'Raw Inputs'!V34</x:f>
        <x:v>9.53448275862069</x:v>
      </x:c>
      <x:c r="E11" s="266" t="n">
        <x:f>'Raw Inputs'!W34</x:f>
        <x:v>0.23597584515015904</x:v>
      </x:c>
      <x:c r="F11" s="266" t="n">
        <x:f>'Raw Inputs'!X34</x:f>
        <x:v>0.17215883028570994</x:v>
      </x:c>
      <x:c r="G11" s="266" t="n">
        <x:f>'Raw Inputs'!Y34</x:f>
        <x:v>-0.08740460844094224</x:v>
      </x:c>
      <x:c r="H11" s="266" t="n">
        <x:f>'Raw Inputs'!Z34</x:f>
        <x:v>1.1934562936857385</x:v>
      </x:c>
      <x:c r="I11" s="266" t="n">
        <x:f>'Raw Inputs'!AA34</x:f>
        <x:v>0.04713344476195611</x:v>
      </x:c>
      <x:c r="J11" s="266" t="n">
        <x:f>'Raw Inputs'!AB34</x:f>
        <x:v>0.6261253855832326</x:v>
      </x:c>
      <x:c r="K11" s="266" t="n">
        <x:f>'Raw Inputs'!U34</x:f>
        <x:v>0.6639135031848937</x:v>
      </x:c>
      <x:c r="L11" s="236" t="b">
        <x:f>'Raw Inputs'!AC34</x:f>
        <x:v>0</x:v>
      </x:c>
      <x:c r="M11" s="236" t="str">
        <x:f>'Raw Inputs'!R34</x:f>
        <x:v>Sugar &amp; Confectionery Products</x:v>
      </x:c>
      <x:c r="N11" s="20" t="str">
        <x:f>'Raw Inputs'!CC34</x:f>
        <x:v>https://data.sec.gov/api/xbrl/companyfacts/CIK0000047111.json</x:v>
      </x:c>
    </x:row>
    <x:row r="12">
      <x:c r="A12" s="237" t="n">
        <x:f>RANK(D12,$D$5:$D$121,0)</x:f>
        <x:v>8</x:v>
      </x:c>
      <x:c r="B12" s="236" t="str">
        <x:f>'Raw Inputs'!A9</x:f>
        <x:v>CF</x:v>
      </x:c>
      <x:c r="C12" s="236" t="str">
        <x:f>'Raw Inputs'!B9</x:f>
        <x:v>CF Industries Holdings Inc.</x:v>
      </x:c>
      <x:c r="D12" s="238" t="n">
        <x:f>1+9*'Raw Inputs'!V9</x:f>
        <x:v>9.456896551724139</x:v>
      </x:c>
      <x:c r="E12" s="266" t="n">
        <x:f>'Raw Inputs'!W9</x:f>
        <x:v>0.43881769326167835</x:v>
      </x:c>
      <x:c r="F12" s="266" t="n">
        <x:f>'Raw Inputs'!X9</x:f>
        <x:v>1.3505949739584717</x:v>
      </x:c>
      <x:c r="G12" s="266" t="n">
        <x:f>'Raw Inputs'!Y9</x:f>
        <x:v>0</x:v>
      </x:c>
      <x:c r="H12" s="266" t="n">
        <x:f>'Raw Inputs'!Z9</x:f>
        <x:v>0</x:v>
      </x:c>
      <x:c r="I12" s="266" t="n">
        <x:f>'Raw Inputs'!AA9</x:f>
        <x:v>0.6645307978503514</x:v>
      </x:c>
      <x:c r="J12" s="266" t="n">
        <x:f>'Raw Inputs'!AB9</x:f>
        <x:v>-0.06108090790035794</x:v>
      </x:c>
      <x:c r="K12" s="266" t="n">
        <x:f>'Raw Inputs'!U9</x:f>
        <x:v>0.6447570330290568</x:v>
      </x:c>
      <x:c r="L12" s="236" t="b">
        <x:f>'Raw Inputs'!AC9</x:f>
        <x:v>0</x:v>
      </x:c>
      <x:c r="M12" s="236" t="str">
        <x:f>'Raw Inputs'!R9</x:f>
        <x:v>Agricultural Chemicals</x:v>
      </x:c>
      <x:c r="N12" s="20" t="str">
        <x:f>'Raw Inputs'!CC9</x:f>
        <x:v>https://data.sec.gov/api/xbrl/companyfacts/CIK0001324404.json</x:v>
      </x:c>
    </x:row>
    <x:row r="13">
      <x:c r="A13" s="237" t="n">
        <x:f>RANK(D13,$D$5:$D$121,0)</x:f>
        <x:v>9</x:v>
      </x:c>
      <x:c r="B13" s="236" t="str">
        <x:f>'Raw Inputs'!A52</x:f>
        <x:v>TSCO</x:v>
      </x:c>
      <x:c r="C13" s="236" t="str">
        <x:f>'Raw Inputs'!B52</x:f>
        <x:v>Tractor Supply Co.</x:v>
      </x:c>
      <x:c r="D13" s="238" t="n">
        <x:f>1+9*'Raw Inputs'!V52</x:f>
        <x:v>9.379310344827585</x:v>
      </x:c>
      <x:c r="E13" s="266" t="n">
        <x:f>'Raw Inputs'!W52</x:f>
        <x:v>0.41887612138567765</x:v>
      </x:c>
      <x:c r="F13" s="266" t="n">
        <x:f>'Raw Inputs'!X52</x:f>
        <x:v>1.2347418140749766</x:v>
      </x:c>
      <x:c r="G13" s="266" t="n">
        <x:f>'Raw Inputs'!Y52</x:f>
        <x:v>0.035521296808299505</x:v>
      </x:c>
      <x:c r="H13" s="266" t="n">
        <x:f>'Raw Inputs'!Z52</x:f>
        <x:v>-0.03112689042096546</x:v>
      </x:c>
      <x:c r="I13" s="266" t="n">
        <x:f>'Raw Inputs'!AA52</x:f>
        <x:v>0.058110412107420586</x:v>
      </x:c>
      <x:c r="J13" s="266" t="n">
        <x:f>'Raw Inputs'!AB52</x:f>
        <x:v>0.6139072557104163</x:v>
      </x:c>
      <x:c r="K13" s="266" t="n">
        <x:f>'Raw Inputs'!U52</x:f>
        <x:v>0.6058407264548091</x:v>
      </x:c>
      <x:c r="L13" s="236" t="b">
        <x:f>'Raw Inputs'!AC52</x:f>
        <x:v>0</x:v>
      </x:c>
      <x:c r="M13" s="236" t="str">
        <x:f>'Raw Inputs'!R52</x:f>
        <x:v>Retail-Building Materials, Hardware, Garden Supply</x:v>
      </x:c>
      <x:c r="N13" s="20" t="str">
        <x:f>'Raw Inputs'!CC52</x:f>
        <x:v>https://data.sec.gov/api/xbrl/companyfacts/CIK0000916365.json</x:v>
      </x:c>
    </x:row>
    <x:row r="14">
      <x:c r="A14" s="237" t="n">
        <x:f>RANK(D14,$D$5:$D$121,0)</x:f>
        <x:v>10</x:v>
      </x:c>
      <x:c r="B14" s="236" t="str">
        <x:f>'Raw Inputs'!A18</x:f>
        <x:v>SFM</x:v>
      </x:c>
      <x:c r="C14" s="236" t="str">
        <x:f>'Raw Inputs'!B18</x:f>
        <x:v>Sprouts Farmers Market Inc.</x:v>
      </x:c>
      <x:c r="D14" s="238" t="n">
        <x:f>1+9*'Raw Inputs'!V18</x:f>
        <x:v>9.301724137931034</x:v>
      </x:c>
      <x:c r="E14" s="266" t="n">
        <x:f>'Raw Inputs'!W18</x:f>
        <x:v>0.3616117182700271</x:v>
      </x:c>
      <x:c r="F14" s="266" t="n">
        <x:f>'Raw Inputs'!X18</x:f>
        <x:v>0.9020568035330251</x:v>
      </x:c>
      <x:c r="G14" s="266" t="n">
        <x:f>'Raw Inputs'!Y18</x:f>
        <x:v>0.02283729357889916</x:v>
      </x:c>
      <x:c r="H14" s="266" t="n">
        <x:f>'Raw Inputs'!Z18</x:f>
        <x:v>0.09523066643725098</x:v>
      </x:c>
      <x:c r="I14" s="266" t="n">
        <x:f>'Raw Inputs'!AA18</x:f>
        <x:v>0</x:v>
      </x:c>
      <x:c r="J14" s="266" t="n">
        <x:f>'Raw Inputs'!AB18</x:f>
        <x:v>0.6785881953312037</x:v>
      </x:c>
      <x:c r="K14" s="266" t="n">
        <x:f>'Raw Inputs'!U18</x:f>
        <x:v>0.5586252217671599</x:v>
      </x:c>
      <x:c r="L14" s="236" t="b">
        <x:f>'Raw Inputs'!AC18</x:f>
        <x:v>0</x:v>
      </x:c>
      <x:c r="M14" s="236" t="str">
        <x:f>'Raw Inputs'!R18</x:f>
        <x:v>Retail-Grocery Stores</x:v>
      </x:c>
      <x:c r="N14" s="20" t="str">
        <x:f>'Raw Inputs'!CC18</x:f>
        <x:v>https://data.sec.gov/api/xbrl/companyfacts/CIK0001575515.json</x:v>
      </x:c>
    </x:row>
    <x:row r="15">
      <x:c r="A15" s="237" t="n">
        <x:f>RANK(D15,$D$5:$D$121,0)</x:f>
        <x:v>11</x:v>
      </x:c>
      <x:c r="B15" s="236" t="str">
        <x:f>'Raw Inputs'!A12</x:f>
        <x:v>FTI</x:v>
      </x:c>
      <x:c r="C15" s="236" t="str">
        <x:f>'Raw Inputs'!B12</x:f>
        <x:v>TechnipFMC PLC</x:v>
      </x:c>
      <x:c r="D15" s="238" t="n">
        <x:f>1+9*'Raw Inputs'!V12</x:f>
        <x:v>9.224137931034484</x:v>
      </x:c>
      <x:c r="E15" s="266" t="n">
        <x:f>'Raw Inputs'!W12</x:f>
        <x:v>0.32177894048397643</x:v>
      </x:c>
      <x:c r="F15" s="266" t="n">
        <x:f>'Raw Inputs'!X12</x:f>
        <x:v>0.6706430914071108</x:v>
      </x:c>
      <x:c r="G15" s="266" t="n">
        <x:f>'Raw Inputs'!Y12</x:f>
        <x:v>-0.006253939982188779</x:v>
      </x:c>
      <x:c r="H15" s="266" t="n">
        <x:f>'Raw Inputs'!Z12</x:f>
        <x:v>0.3850364266762924</x:v>
      </x:c>
      <x:c r="I15" s="266" t="n">
        <x:f>'Raw Inputs'!AA12</x:f>
        <x:v>0.12783161900231882</x:v>
      </x:c>
      <x:c r="J15" s="266" t="n">
        <x:f>'Raw Inputs'!AB12</x:f>
        <x:v>0.5363026920889948</x:v>
      </x:c>
      <x:c r="K15" s="266" t="n">
        <x:f>'Raw Inputs'!U12</x:f>
        <x:v>0.5306607367241327</x:v>
      </x:c>
      <x:c r="L15" s="236" t="b">
        <x:f>'Raw Inputs'!AC12</x:f>
        <x:v>0</x:v>
      </x:c>
      <x:c r="M15" s="236" t="str">
        <x:f>'Raw Inputs'!R12</x:f>
        <x:v>Oil &amp; Gas Field Machinery &amp; Equipment</x:v>
      </x:c>
      <x:c r="N15" s="20" t="str">
        <x:f>'Raw Inputs'!CC12</x:f>
        <x:v>https://data.sec.gov/api/xbrl/companyfacts/CIK0001681459.json</x:v>
      </x:c>
    </x:row>
    <x:row r="16">
      <x:c r="A16" s="237" t="n">
        <x:f>RANK(D16,$D$5:$D$121,0)</x:f>
        <x:v>12</x:v>
      </x:c>
      <x:c r="B16" s="236" t="str">
        <x:f>'Raw Inputs'!A5</x:f>
        <x:v>APA</x:v>
      </x:c>
      <x:c r="C16" s="236" t="str">
        <x:f>'Raw Inputs'!B5</x:f>
        <x:v>APA Corp.</x:v>
      </x:c>
      <x:c r="D16" s="238" t="n">
        <x:f>1+9*'Raw Inputs'!V5</x:f>
        <x:v>9.14655172413793</x:v>
      </x:c>
      <x:c r="E16" s="266" t="n">
        <x:f>'Raw Inputs'!W5</x:f>
        <x:v>0.2516001969473166</x:v>
      </x:c>
      <x:c r="F16" s="266" t="n">
        <x:f>'Raw Inputs'!X5</x:f>
        <x:v>0.26293053765600644</x:v>
      </x:c>
      <x:c r="G16" s="266" t="n">
        <x:f>'Raw Inputs'!Y5</x:f>
        <x:v>0</x:v>
      </x:c>
      <x:c r="H16" s="266" t="n">
        <x:f>'Raw Inputs'!Z5</x:f>
        <x:v>0</x:v>
      </x:c>
      <x:c r="I16" s="266" t="n">
        <x:f>'Raw Inputs'!AA5</x:f>
        <x:v>0</x:v>
      </x:c>
      <x:c r="J16" s="266" t="n">
        <x:f>'Raw Inputs'!AB5</x:f>
        <x:v>0.6785881953312037</x:v>
      </x:c>
      <x:c r="K16" s="266" t="n">
        <x:f>'Raw Inputs'!U5</x:f>
        <x:v>0.47075936649360506</x:v>
      </x:c>
      <x:c r="L16" s="236" t="b">
        <x:f>'Raw Inputs'!AC5</x:f>
        <x:v>0</x:v>
      </x:c>
      <x:c r="M16" s="236" t="str">
        <x:f>'Raw Inputs'!R5</x:f>
        <x:v>Crude Petroleum &amp; Natural Gas</x:v>
      </x:c>
      <x:c r="N16" s="20" t="str">
        <x:f>'Raw Inputs'!CC5</x:f>
        <x:v>https://data.sec.gov/api/xbrl/companyfacts/CIK0001841666.json</x:v>
      </x:c>
    </x:row>
    <x:row r="17">
      <x:c r="A17" s="237" t="n">
        <x:f>RANK(D17,$D$5:$D$121,0)</x:f>
        <x:v>13</x:v>
      </x:c>
      <x:c r="B17" s="236" t="str">
        <x:f>'Raw Inputs'!A75</x:f>
        <x:v>ERIE</x:v>
      </x:c>
      <x:c r="C17" s="236" t="str">
        <x:f>'Raw Inputs'!B75</x:f>
        <x:v>Erie Indemnity Co.</x:v>
      </x:c>
      <x:c r="D17" s="238" t="n">
        <x:f>1+9*'Raw Inputs'!V75</x:f>
        <x:v>9.068965517241379</x:v>
      </x:c>
      <x:c r="E17" s="266" t="n">
        <x:f>'Raw Inputs'!W75</x:f>
        <x:v>0.25024021469982577</x:v>
      </x:c>
      <x:c r="F17" s="266" t="n">
        <x:f>'Raw Inputs'!X75</x:f>
        <x:v>0.25502954360513674</x:v>
      </x:c>
      <x:c r="G17" s="266" t="n">
        <x:f>'Raw Inputs'!Y75</x:f>
        <x:v>0</x:v>
      </x:c>
      <x:c r="H17" s="266" t="n">
        <x:f>'Raw Inputs'!Z75</x:f>
        <x:v>0</x:v>
      </x:c>
      <x:c r="I17" s="266" t="n">
        <x:f>'Raw Inputs'!AA75</x:f>
        <x:v>0</x:v>
      </x:c>
      <x:c r="J17" s="266" t="n">
        <x:f>'Raw Inputs'!AB75</x:f>
        <x:v>0.6785881953312037</x:v>
      </x:c>
      <x:c r="K17" s="266" t="n">
        <x:f>'Raw Inputs'!U75</x:f>
        <x:v>0.46680886946817024</x:v>
      </x:c>
      <x:c r="L17" s="236" t="b">
        <x:f>'Raw Inputs'!AC75</x:f>
        <x:v>1</x:v>
      </x:c>
      <x:c r="M17" s="236" t="str">
        <x:f>'Raw Inputs'!R75</x:f>
        <x:v>Insurance Agents, Brokers &amp; Service</x:v>
      </x:c>
      <x:c r="N17" s="20" t="str">
        <x:f>'Raw Inputs'!CC75</x:f>
        <x:v>https://data.sec.gov/api/xbrl/companyfacts/CIK0000922621.json</x:v>
      </x:c>
    </x:row>
    <x:row r="18">
      <x:c r="A18" s="237" t="n">
        <x:f>RANK(D18,$D$5:$D$121,0)</x:f>
        <x:v>14</x:v>
      </x:c>
      <x:c r="B18" s="236" t="str">
        <x:f>'Raw Inputs'!A11</x:f>
        <x:v>MKTX</x:v>
      </x:c>
      <x:c r="C18" s="236" t="str">
        <x:f>'Raw Inputs'!B11</x:f>
        <x:v>MarketAxess Holdings Inc.</x:v>
      </x:c>
      <x:c r="D18" s="238" t="n">
        <x:f>1+9*'Raw Inputs'!V11</x:f>
        <x:v>8.99137931034483</x:v>
      </x:c>
      <x:c r="E18" s="266" t="n">
        <x:f>'Raw Inputs'!W11</x:f>
        <x:v>0.2700994267967917</x:v>
      </x:c>
      <x:c r="F18" s="266" t="n">
        <x:f>'Raw Inputs'!X11</x:f>
        <x:v>0.37040422362215925</x:v>
      </x:c>
      <x:c r="G18" s="266" t="n">
        <x:f>'Raw Inputs'!Y11</x:f>
        <x:v>0</x:v>
      </x:c>
      <x:c r="H18" s="266" t="n">
        <x:f>'Raw Inputs'!Z11</x:f>
        <x:v>0</x:v>
      </x:c>
      <x:c r="I18" s="266" t="n">
        <x:f>'Raw Inputs'!AA11</x:f>
        <x:v>0.19202787546468564</x:v>
      </x:c>
      <x:c r="J18" s="266" t="n">
        <x:f>'Raw Inputs'!AB11</x:f>
        <x:v>0.46484778344977884</x:v>
      </x:c>
      <x:c r="K18" s="266" t="n">
        <x:f>'Raw Inputs'!U11</x:f>
        <x:v>0.417626003535969</x:v>
      </x:c>
      <x:c r="L18" s="236" t="b">
        <x:f>'Raw Inputs'!AC11</x:f>
        <x:v>1</x:v>
      </x:c>
      <x:c r="M18" s="236" t="str">
        <x:f>'Raw Inputs'!R11</x:f>
        <x:v>Security Brokers, Dealers &amp; Flotation Companies</x:v>
      </x:c>
      <x:c r="N18" s="20" t="str">
        <x:f>'Raw Inputs'!CC11</x:f>
        <x:v>https://data.sec.gov/api/xbrl/companyfacts/CIK0001278021.json</x:v>
      </x:c>
    </x:row>
    <x:row r="19">
      <x:c r="A19" s="237" t="n">
        <x:f>RANK(D19,$D$5:$D$121,0)</x:f>
        <x:v>15</x:v>
      </x:c>
      <x:c r="B19" s="236" t="str">
        <x:f>'Raw Inputs'!A8</x:f>
        <x:v>TRV</x:v>
      </x:c>
      <x:c r="C19" s="236" t="str">
        <x:f>'Raw Inputs'!B8</x:f>
        <x:v>The Travelers Cos. Inc.</x:v>
      </x:c>
      <x:c r="D19" s="238" t="n">
        <x:f>1+9*'Raw Inputs'!V8</x:f>
        <x:v>8.913793103448276</x:v>
      </x:c>
      <x:c r="E19" s="266" t="n">
        <x:f>'Raw Inputs'!W8</x:f>
        <x:v>0.23116677813583025</x:v>
      </x:c>
      <x:c r="F19" s="266" t="n">
        <x:f>'Raw Inputs'!X8</x:f>
        <x:v>0.14421992892096902</x:v>
      </x:c>
      <x:c r="G19" s="266" t="n">
        <x:f>'Raw Inputs'!Y8</x:f>
        <x:v>0</x:v>
      </x:c>
      <x:c r="H19" s="266" t="n">
        <x:f>'Raw Inputs'!Z8</x:f>
        <x:v>0</x:v>
      </x:c>
      <x:c r="I19" s="266" t="n">
        <x:f>'Raw Inputs'!AA8</x:f>
        <x:v>0</x:v>
      </x:c>
      <x:c r="J19" s="266" t="n">
        <x:f>'Raw Inputs'!AB8</x:f>
        <x:v>0.6785881953312037</x:v>
      </x:c>
      <x:c r="K19" s="266" t="n">
        <x:f>'Raw Inputs'!U8</x:f>
        <x:v>0.4114040621260864</x:v>
      </x:c>
      <x:c r="L19" s="236" t="b">
        <x:f>'Raw Inputs'!AC8</x:f>
        <x:v>1</x:v>
      </x:c>
      <x:c r="M19" s="236" t="str">
        <x:f>'Raw Inputs'!R8</x:f>
        <x:v>Fire, Marine &amp; Casualty Insurance</x:v>
      </x:c>
      <x:c r="N19" s="20" t="str">
        <x:f>'Raw Inputs'!CC8</x:f>
        <x:v>https://data.sec.gov/api/xbrl/companyfacts/CIK0000086312.json</x:v>
      </x:c>
    </x:row>
    <x:row r="20">
      <x:c r="A20" s="237" t="n">
        <x:f>RANK(D20,$D$5:$D$121,0)</x:f>
        <x:v>16</x:v>
      </x:c>
      <x:c r="B20" s="236" t="str">
        <x:f>'Raw Inputs'!A42</x:f>
        <x:v>RLI</x:v>
      </x:c>
      <x:c r="C20" s="236" t="str">
        <x:f>'Raw Inputs'!B42</x:f>
        <x:v>RLI Corp.</x:v>
      </x:c>
      <x:c r="D20" s="238" t="n">
        <x:f>1+9*'Raw Inputs'!V42</x:f>
        <x:v>8.836206896551724</x:v>
      </x:c>
      <x:c r="E20" s="266" t="n">
        <x:f>'Raw Inputs'!W42</x:f>
        <x:v>0.22213974162578254</x:v>
      </x:c>
      <x:c r="F20" s="266" t="n">
        <x:f>'Raw Inputs'!X42</x:f>
        <x:v>0.09177618423646307</x:v>
      </x:c>
      <x:c r="G20" s="266" t="n">
        <x:f>'Raw Inputs'!Y42</x:f>
        <x:v>0</x:v>
      </x:c>
      <x:c r="H20" s="266" t="n">
        <x:f>'Raw Inputs'!Z42</x:f>
        <x:v>0</x:v>
      </x:c>
      <x:c r="I20" s="266" t="n">
        <x:f>'Raw Inputs'!AA42</x:f>
        <x:v>0.05623677029978698</x:v>
      </x:c>
      <x:c r="J20" s="266" t="n">
        <x:f>'Raw Inputs'!AB42</x:f>
        <x:v>0.6159927496560883</x:v>
      </x:c>
      <x:c r="K20" s="266" t="n">
        <x:f>'Raw Inputs'!U42</x:f>
        <x:v>0.3538844669462757</x:v>
      </x:c>
      <x:c r="L20" s="236" t="b">
        <x:f>'Raw Inputs'!AC42</x:f>
        <x:v>1</x:v>
      </x:c>
      <x:c r="M20" s="236" t="str">
        <x:f>'Raw Inputs'!R42</x:f>
        <x:v>Fire, Marine &amp; Casualty Insurance</x:v>
      </x:c>
      <x:c r="N20" s="20" t="str">
        <x:f>'Raw Inputs'!CC42</x:f>
        <x:v>https://data.sec.gov/api/xbrl/companyfacts/CIK0000084246.json</x:v>
      </x:c>
    </x:row>
    <x:row r="21">
      <x:c r="A21" s="237" t="n">
        <x:f>RANK(D21,$D$5:$D$121,0)</x:f>
        <x:v>17</x:v>
      </x:c>
      <x:c r="B21" s="236" t="str">
        <x:f>'Raw Inputs'!A33</x:f>
        <x:v>WM</x:v>
      </x:c>
      <x:c r="C21" s="236" t="str">
        <x:f>'Raw Inputs'!B33</x:f>
        <x:v>Waste Management Inc.</x:v>
      </x:c>
      <x:c r="D21" s="238" t="n">
        <x:f>1+9*'Raw Inputs'!V33</x:f>
        <x:v>8.75862068965517</x:v>
      </x:c>
      <x:c r="E21" s="266" t="n">
        <x:f>'Raw Inputs'!W33</x:f>
        <x:v>0.27967967967967966</x:v>
      </x:c>
      <x:c r="F21" s="266" t="n">
        <x:f>'Raw Inputs'!X33</x:f>
        <x:v>0.42606195089998117</x:v>
      </x:c>
      <x:c r="G21" s="266" t="n">
        <x:f>'Raw Inputs'!Y33</x:f>
        <x:v>0.04314063848144953</x:v>
      </x:c>
      <x:c r="H21" s="266" t="n">
        <x:f>'Raw Inputs'!Z33</x:f>
        <x:v>-0.10703048184040316</x:v>
      </x:c>
      <x:c r="I21" s="266" t="n">
        <x:f>'Raw Inputs'!AA33</x:f>
        <x:v>0</x:v>
      </x:c>
      <x:c r="J21" s="266" t="n">
        <x:f>'Raw Inputs'!AB33</x:f>
        <x:v>0.6785881953312037</x:v>
      </x:c>
      <x:c r="K21" s="266" t="n">
        <x:f>'Raw Inputs'!U33</x:f>
        <x:v>0.3325398881302606</x:v>
      </x:c>
      <x:c r="L21" s="236" t="b">
        <x:f>'Raw Inputs'!AC33</x:f>
        <x:v>0</x:v>
      </x:c>
      <x:c r="M21" s="236" t="str">
        <x:f>'Raw Inputs'!R33</x:f>
        <x:v>Refuse Systems</x:v>
      </x:c>
      <x:c r="N21" s="20" t="str">
        <x:f>'Raw Inputs'!CC33</x:f>
        <x:v>https://data.sec.gov/api/xbrl/companyfacts/CIK0000823768.json</x:v>
      </x:c>
    </x:row>
    <x:row r="22">
      <x:c r="A22" s="237" t="n">
        <x:f>RANK(D22,$D$5:$D$121,0)</x:f>
        <x:v>18</x:v>
      </x:c>
      <x:c r="B22" s="236" t="str">
        <x:f>'Raw Inputs'!A7</x:f>
        <x:v>RNR</x:v>
      </x:c>
      <x:c r="C22" s="236" t="str">
        <x:f>'Raw Inputs'!B7</x:f>
        <x:v>RenaissanceRe Holdings Ltd.</x:v>
      </x:c>
      <x:c r="D22" s="238" t="n">
        <x:f>1+9*'Raw Inputs'!V7</x:f>
        <x:v>8.681034482758621</x:v>
      </x:c>
      <x:c r="E22" s="266" t="n">
        <x:f>'Raw Inputs'!W7</x:f>
        <x:v>0.24169221297519602</x:v>
      </x:c>
      <x:c r="F22" s="266" t="n">
        <x:f>'Raw Inputs'!X7</x:f>
        <x:v>0.20536881391713535</x:v>
      </x:c>
      <x:c r="G22" s="266" t="n">
        <x:f>'Raw Inputs'!Y7</x:f>
        <x:v>0</x:v>
      </x:c>
      <x:c r="H22" s="266" t="n">
        <x:f>'Raw Inputs'!Z7</x:f>
        <x:v>0</x:v>
      </x:c>
      <x:c r="I22" s="266" t="n">
        <x:f>'Raw Inputs'!AA7</x:f>
        <x:v>0.20064345083156476</x:v>
      </x:c>
      <x:c r="J22" s="266" t="n">
        <x:f>'Raw Inputs'!AB7</x:f>
        <x:v>0.45525804746454235</x:v>
      </x:c>
      <x:c r="K22" s="266" t="n">
        <x:f>'Raw Inputs'!U7</x:f>
        <x:v>0.33031343069083885</x:v>
      </x:c>
      <x:c r="L22" s="236" t="b">
        <x:f>'Raw Inputs'!AC7</x:f>
        <x:v>1</x:v>
      </x:c>
      <x:c r="M22" s="236" t="str">
        <x:f>'Raw Inputs'!R7</x:f>
        <x:v>Fire, Marine &amp; Casualty Insurance</x:v>
      </x:c>
      <x:c r="N22" s="20" t="str">
        <x:f>'Raw Inputs'!CC7</x:f>
        <x:v>https://data.sec.gov/api/xbrl/companyfacts/CIK0000913144.json</x:v>
      </x:c>
    </x:row>
    <x:row r="23">
      <x:c r="A23" s="237" t="n">
        <x:f>RANK(D23,$D$5:$D$121,0)</x:f>
        <x:v>19</x:v>
      </x:c>
      <x:c r="B23" s="236" t="str">
        <x:f>'Raw Inputs'!A22</x:f>
        <x:v>ACGL</x:v>
      </x:c>
      <x:c r="C23" s="236" t="str">
        <x:f>'Raw Inputs'!B22</x:f>
        <x:v>Arch Capital Group Ltd.</x:v>
      </x:c>
      <x:c r="D23" s="238" t="n">
        <x:f>1+9*'Raw Inputs'!V22</x:f>
        <x:v>8.60344827586207</x:v>
      </x:c>
      <x:c r="E23" s="266" t="n">
        <x:f>'Raw Inputs'!W22</x:f>
        <x:v>0.2012724117987276</x:v>
      </x:c>
      <x:c r="F23" s="266" t="n">
        <x:f>'Raw Inputs'!X22</x:f>
        <x:v>-0.029455287075228865</x:v>
      </x:c>
      <x:c r="G23" s="266" t="n">
        <x:f>'Raw Inputs'!Y22</x:f>
        <x:v>0</x:v>
      </x:c>
      <x:c r="H23" s="266" t="n">
        <x:f>'Raw Inputs'!Z22</x:f>
        <x:v>0</x:v>
      </x:c>
      <x:c r="I23" s="266" t="n">
        <x:f>'Raw Inputs'!AA22</x:f>
        <x:v>0</x:v>
      </x:c>
      <x:c r="J23" s="266" t="n">
        <x:f>'Raw Inputs'!AB22</x:f>
        <x:v>0.6785881953312037</x:v>
      </x:c>
      <x:c r="K23" s="266" t="n">
        <x:f>'Raw Inputs'!U22</x:f>
        <x:v>0.32456645412798746</x:v>
      </x:c>
      <x:c r="L23" s="236" t="b">
        <x:f>'Raw Inputs'!AC22</x:f>
        <x:v>1</x:v>
      </x:c>
      <x:c r="M23" s="236" t="str">
        <x:f>'Raw Inputs'!R22</x:f>
        <x:v>Fire, Marine &amp; Casualty Insurance</x:v>
      </x:c>
      <x:c r="N23" s="20" t="str">
        <x:f>'Raw Inputs'!CC22</x:f>
        <x:v>https://data.sec.gov/api/xbrl/companyfacts/CIK0000947484.json</x:v>
      </x:c>
    </x:row>
    <x:row r="24">
      <x:c r="A24" s="237" t="n">
        <x:f>RANK(D24,$D$5:$D$121,0)</x:f>
        <x:v>20</x:v>
      </x:c>
      <x:c r="B24" s="236" t="str">
        <x:f>'Raw Inputs'!A28</x:f>
        <x:v>GILD</x:v>
      </x:c>
      <x:c r="C24" s="236" t="str">
        <x:f>'Raw Inputs'!B28</x:f>
        <x:v>Gilead Sciences Inc.</x:v>
      </x:c>
      <x:c r="D24" s="238" t="n">
        <x:f>1+9*'Raw Inputs'!V28</x:f>
        <x:v>8.525862068965516</x:v>
      </x:c>
      <x:c r="E24" s="266" t="n">
        <x:f>'Raw Inputs'!W28</x:f>
        <x:v>0.4059375412941021</x:v>
      </x:c>
      <x:c r="F24" s="266" t="n">
        <x:f>'Raw Inputs'!X28</x:f>
        <x:v>1.159573447341625</x:v>
      </x:c>
      <x:c r="G24" s="266" t="n">
        <x:f>'Raw Inputs'!Y28</x:f>
        <x:v>0</x:v>
      </x:c>
      <x:c r="H24" s="266" t="n">
        <x:f>'Raw Inputs'!Z28</x:f>
        <x:v>0</x:v>
      </x:c>
      <x:c r="I24" s="266" t="n">
        <x:f>'Raw Inputs'!AA28</x:f>
        <x:v>1.0984010923666476</x:v>
      </x:c>
      <x:c r="J24" s="266" t="n">
        <x:f>'Raw Inputs'!AB28</x:f>
        <x:v>-0.5440087913059242</x:v>
      </x:c>
      <x:c r="K24" s="266" t="n">
        <x:f>'Raw Inputs'!U28</x:f>
        <x:v>0.30778232801785044</x:v>
      </x:c>
      <x:c r="L24" s="236" t="b">
        <x:f>'Raw Inputs'!AC28</x:f>
        <x:v>0</x:v>
      </x:c>
      <x:c r="M24" s="236" t="str">
        <x:f>'Raw Inputs'!R28</x:f>
        <x:v>Biological Products, (No Diagnostic Substances)</x:v>
      </x:c>
      <x:c r="N24" s="20" t="str">
        <x:f>'Raw Inputs'!CC28</x:f>
        <x:v>https://data.sec.gov/api/xbrl/companyfacts/CIK0000882095.json</x:v>
      </x:c>
    </x:row>
    <x:row r="25">
      <x:c r="A25" s="237" t="n">
        <x:f>RANK(D25,$D$5:$D$121,0)</x:f>
        <x:v>21</x:v>
      </x:c>
      <x:c r="B25" s="236" t="str">
        <x:f>'Raw Inputs'!A25</x:f>
        <x:v>CMCSA</x:v>
      </x:c>
      <x:c r="C25" s="236" t="str">
        <x:f>'Raw Inputs'!B25</x:f>
        <x:v>Comcast Corp.</x:v>
      </x:c>
      <x:c r="D25" s="238" t="n">
        <x:f>1+9*'Raw Inputs'!V25</x:f>
        <x:v>8.448275862068964</x:v>
      </x:c>
      <x:c r="E25" s="266" t="n">
        <x:f>'Raw Inputs'!W25</x:f>
        <x:v>0.19397748263727646</x:v>
      </x:c>
      <x:c r="F25" s="266" t="n">
        <x:f>'Raw Inputs'!X25</x:f>
        <x:v>-0.07183612845200517</x:v>
      </x:c>
      <x:c r="G25" s="266" t="n">
        <x:f>'Raw Inputs'!Y25</x:f>
        <x:v>0</x:v>
      </x:c>
      <x:c r="H25" s="266" t="n">
        <x:f>'Raw Inputs'!Z25</x:f>
        <x:v>0</x:v>
      </x:c>
      <x:c r="I25" s="266" t="n">
        <x:f>'Raw Inputs'!AA25</x:f>
        <x:v>0</x:v>
      </x:c>
      <x:c r="J25" s="266" t="n">
        <x:f>'Raw Inputs'!AB25</x:f>
        <x:v>0.6785881953312037</x:v>
      </x:c>
      <x:c r="K25" s="266" t="n">
        <x:f>'Raw Inputs'!U25</x:f>
        <x:v>0.3033760334395993</x:v>
      </x:c>
      <x:c r="L25" s="236" t="b">
        <x:f>'Raw Inputs'!AC25</x:f>
        <x:v>0</x:v>
      </x:c>
      <x:c r="M25" s="236" t="str">
        <x:f>'Raw Inputs'!R25</x:f>
        <x:v>Cable &amp; Other Pay Television Services</x:v>
      </x:c>
      <x:c r="N25" s="20" t="str">
        <x:f>'Raw Inputs'!CC25</x:f>
        <x:v>https://data.sec.gov/api/xbrl/companyfacts/CIK0001166691.json</x:v>
      </x:c>
    </x:row>
    <x:row r="26">
      <x:c r="A26" s="237" t="n">
        <x:f>RANK(D26,$D$5:$D$121,0)</x:f>
        <x:v>22</x:v>
      </x:c>
      <x:c r="B26" s="236" t="str">
        <x:f>'Raw Inputs'!A27</x:f>
        <x:v>WRB</x:v>
      </x:c>
      <x:c r="C26" s="236" t="str">
        <x:f>'Raw Inputs'!B27</x:f>
        <x:v>W. R. Berkley Corp.</x:v>
      </x:c>
      <x:c r="D26" s="238" t="n">
        <x:f>1+9*'Raw Inputs'!V27</x:f>
        <x:v>8.370689655172413</x:v>
      </x:c>
      <x:c r="E26" s="266" t="n">
        <x:f>'Raw Inputs'!W27</x:f>
        <x:v>0.1934936826976859</x:v>
      </x:c>
      <x:c r="F26" s="266" t="n">
        <x:f>'Raw Inputs'!X27</x:f>
        <x:v>-0.0746468272324992</x:v>
      </x:c>
      <x:c r="G26" s="266" t="n">
        <x:f>'Raw Inputs'!Y27</x:f>
        <x:v>0</x:v>
      </x:c>
      <x:c r="H26" s="266" t="n">
        <x:f>'Raw Inputs'!Z27</x:f>
        <x:v>0</x:v>
      </x:c>
      <x:c r="I26" s="266" t="n">
        <x:f>'Raw Inputs'!AA27</x:f>
        <x:v>0</x:v>
      </x:c>
      <x:c r="J26" s="266" t="n">
        <x:f>'Raw Inputs'!AB27</x:f>
        <x:v>0.6785881953312037</x:v>
      </x:c>
      <x:c r="K26" s="266" t="n">
        <x:f>'Raw Inputs'!U27</x:f>
        <x:v>0.3019706840493523</x:v>
      </x:c>
      <x:c r="L26" s="236" t="b">
        <x:f>'Raw Inputs'!AC27</x:f>
        <x:v>1</x:v>
      </x:c>
      <x:c r="M26" s="236" t="str">
        <x:f>'Raw Inputs'!R27</x:f>
        <x:v>Fire, Marine &amp; Casualty Insurance</x:v>
      </x:c>
      <x:c r="N26" s="20" t="str">
        <x:f>'Raw Inputs'!CC27</x:f>
        <x:v>https://data.sec.gov/api/xbrl/companyfacts/CIK0000011544.json</x:v>
      </x:c>
    </x:row>
    <x:row r="27">
      <x:c r="A27" s="237" t="n">
        <x:f>RANK(D27,$D$5:$D$121,0)</x:f>
        <x:v>23</x:v>
      </x:c>
      <x:c r="B27" s="236" t="str">
        <x:f>'Raw Inputs'!A14</x:f>
        <x:v>NYT</x:v>
      </x:c>
      <x:c r="C27" s="236" t="str">
        <x:f>'Raw Inputs'!B14</x:f>
        <x:v>The New York Times Co.</x:v>
      </x:c>
      <x:c r="D27" s="238" t="n">
        <x:f>1+9*'Raw Inputs'!V14</x:f>
        <x:v>8.293103448275861</x:v>
      </x:c>
      <x:c r="E27" s="266" t="n">
        <x:f>'Raw Inputs'!W14</x:f>
        <x:v>0.18730230733093525</x:v>
      </x:c>
      <x:c r="F27" s="266" t="n">
        <x:f>'Raw Inputs'!X14</x:f>
        <x:v>-0.11061642906344323</x:v>
      </x:c>
      <x:c r="G27" s="266" t="n">
        <x:f>'Raw Inputs'!Y14</x:f>
        <x:v>0</x:v>
      </x:c>
      <x:c r="H27" s="266" t="n">
        <x:f>'Raw Inputs'!Z14</x:f>
        <x:v>0</x:v>
      </x:c>
      <x:c r="I27" s="266" t="n">
        <x:f>'Raw Inputs'!AA14</x:f>
        <x:v>0</x:v>
      </x:c>
      <x:c r="J27" s="266" t="n">
        <x:f>'Raw Inputs'!AB14</x:f>
        <x:v>0.6785881953312037</x:v>
      </x:c>
      <x:c r="K27" s="266" t="n">
        <x:f>'Raw Inputs'!U14</x:f>
        <x:v>0.28398588313388023</x:v>
      </x:c>
      <x:c r="L27" s="236" t="b">
        <x:f>'Raw Inputs'!AC14</x:f>
        <x:v>0</x:v>
      </x:c>
      <x:c r="M27" s="236" t="str">
        <x:f>'Raw Inputs'!R14</x:f>
        <x:v>Newspapers: Publishing or  Publishing &amp; Printing</x:v>
      </x:c>
      <x:c r="N27" s="20" t="str">
        <x:f>'Raw Inputs'!CC14</x:f>
        <x:v>https://data.sec.gov/api/xbrl/companyfacts/CIK0000071691.json</x:v>
      </x:c>
    </x:row>
    <x:row r="28">
      <x:c r="A28" s="237" t="n">
        <x:f>RANK(D28,$D$5:$D$121,0)</x:f>
        <x:v>24</x:v>
      </x:c>
      <x:c r="B28" s="236" t="str">
        <x:f>'Raw Inputs'!A32</x:f>
        <x:v>CBOE</x:v>
      </x:c>
      <x:c r="C28" s="236" t="str">
        <x:f>'Raw Inputs'!B32</x:f>
        <x:v>CBOE Global Markets Inc.</x:v>
      </x:c>
      <x:c r="D28" s="238" t="n">
        <x:f>1+9*'Raw Inputs'!V32</x:f>
        <x:v>8.21551724137931</x:v>
      </x:c>
      <x:c r="E28" s="266" t="n">
        <x:f>'Raw Inputs'!W32</x:f>
        <x:v>0.24037132903878713</x:v>
      </x:c>
      <x:c r="F28" s="266" t="n">
        <x:f>'Raw Inputs'!X32</x:f>
        <x:v>0.1976949665983848</x:v>
      </x:c>
      <x:c r="G28" s="266" t="n">
        <x:f>'Raw Inputs'!Y32</x:f>
        <x:v>0</x:v>
      </x:c>
      <x:c r="H28" s="266" t="n">
        <x:f>'Raw Inputs'!Z32</x:f>
        <x:v>0</x:v>
      </x:c>
      <x:c r="I28" s="266" t="n">
        <x:f>'Raw Inputs'!AA32</x:f>
        <x:v>0.28081272016036435</x:v>
      </x:c>
      <x:c r="J28" s="266" t="n">
        <x:f>'Raw Inputs'!AB32</x:f>
        <x:v>0.3660240620074583</x:v>
      </x:c>
      <x:c r="K28" s="266" t="n">
        <x:f>'Raw Inputs'!U32</x:f>
        <x:v>0.28185951430292155</x:v>
      </x:c>
      <x:c r="L28" s="236" t="b">
        <x:f>'Raw Inputs'!AC32</x:f>
        <x:v>1</x:v>
      </x:c>
      <x:c r="M28" s="236" t="str">
        <x:f>'Raw Inputs'!R32</x:f>
        <x:v>Security &amp; Commodity Brokers, Dealers, Exchanges &amp; Services</x:v>
      </x:c>
      <x:c r="N28" s="20" t="str">
        <x:f>'Raw Inputs'!CC32</x:f>
        <x:v>https://data.sec.gov/api/xbrl/companyfacts/CIK0001374310.json</x:v>
      </x:c>
    </x:row>
    <x:row r="29">
      <x:c r="A29" s="237" t="n">
        <x:f>RANK(D29,$D$5:$D$121,0)</x:f>
        <x:v>25</x:v>
      </x:c>
      <x:c r="B29" s="236" t="str">
        <x:f>'Raw Inputs'!A57</x:f>
        <x:v>VRSK</x:v>
      </x:c>
      <x:c r="C29" s="236" t="str">
        <x:f>'Raw Inputs'!B57</x:f>
        <x:v>Verisk Analytics Inc.</x:v>
      </x:c>
      <x:c r="D29" s="238" t="n">
        <x:f>1+9*'Raw Inputs'!V57</x:f>
        <x:v>8.137931034482758</x:v>
      </x:c>
      <x:c r="E29" s="266" t="n">
        <x:f>'Raw Inputs'!W57</x:f>
        <x:v>2.9456310679611653</x:v>
      </x:c>
      <x:c r="F29" s="266" t="n">
        <x:f>'Raw Inputs'!X57</x:f>
        <x:v>3.9922030756990665</x:v>
      </x:c>
      <x:c r="G29" s="266" t="n">
        <x:f>'Raw Inputs'!Y57</x:f>
        <x:v>0</x:v>
      </x:c>
      <x:c r="H29" s="266" t="n">
        <x:f>'Raw Inputs'!Z57</x:f>
        <x:v>0.32273491487474965</x:v>
      </x:c>
      <x:c r="I29" s="266" t="n">
        <x:f>'Raw Inputs'!AA57</x:f>
        <x:v>15.44822006472492</x:v>
      </x:c>
      <x:c r="J29" s="266" t="n">
        <x:f>'Raw Inputs'!AB57</x:f>
        <x:v>-3.5848818051876323</x:v>
      </x:c>
      <x:c r="K29" s="266" t="n">
        <x:f>'Raw Inputs'!U57</x:f>
        <x:v>0.24335206179539462</x:v>
      </x:c>
      <x:c r="L29" s="236" t="b">
        <x:f>'Raw Inputs'!AC57</x:f>
        <x:v>0</x:v>
      </x:c>
      <x:c r="M29" s="236" t="str">
        <x:f>'Raw Inputs'!R57</x:f>
        <x:v>Services-Computer Processing &amp; Data Preparation</x:v>
      </x:c>
      <x:c r="N29" s="20" t="str">
        <x:f>'Raw Inputs'!CC57</x:f>
        <x:v>https://data.sec.gov/api/xbrl/companyfacts/CIK0001442145.json</x:v>
      </x:c>
    </x:row>
    <x:row r="30">
      <x:c r="A30" s="237" t="n">
        <x:f>RANK(D30,$D$5:$D$121,0)</x:f>
        <x:v>26</x:v>
      </x:c>
      <x:c r="B30" s="236" t="str">
        <x:f>'Raw Inputs'!A26</x:f>
        <x:v>ORI</x:v>
      </x:c>
      <x:c r="C30" s="236" t="str">
        <x:f>'Raw Inputs'!B26</x:f>
        <x:v>Old Republic International Corp.</x:v>
      </x:c>
      <x:c r="D30" s="238" t="n">
        <x:f>1+9*'Raw Inputs'!V26</x:f>
        <x:v>8.060344827586206</x:v>
      </x:c>
      <x:c r="E30" s="266" t="n">
        <x:f>'Raw Inputs'!W26</x:f>
        <x:v>0.1725228271897193</x:v>
      </x:c>
      <x:c r="F30" s="266" t="n">
        <x:f>'Raw Inputs'!X26</x:f>
        <x:v>-0.1964797444751982</x:v>
      </x:c>
      <x:c r="G30" s="266" t="n">
        <x:f>'Raw Inputs'!Y26</x:f>
        <x:v>0</x:v>
      </x:c>
      <x:c r="H30" s="266" t="n">
        <x:f>'Raw Inputs'!Z26</x:f>
        <x:v>0</x:v>
      </x:c>
      <x:c r="I30" s="266" t="n">
        <x:f>'Raw Inputs'!AA26</x:f>
        <x:v>0</x:v>
      </x:c>
      <x:c r="J30" s="266" t="n">
        <x:f>'Raw Inputs'!AB26</x:f>
        <x:v>0.6785881953312037</x:v>
      </x:c>
      <x:c r="K30" s="266" t="n">
        <x:f>'Raw Inputs'!U26</x:f>
        <x:v>0.24105422542800276</x:v>
      </x:c>
      <x:c r="L30" s="236" t="b">
        <x:f>'Raw Inputs'!AC26</x:f>
        <x:v>1</x:v>
      </x:c>
      <x:c r="M30" s="236" t="str">
        <x:f>'Raw Inputs'!R26</x:f>
        <x:v>Surety Insurance</x:v>
      </x:c>
      <x:c r="N30" s="20" t="str">
        <x:f>'Raw Inputs'!CC26</x:f>
        <x:v>https://data.sec.gov/api/xbrl/companyfacts/CIK0000074260.json</x:v>
      </x:c>
    </x:row>
    <x:row r="31">
      <x:c r="A31" s="237" t="n">
        <x:f>RANK(D31,$D$5:$D$121,0)</x:f>
        <x:v>27</x:v>
      </x:c>
      <x:c r="B31" s="236" t="str">
        <x:f>'Raw Inputs'!A16</x:f>
        <x:v>HIG</x:v>
      </x:c>
      <x:c r="C31" s="236" t="str">
        <x:f>'Raw Inputs'!B16</x:f>
        <x:v>The Hartford Insurance Group Inc.</x:v>
      </x:c>
      <x:c r="D31" s="238" t="n">
        <x:f>1+9*'Raw Inputs'!V16</x:f>
        <x:v>7.982758620689655</x:v>
      </x:c>
      <x:c r="E31" s="266" t="n">
        <x:f>'Raw Inputs'!W16</x:f>
        <x:v>0.21402602876863902</x:v>
      </x:c>
      <x:c r="F31" s="266" t="n">
        <x:f>'Raw Inputs'!X16</x:f>
        <x:v>0.04463851230505988</x:v>
      </x:c>
      <x:c r="G31" s="266" t="n">
        <x:f>'Raw Inputs'!Y16</x:f>
        <x:v>0</x:v>
      </x:c>
      <x:c r="H31" s="266" t="n">
        <x:f>'Raw Inputs'!Z16</x:f>
        <x:v>0</x:v>
      </x:c>
      <x:c r="I31" s="266" t="n">
        <x:f>'Raw Inputs'!AA16</x:f>
        <x:v>0.2303071816217925</x:v>
      </x:c>
      <x:c r="J31" s="266" t="n">
        <x:f>'Raw Inputs'!AB16</x:f>
        <x:v>0.42224024720142905</x:v>
      </x:c>
      <x:c r="K31" s="266" t="n">
        <x:f>'Raw Inputs'!U16</x:f>
        <x:v>0.23343937975324447</x:v>
      </x:c>
      <x:c r="L31" s="236" t="b">
        <x:f>'Raw Inputs'!AC16</x:f>
        <x:v>1</x:v>
      </x:c>
      <x:c r="M31" s="236" t="str">
        <x:f>'Raw Inputs'!R16</x:f>
        <x:v>Fire, Marine &amp; Casualty Insurance</x:v>
      </x:c>
      <x:c r="N31" s="20" t="str">
        <x:f>'Raw Inputs'!CC16</x:f>
        <x:v>https://data.sec.gov/api/xbrl/companyfacts/CIK0000874766.json</x:v>
      </x:c>
    </x:row>
    <x:row r="32">
      <x:c r="A32" s="237" t="n">
        <x:f>RANK(D32,$D$5:$D$121,0)</x:f>
        <x:v>28</x:v>
      </x:c>
      <x:c r="B32" s="236" t="str">
        <x:f>'Raw Inputs'!A6</x:f>
        <x:v>AXS</x:v>
      </x:c>
      <x:c r="C32" s="236" t="str">
        <x:f>'Raw Inputs'!B6</x:f>
        <x:v>Axis Capital Holdings Ltd.</x:v>
      </x:c>
      <x:c r="D32" s="238" t="n">
        <x:f>1+9*'Raw Inputs'!V6</x:f>
        <x:v>7.905172413793104</x:v>
      </x:c>
      <x:c r="E32" s="266" t="n">
        <x:f>'Raw Inputs'!W6</x:f>
        <x:v>0.16827010737937223</x:v>
      </x:c>
      <x:c r="F32" s="266" t="n">
        <x:f>'Raw Inputs'!X6</x:f>
        <x:v>-0.22118647427520918</x:v>
      </x:c>
      <x:c r="G32" s="266" t="n">
        <x:f>'Raw Inputs'!Y6</x:f>
        <x:v>0</x:v>
      </x:c>
      <x:c r="H32" s="266" t="n">
        <x:f>'Raw Inputs'!Z6</x:f>
        <x:v>0</x:v>
      </x:c>
      <x:c r="I32" s="266" t="n">
        <x:f>'Raw Inputs'!AA6</x:f>
        <x:v>0</x:v>
      </x:c>
      <x:c r="J32" s="266" t="n">
        <x:f>'Raw Inputs'!AB6</x:f>
        <x:v>0.6785881953312037</x:v>
      </x:c>
      <x:c r="K32" s="266" t="n">
        <x:f>'Raw Inputs'!U6</x:f>
        <x:v>0.22870086052799726</x:v>
      </x:c>
      <x:c r="L32" s="236" t="b">
        <x:f>'Raw Inputs'!AC6</x:f>
        <x:v>1</x:v>
      </x:c>
      <x:c r="M32" s="236" t="str">
        <x:f>'Raw Inputs'!R6</x:f>
        <x:v>Fire, Marine &amp; Casualty Insurance</x:v>
      </x:c>
      <x:c r="N32" s="20" t="str">
        <x:f>'Raw Inputs'!CC6</x:f>
        <x:v>https://data.sec.gov/api/xbrl/companyfacts/CIK0001214816.json</x:v>
      </x:c>
    </x:row>
    <x:row r="33">
      <x:c r="A33" s="237" t="n">
        <x:f>RANK(D33,$D$5:$D$121,0)</x:f>
        <x:v>29</x:v>
      </x:c>
      <x:c r="B33" s="236" t="str">
        <x:f>'Raw Inputs'!A43</x:f>
        <x:v>APD</x:v>
      </x:c>
      <x:c r="C33" s="236" t="str">
        <x:f>'Raw Inputs'!B43</x:f>
        <x:v>Air Products and Chemicals Inc.</x:v>
      </x:c>
      <x:c r="D33" s="238" t="n">
        <x:f>1+9*'Raw Inputs'!V43</x:f>
        <x:v>7.827586206896552</x:v>
      </x:c>
      <x:c r="E33" s="266" t="n">
        <x:f>'Raw Inputs'!W43</x:f>
        <x:v>0.14025384528349608</x:v>
      </x:c>
      <x:c r="F33" s="266" t="n">
        <x:f>'Raw Inputs'!X43</x:f>
        <x:v>-0.3839505989948692</x:v>
      </x:c>
      <x:c r="G33" s="266" t="n">
        <x:f>'Raw Inputs'!Y43</x:f>
        <x:v>-0.006176047106621144</x:v>
      </x:c>
      <x:c r="H33" s="266" t="n">
        <x:f>'Raw Inputs'!Z43</x:f>
        <x:v>0.38426046081792886</x:v>
      </x:c>
      <x:c r="I33" s="266" t="n">
        <x:f>'Raw Inputs'!AA43</x:f>
        <x:v>0.0023094995640569986</x:v>
      </x:c>
      <x:c r="J33" s="266" t="n">
        <x:f>'Raw Inputs'!AB43</x:f>
        <x:v>0.6760175613184752</x:v>
      </x:c>
      <x:c r="K33" s="266" t="n">
        <x:f>'Raw Inputs'!U43</x:f>
        <x:v>0.22544247438051163</x:v>
      </x:c>
      <x:c r="L33" s="236" t="b">
        <x:f>'Raw Inputs'!AC43</x:f>
        <x:v>0</x:v>
      </x:c>
      <x:c r="M33" s="236" t="str">
        <x:f>'Raw Inputs'!R43</x:f>
        <x:v>Industrial Inorganic Chemicals</x:v>
      </x:c>
      <x:c r="N33" s="20" t="str">
        <x:f>'Raw Inputs'!CC43</x:f>
        <x:v>https://data.sec.gov/api/xbrl/companyfacts/CIK0000002969.json</x:v>
      </x:c>
    </x:row>
    <x:row r="34">
      <x:c r="A34" s="237" t="n">
        <x:f>RANK(D34,$D$5:$D$121,0)</x:f>
        <x:v>30</x:v>
      </x:c>
      <x:c r="B34" s="236" t="str">
        <x:f>'Raw Inputs'!A81</x:f>
        <x:v>BJ</x:v>
      </x:c>
      <x:c r="C34" s="236" t="str">
        <x:f>'Raw Inputs'!B81</x:f>
        <x:v>BJ's Wholesale Club Holdings Inc.</x:v>
      </x:c>
      <x:c r="D34" s="238" t="n">
        <x:f>1+9*'Raw Inputs'!V81</x:f>
        <x:v>7.75</x:v>
      </x:c>
      <x:c r="E34" s="266" t="n">
        <x:f>'Raw Inputs'!W81</x:f>
        <x:v>0.2599743636296623</x:v>
      </x:c>
      <x:c r="F34" s="266" t="n">
        <x:f>'Raw Inputs'!X81</x:f>
        <x:v>0.3115813500179155</x:v>
      </x:c>
      <x:c r="G34" s="266" t="n">
        <x:f>'Raw Inputs'!Y81</x:f>
        <x:v>0.04562692356772673</x:v>
      </x:c>
      <x:c r="H34" s="266" t="n">
        <x:f>'Raw Inputs'!Z81</x:f>
        <x:v>-0.13179875913213482</x:v>
      </x:c>
      <x:c r="I34" s="266" t="n">
        <x:f>'Raw Inputs'!AA81</x:f>
        <x:v>0.18160187727031354</x:v>
      </x:c>
      <x:c r="J34" s="266" t="n">
        <x:f>'Raw Inputs'!AB81</x:f>
        <x:v>0.4764526462487213</x:v>
      </x:c>
      <x:c r="K34" s="266" t="n">
        <x:f>'Raw Inputs'!U81</x:f>
        <x:v>0.21874507904483398</x:v>
      </x:c>
      <x:c r="L34" s="236" t="b">
        <x:f>'Raw Inputs'!AC81</x:f>
        <x:v>0</x:v>
      </x:c>
      <x:c r="M34" s="236" t="str">
        <x:f>'Raw Inputs'!R81</x:f>
        <x:v>Retail-Variety Stores</x:v>
      </x:c>
      <x:c r="N34" s="20" t="str">
        <x:f>'Raw Inputs'!CC81</x:f>
        <x:v>https://data.sec.gov/api/xbrl/companyfacts/CIK0001531152.json</x:v>
      </x:c>
    </x:row>
    <x:row r="35">
      <x:c r="A35" s="237" t="n">
        <x:f>RANK(D35,$D$5:$D$121,0)</x:f>
        <x:v>31</x:v>
      </x:c>
      <x:c r="B35" s="236" t="str">
        <x:f>'Raw Inputs'!A24</x:f>
        <x:v>VZ</x:v>
      </x:c>
      <x:c r="C35" s="236" t="str">
        <x:f>'Raw Inputs'!B24</x:f>
        <x:v>Verizon Communications Inc.</x:v>
      </x:c>
      <x:c r="D35" s="238" t="n">
        <x:f>1+9*'Raw Inputs'!V24</x:f>
        <x:v>7.672413793103448</x:v>
      </x:c>
      <x:c r="E35" s="266" t="n">
        <x:f>'Raw Inputs'!W24</x:f>
        <x:v>0.1639855874258802</x:v>
      </x:c>
      <x:c r="F35" s="266" t="n">
        <x:f>'Raw Inputs'!X24</x:f>
        <x:v>-0.2460779511498739</x:v>
      </x:c>
      <x:c r="G35" s="266" t="n">
        <x:f>'Raw Inputs'!Y24</x:f>
        <x:v>0</x:v>
      </x:c>
      <x:c r="H35" s="266" t="n">
        <x:f>'Raw Inputs'!Z24</x:f>
        <x:v>0</x:v>
      </x:c>
      <x:c r="I35" s="266" t="n">
        <x:f>'Raw Inputs'!AA24</x:f>
        <x:v>0.004170567707890033</x:v>
      </x:c>
      <x:c r="J35" s="266" t="n">
        <x:f>'Raw Inputs'!AB24</x:f>
        <x:v>0.6739460627371382</x:v>
      </x:c>
      <x:c r="K35" s="266" t="n">
        <x:f>'Raw Inputs'!U24</x:f>
        <x:v>0.21393405579363214</x:v>
      </x:c>
      <x:c r="L35" s="236" t="b">
        <x:f>'Raw Inputs'!AC24</x:f>
        <x:v>0</x:v>
      </x:c>
      <x:c r="M35" s="236" t="str">
        <x:f>'Raw Inputs'!R24</x:f>
        <x:v>Telephone Communications (No Radiotelephone)</x:v>
      </x:c>
      <x:c r="N35" s="20" t="str">
        <x:f>'Raw Inputs'!CC24</x:f>
        <x:v>https://data.sec.gov/api/xbrl/companyfacts/CIK0000732712.json</x:v>
      </x:c>
    </x:row>
    <x:row r="36">
      <x:c r="A36" s="237" t="n">
        <x:f>RANK(D36,$D$5:$D$121,0)</x:f>
        <x:v>32</x:v>
      </x:c>
      <x:c r="B36" s="236" t="str">
        <x:f>'Raw Inputs'!A54</x:f>
        <x:v>WTM</x:v>
      </x:c>
      <x:c r="C36" s="236" t="str">
        <x:f>'Raw Inputs'!B54</x:f>
        <x:v>White Mountains Insurance Group Ltd.</x:v>
      </x:c>
      <x:c r="D36" s="238" t="n">
        <x:f>1+9*'Raw Inputs'!V54</x:f>
        <x:v>7.594827586206896</x:v>
      </x:c>
      <x:c r="E36" s="266" t="n">
        <x:f>'Raw Inputs'!W54</x:f>
        <x:v>0.19266782172743024</x:v>
      </x:c>
      <x:c r="F36" s="266" t="n">
        <x:f>'Raw Inputs'!X54</x:f>
        <x:v>-0.07944477413575787</x:v>
      </x:c>
      <x:c r="G36" s="266" t="n">
        <x:f>'Raw Inputs'!Y54</x:f>
        <x:v>0</x:v>
      </x:c>
      <x:c r="H36" s="266" t="n">
        <x:f>'Raw Inputs'!Z54</x:f>
        <x:v>0</x:v>
      </x:c>
      <x:c r="I36" s="266" t="n">
        <x:f>'Raw Inputs'!AA54</x:f>
        <x:v>0.15427433921922806</x:v>
      </x:c>
      <x:c r="J36" s="266" t="n">
        <x:f>'Raw Inputs'!AB54</x:f>
        <x:v>0.5068701011344235</x:v>
      </x:c>
      <x:c r="K36" s="266" t="n">
        <x:f>'Raw Inputs'!U54</x:f>
        <x:v>0.21371266349933282</x:v>
      </x:c>
      <x:c r="L36" s="236" t="b">
        <x:f>'Raw Inputs'!AC54</x:f>
        <x:v>1</x:v>
      </x:c>
      <x:c r="M36" s="236" t="str">
        <x:f>'Raw Inputs'!R54</x:f>
        <x:v>Fire, Marine &amp; Casualty Insurance</x:v>
      </x:c>
      <x:c r="N36" s="20" t="str">
        <x:f>'Raw Inputs'!CC54</x:f>
        <x:v>https://data.sec.gov/api/xbrl/companyfacts/CIK0000776867.json</x:v>
      </x:c>
    </x:row>
    <x:row r="37">
      <x:c r="A37" s="237" t="n">
        <x:f>RANK(D37,$D$5:$D$121,0)</x:f>
        <x:v>33</x:v>
      </x:c>
      <x:c r="B37" s="236" t="str">
        <x:f>'Raw Inputs'!A45</x:f>
        <x:v>AMGN</x:v>
      </x:c>
      <x:c r="C37" s="236" t="str">
        <x:f>'Raw Inputs'!B45</x:f>
        <x:v>Amgen Inc.</x:v>
      </x:c>
      <x:c r="D37" s="238" t="n">
        <x:f>1+9*'Raw Inputs'!V45</x:f>
        <x:v>7.478448275862069</x:v>
      </x:c>
      <x:c r="E37" s="266" t="n">
        <x:f>'Raw Inputs'!W45</x:f>
        <x:v>0.9009009009009009</x:v>
      </x:c>
      <x:c r="F37" s="266" t="n">
        <x:f>'Raw Inputs'!X45</x:f>
        <x:v>3.9922030756990665</x:v>
      </x:c>
      <x:c r="G37" s="266" t="n">
        <x:f>'Raw Inputs'!Y45</x:f>
        <x:v>0</x:v>
      </x:c>
      <x:c r="H37" s="266" t="n">
        <x:f>'Raw Inputs'!Z45</x:f>
        <x:v>0</x:v>
      </x:c>
      <x:c r="I37" s="266" t="n">
        <x:f>'Raw Inputs'!AA45</x:f>
        <x:v>6.306768306768307</x:v>
      </x:c>
      <x:c r="J37" s="266" t="n">
        <x:f>'Raw Inputs'!AB45</x:f>
        <x:v>-3.5848818051876323</x:v>
      </x:c>
      <x:c r="K37" s="266" t="n">
        <x:f>'Raw Inputs'!U45</x:f>
        <x:v>0.2036606352557171</x:v>
      </x:c>
      <x:c r="L37" s="236" t="b">
        <x:f>'Raw Inputs'!AC45</x:f>
        <x:v>0</x:v>
      </x:c>
      <x:c r="M37" s="236" t="str">
        <x:f>'Raw Inputs'!R45</x:f>
        <x:v>Biological Products, (No Diagnostic Substances)</x:v>
      </x:c>
      <x:c r="N37" s="20" t="str">
        <x:f>'Raw Inputs'!CC45</x:f>
        <x:v>https://data.sec.gov/api/xbrl/companyfacts/CIK0000318154.json</x:v>
      </x:c>
    </x:row>
    <x:row r="38">
      <x:c r="A38" s="237" t="n">
        <x:f>RANK(D38,$D$5:$D$121,0)</x:f>
        <x:v>33</x:v>
      </x:c>
      <x:c r="B38" s="236" t="str">
        <x:f>'Raw Inputs'!A65</x:f>
        <x:v>COR</x:v>
      </x:c>
      <x:c r="C38" s="236" t="str">
        <x:f>'Raw Inputs'!B65</x:f>
        <x:v>Cencora Inc.</x:v>
      </x:c>
      <x:c r="D38" s="238" t="n">
        <x:f>1+9*'Raw Inputs'!V65</x:f>
        <x:v>7.478448275862069</x:v>
      </x:c>
      <x:c r="E38" s="266" t="n">
        <x:f>'Raw Inputs'!W65</x:f>
        <x:v>1.6900828172589337</x:v>
      </x:c>
      <x:c r="F38" s="266" t="n">
        <x:f>'Raw Inputs'!X65</x:f>
        <x:v>3.9922030756990665</x:v>
      </x:c>
      <x:c r="G38" s="266" t="n">
        <x:f>'Raw Inputs'!Y65</x:f>
        <x:v>0</x:v>
      </x:c>
      <x:c r="H38" s="266" t="n">
        <x:f>'Raw Inputs'!Z65</x:f>
        <x:v>0</x:v>
      </x:c>
      <x:c r="I38" s="266" t="n">
        <x:f>'Raw Inputs'!AA65</x:f>
        <x:v>5.080024190676642</x:v>
      </x:c>
      <x:c r="J38" s="266" t="n">
        <x:f>'Raw Inputs'!AB65</x:f>
        <x:v>-3.5848818051876323</x:v>
      </x:c>
      <x:c r="K38" s="266" t="n">
        <x:f>'Raw Inputs'!U65</x:f>
        <x:v>0.2036606352557171</x:v>
      </x:c>
      <x:c r="L38" s="236" t="b">
        <x:f>'Raw Inputs'!AC65</x:f>
        <x:v>0</x:v>
      </x:c>
      <x:c r="M38" s="236" t="str">
        <x:f>'Raw Inputs'!R65</x:f>
        <x:v>Wholesale-Drugs, Proprietaries &amp; Druggists' Sundries</x:v>
      </x:c>
      <x:c r="N38" s="20" t="str">
        <x:f>'Raw Inputs'!CC65</x:f>
        <x:v>https://data.sec.gov/api/xbrl/companyfacts/CIK0001140859.json</x:v>
      </x:c>
    </x:row>
    <x:row r="39">
      <x:c r="A39" s="237" t="n">
        <x:f>RANK(D39,$D$5:$D$121,0)</x:f>
        <x:v>35</x:v>
      </x:c>
      <x:c r="B39" s="236" t="str">
        <x:f>'Raw Inputs'!A10</x:f>
        <x:v>AFL</x:v>
      </x:c>
      <x:c r="C39" s="236" t="str">
        <x:f>'Raw Inputs'!B10</x:f>
        <x:v>Aflac Inc.</x:v>
      </x:c>
      <x:c r="D39" s="238" t="n">
        <x:f>1+9*'Raw Inputs'!V10</x:f>
        <x:v>7.362068965517241</x:v>
      </x:c>
      <x:c r="E39" s="266" t="n">
        <x:f>'Raw Inputs'!W10</x:f>
        <x:v>0.15720583248558834</x:v>
      </x:c>
      <x:c r="F39" s="266" t="n">
        <x:f>'Raw Inputs'!X10</x:f>
        <x:v>-0.2854658207698125</x:v>
      </x:c>
      <x:c r="G39" s="266" t="n">
        <x:f>'Raw Inputs'!Y10</x:f>
        <x:v>0</x:v>
      </x:c>
      <x:c r="H39" s="266" t="n">
        <x:f>'Raw Inputs'!Z10</x:f>
        <x:v>0</x:v>
      </x:c>
      <x:c r="I39" s="266" t="n">
        <x:f>'Raw Inputs'!AA10</x:f>
        <x:v>0</x:v>
      </x:c>
      <x:c r="J39" s="266" t="n">
        <x:f>'Raw Inputs'!AB10</x:f>
        <x:v>0.6785881953312037</x:v>
      </x:c>
      <x:c r="K39" s="266" t="n">
        <x:f>'Raw Inputs'!U10</x:f>
        <x:v>0.19656118728069563</x:v>
      </x:c>
      <x:c r="L39" s="236" t="b">
        <x:f>'Raw Inputs'!AC10</x:f>
        <x:v>1</x:v>
      </x:c>
      <x:c r="M39" s="236" t="str">
        <x:f>'Raw Inputs'!R10</x:f>
        <x:v>Accident &amp; Health Insurance</x:v>
      </x:c>
      <x:c r="N39" s="20" t="str">
        <x:f>'Raw Inputs'!CC10</x:f>
        <x:v>https://data.sec.gov/api/xbrl/companyfacts/CIK0000004977.json</x:v>
      </x:c>
    </x:row>
    <x:row r="40">
      <x:c r="A40" s="237" t="n">
        <x:f>RANK(D40,$D$5:$D$121,0)</x:f>
        <x:v>36</x:v>
      </x:c>
      <x:c r="B40" s="236" t="str">
        <x:f>'Raw Inputs'!A19</x:f>
        <x:v>THG</x:v>
      </x:c>
      <x:c r="C40" s="236" t="str">
        <x:f>'Raw Inputs'!B19</x:f>
        <x:v>The Hanover Insurance Group Inc.</x:v>
      </x:c>
      <x:c r="D40" s="238" t="n">
        <x:f>1+9*'Raw Inputs'!V19</x:f>
        <x:v>7.2844827586206895</x:v>
      </x:c>
      <x:c r="E40" s="266" t="n">
        <x:f>'Raw Inputs'!W19</x:f>
        <x:v>0.20190396192076157</x:v>
      </x:c>
      <x:c r="F40" s="266" t="n">
        <x:f>'Raw Inputs'!X19</x:f>
        <x:v>-0.02578621436032929</x:v>
      </x:c>
      <x:c r="G40" s="266" t="n">
        <x:f>'Raw Inputs'!Y19</x:f>
        <x:v>0</x:v>
      </x:c>
      <x:c r="H40" s="266" t="n">
        <x:f>'Raw Inputs'!Z19</x:f>
        <x:v>0</x:v>
      </x:c>
      <x:c r="I40" s="266" t="n">
        <x:f>'Raw Inputs'!AA19</x:f>
        <x:v>0.2361192776144477</x:v>
      </x:c>
      <x:c r="J40" s="266" t="n">
        <x:f>'Raw Inputs'!AB19</x:f>
        <x:v>0.4157709791935509</x:v>
      </x:c>
      <x:c r="K40" s="266" t="n">
        <x:f>'Raw Inputs'!U19</x:f>
        <x:v>0.1949923824166108</x:v>
      </x:c>
      <x:c r="L40" s="236" t="b">
        <x:f>'Raw Inputs'!AC19</x:f>
        <x:v>1</x:v>
      </x:c>
      <x:c r="M40" s="236" t="str">
        <x:f>'Raw Inputs'!R19</x:f>
        <x:v>Fire, Marine &amp; Casualty Insurance</x:v>
      </x:c>
      <x:c r="N40" s="20" t="str">
        <x:f>'Raw Inputs'!CC19</x:f>
        <x:v>https://data.sec.gov/api/xbrl/companyfacts/CIK0000944695.json</x:v>
      </x:c>
    </x:row>
    <x:row r="41">
      <x:c r="A41" s="237" t="n">
        <x:f>RANK(D41,$D$5:$D$121,0)</x:f>
        <x:v>37</x:v>
      </x:c>
      <x:c r="B41" s="236" t="str">
        <x:f>'Raw Inputs'!A29</x:f>
        <x:v>DG</x:v>
      </x:c>
      <x:c r="C41" s="236" t="str">
        <x:f>'Raw Inputs'!B29</x:f>
        <x:v>Dollar General Corp.</x:v>
      </x:c>
      <x:c r="D41" s="238" t="n">
        <x:f>1+9*'Raw Inputs'!V29</x:f>
        <x:v>7.206896551724139</x:v>
      </x:c>
      <x:c r="E41" s="266" t="n">
        <x:f>'Raw Inputs'!W29</x:f>
        <x:v>0.1838013374589783</x:v>
      </x:c>
      <x:c r="F41" s="266" t="n">
        <x:f>'Raw Inputs'!X29</x:f>
        <x:v>-0.13095576965530786</x:v>
      </x:c>
      <x:c r="G41" s="266" t="n">
        <x:f>'Raw Inputs'!Y29</x:f>
        <x:v>0.028740123249854022</x:v>
      </x:c>
      <x:c r="H41" s="266" t="n">
        <x:f>'Raw Inputs'!Z29</x:f>
        <x:v>0.0364269021774631</x:v>
      </x:c>
      <x:c r="I41" s="266" t="n">
        <x:f>'Raw Inputs'!AA29</x:f>
        <x:v>0</x:v>
      </x:c>
      <x:c r="J41" s="266" t="n">
        <x:f>'Raw Inputs'!AB29</x:f>
        <x:v>0.6785881953312037</x:v>
      </x:c>
      <x:c r="K41" s="266" t="n">
        <x:f>'Raw Inputs'!U29</x:f>
        <x:v>0.19468644261778634</x:v>
      </x:c>
      <x:c r="L41" s="236" t="b">
        <x:f>'Raw Inputs'!AC29</x:f>
        <x:v>0</x:v>
      </x:c>
      <x:c r="M41" s="236" t="str">
        <x:f>'Raw Inputs'!R29</x:f>
        <x:v>Retail-Variety Stores</x:v>
      </x:c>
      <x:c r="N41" s="20" t="str">
        <x:f>'Raw Inputs'!CC29</x:f>
        <x:v>https://data.sec.gov/api/xbrl/companyfacts/CIK0000029534.json</x:v>
      </x:c>
    </x:row>
    <x:row r="42">
      <x:c r="A42" s="237" t="n">
        <x:f>RANK(D42,$D$5:$D$121,0)</x:f>
        <x:v>38</x:v>
      </x:c>
      <x:c r="B42" s="236" t="str">
        <x:f>'Raw Inputs'!A36</x:f>
        <x:v>CME</x:v>
      </x:c>
      <x:c r="C42" s="236" t="str">
        <x:f>'Raw Inputs'!B36</x:f>
        <x:v>CME Group Inc.</x:v>
      </x:c>
      <x:c r="D42" s="238" t="n">
        <x:f>1+9*'Raw Inputs'!V36</x:f>
        <x:v>7.129310344827586</x:v>
      </x:c>
      <x:c r="E42" s="266" t="n">
        <x:f>'Raw Inputs'!W36</x:f>
        <x:v>0.14864488551318913</x:v>
      </x:c>
      <x:c r="F42" s="266" t="n">
        <x:f>'Raw Inputs'!X36</x:f>
        <x:v>-0.33520175756129056</x:v>
      </x:c>
      <x:c r="G42" s="266" t="n">
        <x:f>'Raw Inputs'!Y36</x:f>
        <x:v>0</x:v>
      </x:c>
      <x:c r="H42" s="266" t="n">
        <x:f>'Raw Inputs'!Z36</x:f>
        <x:v>0</x:v>
      </x:c>
      <x:c r="I42" s="266" t="n">
        <x:f>'Raw Inputs'!AA36</x:f>
        <x:v>0</x:v>
      </x:c>
      <x:c r="J42" s="266" t="n">
        <x:f>'Raw Inputs'!AB36</x:f>
        <x:v>0.6785881953312037</x:v>
      </x:c>
      <x:c r="K42" s="266" t="n">
        <x:f>'Raw Inputs'!U36</x:f>
        <x:v>0.1716932188849566</x:v>
      </x:c>
      <x:c r="L42" s="236" t="b">
        <x:f>'Raw Inputs'!AC36</x:f>
        <x:v>1</x:v>
      </x:c>
      <x:c r="M42" s="236" t="str">
        <x:f>'Raw Inputs'!R36</x:f>
        <x:v>Security &amp; Commodity Brokers, Dealers, Exchanges &amp; Services</x:v>
      </x:c>
      <x:c r="N42" s="20" t="str">
        <x:f>'Raw Inputs'!CC36</x:f>
        <x:v>https://data.sec.gov/api/xbrl/companyfacts/CIK0001156375.json</x:v>
      </x:c>
    </x:row>
    <x:row r="43">
      <x:c r="A43" s="237" t="n">
        <x:f>RANK(D43,$D$5:$D$121,0)</x:f>
        <x:v>39</x:v>
      </x:c>
      <x:c r="B43" s="236" t="str">
        <x:f>'Raw Inputs'!A3</x:f>
        <x:v>RRC</x:v>
      </x:c>
      <x:c r="C43" s="236" t="str">
        <x:f>'Raw Inputs'!B3</x:f>
        <x:v>Range Resources Corp.</x:v>
      </x:c>
      <x:c r="D43" s="238" t="n">
        <x:f>1+9*'Raw Inputs'!V3</x:f>
        <x:v>7.051724137931035</x:v>
      </x:c>
      <x:c r="E43" s="266" t="n">
        <x:f>'Raw Inputs'!W3</x:f>
        <x:v>0.20899946071497294</x:v>
      </x:c>
      <x:c r="F43" s="266" t="n">
        <x:f>'Raw Inputs'!X3</x:f>
        <x:v>0.015436010315360427</x:v>
      </x:c>
      <x:c r="G43" s="266" t="n">
        <x:f>'Raw Inputs'!Y3</x:f>
        <x:v>0.02528988045260194</x:v>
      </x:c>
      <x:c r="H43" s="266" t="n">
        <x:f>'Raw Inputs'!Z3</x:f>
        <x:v>0.07079808945514425</x:v>
      </x:c>
      <x:c r="I43" s="266" t="n">
        <x:f>'Raw Inputs'!AA3</x:f>
        <x:v>0.2774768499919304</x:v>
      </x:c>
      <x:c r="J43" s="266" t="n">
        <x:f>'Raw Inputs'!AB3</x:f>
        <x:v>0.36973711805236126</x:v>
      </x:c>
      <x:c r="K43" s="266" t="n">
        <x:f>'Raw Inputs'!U3</x:f>
        <x:v>0.1519904059409553</x:v>
      </x:c>
      <x:c r="L43" s="236" t="b">
        <x:f>'Raw Inputs'!AC3</x:f>
        <x:v>0</x:v>
      </x:c>
      <x:c r="M43" s="236" t="str">
        <x:f>'Raw Inputs'!R3</x:f>
        <x:v>Crude Petroleum &amp; Natural Gas</x:v>
      </x:c>
      <x:c r="N43" s="20" t="str">
        <x:f>'Raw Inputs'!CC3</x:f>
        <x:v>https://data.sec.gov/api/xbrl/companyfacts/CIK0000315852.json</x:v>
      </x:c>
    </x:row>
    <x:row r="44">
      <x:c r="A44" s="237" t="n">
        <x:f>RANK(D44,$D$5:$D$121,0)</x:f>
        <x:v>40</x:v>
      </x:c>
      <x:c r="B44" s="236" t="str">
        <x:f>'Raw Inputs'!A49</x:f>
        <x:v>JKHY</x:v>
      </x:c>
      <x:c r="C44" s="236" t="str">
        <x:f>'Raw Inputs'!B49</x:f>
        <x:v>Jack Henry and Associates Inc.</x:v>
      </x:c>
      <x:c r="D44" s="238" t="n">
        <x:f>1+9*'Raw Inputs'!V49</x:f>
        <x:v>6.974137931034483</x:v>
      </x:c>
      <x:c r="E44" s="266" t="n">
        <x:f>'Raw Inputs'!W49</x:f>
        <x:v>0.2436381657493411</x:v>
      </x:c>
      <x:c r="F44" s="266" t="n">
        <x:f>'Raw Inputs'!X49</x:f>
        <x:v>0.2166740800852492</x:v>
      </x:c>
      <x:c r="G44" s="266" t="n">
        <x:f>'Raw Inputs'!Y49</x:f>
        <x:v>0.0765585576559144</x:v>
      </x:c>
      <x:c r="H44" s="266" t="n">
        <x:f>'Raw Inputs'!Z49</x:f>
        <x:v>-0.43993851929525934</x:v>
      </x:c>
      <x:c r="I44" s="266" t="n">
        <x:f>'Raw Inputs'!AA49</x:f>
        <x:v>0</x:v>
      </x:c>
      <x:c r="J44" s="266" t="n">
        <x:f>'Raw Inputs'!AB49</x:f>
        <x:v>0.6785881953312037</x:v>
      </x:c>
      <x:c r="K44" s="266" t="n">
        <x:f>'Raw Inputs'!U49</x:f>
        <x:v>0.1517745853737312</x:v>
      </x:c>
      <x:c r="L44" s="236" t="b">
        <x:f>'Raw Inputs'!AC49</x:f>
        <x:v>0</x:v>
      </x:c>
      <x:c r="M44" s="236" t="str">
        <x:f>'Raw Inputs'!R49</x:f>
        <x:v>Services-Computer Integrated Systems Design</x:v>
      </x:c>
      <x:c r="N44" s="20" t="str">
        <x:f>'Raw Inputs'!CC49</x:f>
        <x:v>https://data.sec.gov/api/xbrl/companyfacts/CIK0000779152.json</x:v>
      </x:c>
    </x:row>
    <x:row r="45">
      <x:c r="A45" s="237" t="n">
        <x:f>RANK(D45,$D$5:$D$121,0)</x:f>
        <x:v>41</x:v>
      </x:c>
      <x:c r="B45" s="236" t="str">
        <x:f>'Raw Inputs'!A72</x:f>
        <x:v>VRTX</x:v>
      </x:c>
      <x:c r="C45" s="236" t="str">
        <x:f>'Raw Inputs'!B72</x:f>
        <x:v>Vertex Pharmaceuticals Inc.</x:v>
      </x:c>
      <x:c r="D45" s="238" t="n">
        <x:f>1+9*'Raw Inputs'!V72</x:f>
        <x:v>6.896551724137931</x:v>
      </x:c>
      <x:c r="E45" s="266" t="n">
        <x:f>'Raw Inputs'!W72</x:f>
        <x:v>0.23241971948697618</x:v>
      </x:c>
      <x:c r="F45" s="266" t="n">
        <x:f>'Raw Inputs'!X72</x:f>
        <x:v>0.1514990549387954</x:v>
      </x:c>
      <x:c r="G45" s="266" t="n">
        <x:f>'Raw Inputs'!Y72</x:f>
        <x:v>0.07227635222371212</x:v>
      </x:c>
      <x:c r="H45" s="266" t="n">
        <x:f>'Raw Inputs'!Z72</x:f>
        <x:v>-0.3972793519494273</x:v>
      </x:c>
      <x:c r="I45" s="266" t="n">
        <x:f>'Raw Inputs'!AA72</x:f>
        <x:v>0</x:v>
      </x:c>
      <x:c r="J45" s="266" t="n">
        <x:f>'Raw Inputs'!AB72</x:f>
        <x:v>0.6785881953312037</x:v>
      </x:c>
      <x:c r="K45" s="266" t="n">
        <x:f>'Raw Inputs'!U72</x:f>
        <x:v>0.1442692994401906</x:v>
      </x:c>
      <x:c r="L45" s="236" t="b">
        <x:f>'Raw Inputs'!AC72</x:f>
        <x:v>0</x:v>
      </x:c>
      <x:c r="M45" s="236" t="str">
        <x:f>'Raw Inputs'!R72</x:f>
        <x:v>Pharmaceutical Preparations</x:v>
      </x:c>
      <x:c r="N45" s="20" t="str">
        <x:f>'Raw Inputs'!CC72</x:f>
        <x:v>https://data.sec.gov/api/xbrl/companyfacts/CIK0000875320.json</x:v>
      </x:c>
    </x:row>
    <x:row r="46">
      <x:c r="A46" s="237" t="n">
        <x:f>RANK(D46,$D$5:$D$121,0)</x:f>
        <x:v>42</x:v>
      </x:c>
      <x:c r="B46" s="236" t="str">
        <x:f>'Raw Inputs'!A64</x:f>
        <x:v>SO</x:v>
      </x:c>
      <x:c r="C46" s="236" t="str">
        <x:f>'Raw Inputs'!B64</x:f>
        <x:v>The Southern Co.</x:v>
      </x:c>
      <x:c r="D46" s="238" t="n">
        <x:f>1+9*'Raw Inputs'!V64</x:f>
        <x:v>6.818965517241379</x:v>
      </x:c>
      <x:c r="E46" s="266" t="n">
        <x:f>'Raw Inputs'!W64</x:f>
        <x:v>0.12114060417592182</x:v>
      </x:c>
      <x:c r="F46" s="266" t="n">
        <x:f>'Raw Inputs'!X64</x:f>
        <x:v>-0.494991463360857</x:v>
      </x:c>
      <x:c r="G46" s="266" t="n">
        <x:f>'Raw Inputs'!Y64</x:f>
        <x:v>0.006699900299102692</x:v>
      </x:c>
      <x:c r="H46" s="266" t="n">
        <x:f>'Raw Inputs'!Z64</x:f>
        <x:v>0.2559907633890461</x:v>
      </x:c>
      <x:c r="I46" s="266" t="n">
        <x:f>'Raw Inputs'!AA64</x:f>
        <x:v>0.02004664593513994</x:v>
      </x:c>
      <x:c r="J46" s="266" t="n">
        <x:f>'Raw Inputs'!AB64</x:f>
        <x:v>0.6562748809301084</x:v>
      </x:c>
      <x:c r="K46" s="266" t="n">
        <x:f>'Raw Inputs'!U64</x:f>
        <x:v>0.13909139365276585</x:v>
      </x:c>
      <x:c r="L46" s="236" t="b">
        <x:f>'Raw Inputs'!AC64</x:f>
        <x:v>0</x:v>
      </x:c>
      <x:c r="M46" s="236" t="str">
        <x:f>'Raw Inputs'!R64</x:f>
        <x:v>Electric Services</x:v>
      </x:c>
      <x:c r="N46" s="20" t="str">
        <x:f>'Raw Inputs'!CC64</x:f>
        <x:v>https://data.sec.gov/api/xbrl/companyfacts/CIK0000092122.json</x:v>
      </x:c>
    </x:row>
    <x:row r="47">
      <x:c r="A47" s="237" t="n">
        <x:f>RANK(D47,$D$5:$D$121,0)</x:f>
        <x:v>43</x:v>
      </x:c>
      <x:c r="B47" s="236" t="str">
        <x:f>'Raw Inputs'!A55</x:f>
        <x:v>TW</x:v>
      </x:c>
      <x:c r="C47" s="236" t="str">
        <x:f>'Raw Inputs'!B55</x:f>
        <x:v>Tradeweb Markets Inc.</x:v>
      </x:c>
      <x:c r="D47" s="238" t="n">
        <x:f>1+9*'Raw Inputs'!V55</x:f>
        <x:v>6.741379310344828</x:v>
      </x:c>
      <x:c r="E47" s="266" t="n">
        <x:f>'Raw Inputs'!W55</x:f>
        <x:v>0.13363963455907604</x:v>
      </x:c>
      <x:c r="F47" s="266" t="n">
        <x:f>'Raw Inputs'!X55</x:f>
        <x:v>-0.42237671792492015</x:v>
      </x:c>
      <x:c r="G47" s="266" t="n">
        <x:f>'Raw Inputs'!Y55</x:f>
        <x:v>0</x:v>
      </x:c>
      <x:c r="H47" s="266" t="n">
        <x:f>'Raw Inputs'!Z55</x:f>
        <x:v>0</x:v>
      </x:c>
      <x:c r="I47" s="266" t="n">
        <x:f>'Raw Inputs'!AA55</x:f>
        <x:v>0</x:v>
      </x:c>
      <x:c r="J47" s="266" t="n">
        <x:f>'Raw Inputs'!AB55</x:f>
        <x:v>0.6785881953312037</x:v>
      </x:c>
      <x:c r="K47" s="266" t="n">
        <x:f>'Raw Inputs'!U55</x:f>
        <x:v>0.1281057387031418</x:v>
      </x:c>
      <x:c r="L47" s="236" t="b">
        <x:f>'Raw Inputs'!AC55</x:f>
        <x:v>1</x:v>
      </x:c>
      <x:c r="M47" s="236" t="str">
        <x:f>'Raw Inputs'!R55</x:f>
        <x:v>Security &amp; Commodity Brokers, Dealers, Exchanges &amp; Services</x:v>
      </x:c>
      <x:c r="N47" s="20" t="str">
        <x:f>'Raw Inputs'!CC55</x:f>
        <x:v>https://data.sec.gov/api/xbrl/companyfacts/CIK0001758730.json</x:v>
      </x:c>
    </x:row>
    <x:row r="48">
      <x:c r="A48" s="237" t="n">
        <x:f>RANK(D48,$D$5:$D$121,0)</x:f>
        <x:v>44</x:v>
      </x:c>
      <x:c r="B48" s="236" t="str">
        <x:f>'Raw Inputs'!A15</x:f>
        <x:v>EG</x:v>
      </x:c>
      <x:c r="C48" s="236" t="str">
        <x:f>'Raw Inputs'!B15</x:f>
        <x:v>Everest Group Ltd.</x:v>
      </x:c>
      <x:c r="D48" s="238" t="n">
        <x:f>1+9*'Raw Inputs'!V15</x:f>
        <x:v>6.663793103448276</x:v>
      </x:c>
      <x:c r="E48" s="266" t="n">
        <x:f>'Raw Inputs'!W15</x:f>
        <x:v>0.13155682038677963</x:v>
      </x:c>
      <x:c r="F48" s="266" t="n">
        <x:f>'Raw Inputs'!X15</x:f>
        <x:v>-0.4344770982164591</x:v>
      </x:c>
      <x:c r="G48" s="266" t="n">
        <x:f>'Raw Inputs'!Y15</x:f>
        <x:v>0</x:v>
      </x:c>
      <x:c r="H48" s="266" t="n">
        <x:f>'Raw Inputs'!Z15</x:f>
        <x:v>0</x:v>
      </x:c>
      <x:c r="I48" s="266" t="n">
        <x:f>'Raw Inputs'!AA15</x:f>
        <x:v>0</x:v>
      </x:c>
      <x:c r="J48" s="266" t="n">
        <x:f>'Raw Inputs'!AB15</x:f>
        <x:v>0.6785881953312037</x:v>
      </x:c>
      <x:c r="K48" s="266" t="n">
        <x:f>'Raw Inputs'!U15</x:f>
        <x:v>0.12205554855737233</x:v>
      </x:c>
      <x:c r="L48" s="236" t="b">
        <x:f>'Raw Inputs'!AC15</x:f>
        <x:v>1</x:v>
      </x:c>
      <x:c r="M48" s="236" t="str">
        <x:f>'Raw Inputs'!R15</x:f>
        <x:v>Fire, Marine &amp; Casualty Insurance</x:v>
      </x:c>
      <x:c r="N48" s="20" t="str">
        <x:f>'Raw Inputs'!CC15</x:f>
        <x:v>https://data.sec.gov/api/xbrl/companyfacts/CIK0001095073.json</x:v>
      </x:c>
    </x:row>
    <x:row r="49">
      <x:c r="A49" s="237" t="n">
        <x:f>RANK(D49,$D$5:$D$121,0)</x:f>
        <x:v>45</x:v>
      </x:c>
      <x:c r="B49" s="236" t="str">
        <x:f>'Raw Inputs'!A80</x:f>
        <x:v>LMT</x:v>
      </x:c>
      <x:c r="C49" s="236" t="str">
        <x:f>'Raw Inputs'!B80</x:f>
        <x:v>Lockheed Martin Corp.</x:v>
      </x:c>
      <x:c r="D49" s="238" t="n">
        <x:f>1+9*'Raw Inputs'!V80</x:f>
        <x:v>6.586206896551724</x:v>
      </x:c>
      <x:c r="E49" s="266" t="n">
        <x:f>'Raw Inputs'!W80</x:f>
        <x:v>0.7131379259038834</x:v>
      </x:c>
      <x:c r="F49" s="266" t="n">
        <x:f>'Raw Inputs'!X80</x:f>
        <x:v>2.9442941050596967</x:v>
      </x:c>
      <x:c r="G49" s="266" t="n">
        <x:f>'Raw Inputs'!Y80</x:f>
        <x:v>0.0031180439470971876</x:v>
      </x:c>
      <x:c r="H49" s="266" t="n">
        <x:f>'Raw Inputs'!Z80</x:f>
        <x:v>0.2916730798841592</x:v>
      </x:c>
      <x:c r="I49" s="266" t="n">
        <x:f>'Raw Inputs'!AA80</x:f>
        <x:v>3.228686207409612</x:v>
      </x:c>
      <x:c r="J49" s="266" t="n">
        <x:f>'Raw Inputs'!AB80</x:f>
        <x:v>-2.9151646290316178</x:v>
      </x:c>
      <x:c r="K49" s="266" t="n">
        <x:f>'Raw Inputs'!U80</x:f>
        <x:v>0.10693418530407937</x:v>
      </x:c>
      <x:c r="L49" s="236" t="b">
        <x:f>'Raw Inputs'!AC80</x:f>
        <x:v>0</x:v>
      </x:c>
      <x:c r="M49" s="236" t="str">
        <x:f>'Raw Inputs'!R80</x:f>
        <x:v>Guided Missiles &amp; Space Vehicles &amp; Parts</x:v>
      </x:c>
      <x:c r="N49" s="20" t="str">
        <x:f>'Raw Inputs'!CC80</x:f>
        <x:v>https://data.sec.gov/api/xbrl/companyfacts/CIK0000936468.json</x:v>
      </x:c>
    </x:row>
    <x:row r="50">
      <x:c r="A50" s="237" t="n">
        <x:f>RANK(D50,$D$5:$D$121,0)</x:f>
        <x:v>46</x:v>
      </x:c>
      <x:c r="B50" s="236" t="str">
        <x:f>'Raw Inputs'!A46</x:f>
        <x:v>SIGI</x:v>
      </x:c>
      <x:c r="C50" s="236" t="str">
        <x:f>'Raw Inputs'!B46</x:f>
        <x:v>Selective Insurance Group Inc.</x:v>
      </x:c>
      <x:c r="D50" s="238" t="n">
        <x:f>1+9*'Raw Inputs'!V46</x:f>
        <x:v>6.508620689655172</x:v>
      </x:c>
      <x:c r="E50" s="266" t="n">
        <x:f>'Raw Inputs'!W46</x:f>
        <x:v>0.12585041459140062</x:v>
      </x:c>
      <x:c r="F50" s="266" t="n">
        <x:f>'Raw Inputs'!X46</x:f>
        <x:v>-0.46762920613869235</x:v>
      </x:c>
      <x:c r="G50" s="266" t="n">
        <x:f>'Raw Inputs'!Y46</x:f>
        <x:v>0</x:v>
      </x:c>
      <x:c r="H50" s="266" t="n">
        <x:f>'Raw Inputs'!Z46</x:f>
        <x:v>0</x:v>
      </x:c>
      <x:c r="I50" s="266" t="n">
        <x:f>'Raw Inputs'!AA46</x:f>
        <x:v>0</x:v>
      </x:c>
      <x:c r="J50" s="266" t="n">
        <x:f>'Raw Inputs'!AB46</x:f>
        <x:v>0.6785881953312037</x:v>
      </x:c>
      <x:c r="K50" s="266" t="n">
        <x:f>'Raw Inputs'!U46</x:f>
        <x:v>0.10547949459625569</x:v>
      </x:c>
      <x:c r="L50" s="236" t="b">
        <x:f>'Raw Inputs'!AC46</x:f>
        <x:v>1</x:v>
      </x:c>
      <x:c r="M50" s="236" t="str">
        <x:f>'Raw Inputs'!R46</x:f>
        <x:v>Fire, Marine &amp; Casualty Insurance</x:v>
      </x:c>
      <x:c r="N50" s="20" t="str">
        <x:f>'Raw Inputs'!CC46</x:f>
        <x:v>https://data.sec.gov/api/xbrl/companyfacts/CIK0000230557.json</x:v>
      </x:c>
    </x:row>
    <x:row r="51">
      <x:c r="A51" s="237" t="n">
        <x:f>RANK(D51,$D$5:$D$121,0)</x:f>
        <x:v>47</x:v>
      </x:c>
      <x:c r="B51" s="236" t="str">
        <x:f>'Raw Inputs'!A56</x:f>
        <x:v>EA</x:v>
      </x:c>
      <x:c r="C51" s="236" t="str">
        <x:f>'Raw Inputs'!B56</x:f>
        <x:v>Electronic Arts Inc.</x:v>
      </x:c>
      <x:c r="D51" s="238" t="n">
        <x:f>1+9*'Raw Inputs'!V56</x:f>
        <x:v>6.431034482758621</x:v>
      </x:c>
      <x:c r="E51" s="266" t="n">
        <x:f>'Raw Inputs'!W56</x:f>
        <x:v>0.13113542282672974</x:v>
      </x:c>
      <x:c r="F51" s="266" t="n">
        <x:f>'Raw Inputs'!X56</x:f>
        <x:v>-0.43692526224297334</x:v>
      </x:c>
      <x:c r="G51" s="266" t="n">
        <x:f>'Raw Inputs'!Y56</x:f>
        <x:v>0.02964822149888231</x:v>
      </x:c>
      <x:c r="H51" s="266" t="n">
        <x:f>'Raw Inputs'!Z56</x:f>
        <x:v>0.027380462022948616</x:v>
      </x:c>
      <x:c r="I51" s="266" t="n">
        <x:f>'Raw Inputs'!AA56</x:f>
        <x:v>0</x:v>
      </x:c>
      <x:c r="J51" s="266" t="n">
        <x:f>'Raw Inputs'!AB56</x:f>
        <x:v>0.6785881953312037</x:v>
      </x:c>
      <x:c r="K51" s="266" t="n">
        <x:f>'Raw Inputs'!U56</x:f>
        <x:v>0.08968113170372634</x:v>
      </x:c>
      <x:c r="L51" s="236" t="b">
        <x:f>'Raw Inputs'!AC56</x:f>
        <x:v>0</x:v>
      </x:c>
      <x:c r="M51" s="236" t="str">
        <x:f>'Raw Inputs'!R56</x:f>
        <x:v>Services-Prepackaged Software</x:v>
      </x:c>
      <x:c r="N51" s="20" t="str">
        <x:f>'Raw Inputs'!CC56</x:f>
        <x:v>https://data.sec.gov/api/xbrl/companyfacts/CIK0000712515.json</x:v>
      </x:c>
    </x:row>
    <x:row r="52">
      <x:c r="A52" s="237" t="n">
        <x:f>RANK(D52,$D$5:$D$121,0)</x:f>
        <x:v>48</x:v>
      </x:c>
      <x:c r="B52" s="236" t="str">
        <x:f>'Raw Inputs'!A53</x:f>
        <x:v>FE</x:v>
      </x:c>
      <x:c r="C52" s="236" t="str">
        <x:f>'Raw Inputs'!B53</x:f>
        <x:v>FirstEnergy Corp.</x:v>
      </x:c>
      <x:c r="D52" s="238" t="n">
        <x:f>1+9*'Raw Inputs'!V53</x:f>
        <x:v>6.353448275862069</x:v>
      </x:c>
      <x:c r="E52" s="266" t="n">
        <x:f>'Raw Inputs'!W53</x:f>
        <x:v>0.08513189448441247</x:v>
      </x:c>
      <x:c r="F52" s="266" t="n">
        <x:f>'Raw Inputs'!X53</x:f>
        <x:v>-0.7041887536762398</x:v>
      </x:c>
      <x:c r="G52" s="266" t="n">
        <x:f>'Raw Inputs'!Y53</x:f>
        <x:v>0.0006484603698076851</x:v>
      </x:c>
      <x:c r="H52" s="266" t="n">
        <x:f>'Raw Inputs'!Z53</x:f>
        <x:v>0.31627497737975196</x:v>
      </x:c>
      <x:c r="I52" s="266" t="n">
        <x:f>'Raw Inputs'!AA53</x:f>
        <x:v>0.02597921662669864</x:v>
      </x:c>
      <x:c r="J52" s="266" t="n">
        <x:f>'Raw Inputs'!AB53</x:f>
        <x:v>0.6496715161839176</x:v>
      </x:c>
      <x:c r="K52" s="266" t="n">
        <x:f>'Raw Inputs'!U53</x:f>
        <x:v>0.0872525799624766</x:v>
      </x:c>
      <x:c r="L52" s="236" t="b">
        <x:f>'Raw Inputs'!AC53</x:f>
        <x:v>0</x:v>
      </x:c>
      <x:c r="M52" s="236" t="str">
        <x:f>'Raw Inputs'!R53</x:f>
        <x:v>Electric Services</x:v>
      </x:c>
      <x:c r="N52" s="20" t="str">
        <x:f>'Raw Inputs'!CC53</x:f>
        <x:v>https://data.sec.gov/api/xbrl/companyfacts/CIK0001031296.json</x:v>
      </x:c>
    </x:row>
    <x:row r="53">
      <x:c r="A53" s="237" t="n">
        <x:f>RANK(D53,$D$5:$D$121,0)</x:f>
        <x:v>49</x:v>
      </x:c>
      <x:c r="B53" s="236" t="str">
        <x:f>'Raw Inputs'!A51</x:f>
        <x:v>INTU</x:v>
      </x:c>
      <x:c r="C53" s="236" t="str">
        <x:f>'Raw Inputs'!B51</x:f>
        <x:v>Intuit Inc.</x:v>
      </x:c>
      <x:c r="D53" s="238" t="n">
        <x:f>1+9*'Raw Inputs'!V51</x:f>
        <x:v>6.275862068965517</x:v>
      </x:c>
      <x:c r="E53" s="266" t="n">
        <x:f>'Raw Inputs'!W51</x:f>
        <x:v>0.232572298325723</x:v>
      </x:c>
      <x:c r="F53" s="266" t="n">
        <x:f>'Raw Inputs'!X51</x:f>
        <x:v>0.1523854815810926</x:v>
      </x:c>
      <x:c r="G53" s="266" t="n">
        <x:f>'Raw Inputs'!Y51</x:f>
        <x:v>0.055984947170357506</x:v>
      </x:c>
      <x:c r="H53" s="266" t="n">
        <x:f>'Raw Inputs'!Z51</x:f>
        <x:v>-0.2349849955779325</x:v>
      </x:c>
      <x:c r="I53" s="266" t="n">
        <x:f>'Raw Inputs'!AA51</x:f>
        <x:v>0.3030441400304414</x:v>
      </x:c>
      <x:c r="J53" s="266" t="n">
        <x:f>'Raw Inputs'!AB51</x:f>
        <x:v>0.34127894191361535</x:v>
      </x:c>
      <x:c r="K53" s="266" t="n">
        <x:f>'Raw Inputs'!U51</x:f>
        <x:v>0.08622647597225848</x:v>
      </x:c>
      <x:c r="L53" s="236" t="b">
        <x:f>'Raw Inputs'!AC51</x:f>
        <x:v>0</x:v>
      </x:c>
      <x:c r="M53" s="236" t="str">
        <x:f>'Raw Inputs'!R51</x:f>
        <x:v>Services-Prepackaged Software</x:v>
      </x:c>
      <x:c r="N53" s="20" t="str">
        <x:f>'Raw Inputs'!CC51</x:f>
        <x:v>https://data.sec.gov/api/xbrl/companyfacts/CIK0000896878.json</x:v>
      </x:c>
    </x:row>
    <x:row r="54">
      <x:c r="A54" s="237" t="n">
        <x:f>RANK(D54,$D$5:$D$121,0)</x:f>
        <x:v>50</x:v>
      </x:c>
      <x:c r="B54" s="236" t="str">
        <x:f>'Raw Inputs'!A23</x:f>
        <x:v>DOX</x:v>
      </x:c>
      <x:c r="C54" s="236" t="str">
        <x:f>'Raw Inputs'!B23</x:f>
        <x:v>Amdocs Ltd.</x:v>
      </x:c>
      <x:c r="D54" s="238" t="n">
        <x:f>1+9*'Raw Inputs'!V23</x:f>
        <x:v>6.198275862068965</x:v>
      </x:c>
      <x:c r="E54" s="266" t="n">
        <x:f>'Raw Inputs'!W23</x:f>
        <x:v>0.14266717501076084</x:v>
      </x:c>
      <x:c r="F54" s="266" t="n">
        <x:f>'Raw Inputs'!X23</x:f>
        <x:v>-0.36993004552581793</x:v>
      </x:c>
      <x:c r="G54" s="266" t="n">
        <x:f>'Raw Inputs'!Y23</x:f>
        <x:v>0.016677600601633105</x:v>
      </x:c>
      <x:c r="H54" s="266" t="n">
        <x:f>'Raw Inputs'!Z23</x:f>
        <x:v>0.15659329316695486</x:v>
      </x:c>
      <x:c r="I54" s="266" t="n">
        <x:f>'Raw Inputs'!AA23</x:f>
        <x:v>0.18695270085762816</x:v>
      </x:c>
      <x:c r="J54" s="266" t="n">
        <x:f>'Raw Inputs'!AB23</x:f>
        <x:v>0.47049680658382953</x:v>
      </x:c>
      <x:c r="K54" s="266" t="n">
        <x:f>'Raw Inputs'!U23</x:f>
        <x:v>0.08572001807498882</x:v>
      </x:c>
      <x:c r="L54" s="236" t="b">
        <x:f>'Raw Inputs'!AC23</x:f>
        <x:v>0</x:v>
      </x:c>
      <x:c r="M54" s="236" t="str">
        <x:f>'Raw Inputs'!R23</x:f>
        <x:v>Services-Computer Programming Services</x:v>
      </x:c>
      <x:c r="N54" s="20" t="str">
        <x:f>'Raw Inputs'!CC23</x:f>
        <x:v>https://data.sec.gov/api/xbrl/companyfacts/CIK0001062579.json</x:v>
      </x:c>
    </x:row>
    <x:row r="55">
      <x:c r="A55" s="237" t="n">
        <x:f>RANK(D55,$D$5:$D$121,0)</x:f>
        <x:v>51</x:v>
      </x:c>
      <x:c r="B55" s="236" t="str">
        <x:f>'Raw Inputs'!A66</x:f>
        <x:v>ACI</x:v>
      </x:c>
      <x:c r="C55" s="236" t="str">
        <x:f>'Raw Inputs'!B66</x:f>
        <x:v>Albertsons Cos. Inc.</x:v>
      </x:c>
      <x:c r="D55" s="238" t="n">
        <x:f>1+9*'Raw Inputs'!V66</x:f>
        <x:v>6.120689655172414</x:v>
      </x:c>
      <x:c r="E55" s="266" t="n">
        <x:f>'Raw Inputs'!W66</x:f>
        <x:v>0.1183966888138547</x:v>
      </x:c>
      <x:c r="F55" s="266" t="n">
        <x:f>'Raw Inputs'!X66</x:f>
        <x:v>-0.5109325971453464</x:v>
      </x:c>
      <x:c r="G55" s="266" t="n">
        <x:f>'Raw Inputs'!Y66</x:f>
        <x:v>0</x:v>
      </x:c>
      <x:c r="H55" s="266" t="n">
        <x:f>'Raw Inputs'!Z66</x:f>
        <x:v>0</x:v>
      </x:c>
      <x:c r="I55" s="266" t="n">
        <x:f>'Raw Inputs'!AA66</x:f>
        <x:v>0</x:v>
      </x:c>
      <x:c r="J55" s="266" t="n">
        <x:f>'Raw Inputs'!AB66</x:f>
        <x:v>0.6785881953312037</x:v>
      </x:c>
      <x:c r="K55" s="266" t="n">
        <x:f>'Raw Inputs'!U66</x:f>
        <x:v>0.08382779909292865</x:v>
      </x:c>
      <x:c r="L55" s="236" t="b">
        <x:f>'Raw Inputs'!AC66</x:f>
        <x:v>0</x:v>
      </x:c>
      <x:c r="M55" s="236" t="str">
        <x:f>'Raw Inputs'!R66</x:f>
        <x:v>Retail-Grocery Stores</x:v>
      </x:c>
      <x:c r="N55" s="20" t="str">
        <x:f>'Raw Inputs'!CC66</x:f>
        <x:v>https://data.sec.gov/api/xbrl/companyfacts/CIK0001646972.json</x:v>
      </x:c>
    </x:row>
    <x:row r="56">
      <x:c r="A56" s="237" t="n">
        <x:f>RANK(D56,$D$5:$D$121,0)</x:f>
        <x:v>52</x:v>
      </x:c>
      <x:c r="B56" s="236" t="str">
        <x:f>'Raw Inputs'!A40</x:f>
        <x:v>REGN</x:v>
      </x:c>
      <x:c r="C56" s="236" t="str">
        <x:f>'Raw Inputs'!B40</x:f>
        <x:v>Regeneron Pharmaceuticals Inc.</x:v>
      </x:c>
      <x:c r="D56" s="238" t="n">
        <x:f>1+9*'Raw Inputs'!V40</x:f>
        <x:v>6.043103448275861</x:v>
      </x:c>
      <x:c r="E56" s="266" t="n">
        <x:f>'Raw Inputs'!W40</x:f>
        <x:v>0.1415175529243143</x:v>
      </x:c>
      <x:c r="F56" s="266" t="n">
        <x:f>'Raw Inputs'!X40</x:f>
        <x:v>-0.37660892481451513</x:v>
      </x:c>
      <x:c r="G56" s="266" t="n">
        <x:f>'Raw Inputs'!Y40</x:f>
        <x:v>0.03255696958940526</x:v>
      </x:c>
      <x:c r="H56" s="266" t="n">
        <x:f>'Raw Inputs'!Z40</x:f>
        <x:v>-0.001596375619488515</x:v>
      </x:c>
      <x:c r="I56" s="266" t="n">
        <x:f>'Raw Inputs'!AA40</x:f>
        <x:v>0.06353477152244784</x:v>
      </x:c>
      <x:c r="J56" s="266" t="n">
        <x:f>'Raw Inputs'!AB40</x:f>
        <x:v>0.6078695655430113</x:v>
      </x:c>
      <x:c r="K56" s="266" t="n">
        <x:f>'Raw Inputs'!U40</x:f>
        <x:v>0.07655475503633588</x:v>
      </x:c>
      <x:c r="L56" s="236" t="b">
        <x:f>'Raw Inputs'!AC40</x:f>
        <x:v>0</x:v>
      </x:c>
      <x:c r="M56" s="236" t="str">
        <x:f>'Raw Inputs'!R40</x:f>
        <x:v>Pharmaceutical Preparations</x:v>
      </x:c>
      <x:c r="N56" s="20" t="str">
        <x:f>'Raw Inputs'!CC40</x:f>
        <x:v>https://data.sec.gov/api/xbrl/companyfacts/CIK0000872589.json</x:v>
      </x:c>
    </x:row>
    <x:row r="57">
      <x:c r="A57" s="237" t="n">
        <x:f>RANK(D57,$D$5:$D$121,0)</x:f>
        <x:v>53</x:v>
      </x:c>
      <x:c r="B57" s="236" t="str">
        <x:f>'Raw Inputs'!A62</x:f>
        <x:v>NOC</x:v>
      </x:c>
      <x:c r="C57" s="236" t="str">
        <x:f>'Raw Inputs'!B62</x:f>
        <x:v>Northrop Grumman Corp.</x:v>
      </x:c>
      <x:c r="D57" s="238" t="n">
        <x:f>1+9*'Raw Inputs'!V62</x:f>
        <x:v>5.9655172413793105</x:v>
      </x:c>
      <x:c r="E57" s="266" t="n">
        <x:f>'Raw Inputs'!W62</x:f>
        <x:v>0.27443924673143816</x:v>
      </x:c>
      <x:c r="F57" s="266" t="n">
        <x:f>'Raw Inputs'!X62</x:f>
        <x:v>0.39561697294204917</x:v>
      </x:c>
      <x:c r="G57" s="266" t="n">
        <x:f>'Raw Inputs'!Y62</x:f>
        <x:v>0.015009529860228717</x:v>
      </x:c>
      <x:c r="H57" s="266" t="n">
        <x:f>'Raw Inputs'!Z62</x:f>
        <x:v>0.17321055033241972</x:v>
      </x:c>
      <x:c r="I57" s="266" t="n">
        <x:f>'Raw Inputs'!AA62</x:f>
        <x:v>0.9413458078445484</x:v>
      </x:c>
      <x:c r="J57" s="266" t="n">
        <x:f>'Raw Inputs'!AB62</x:f>
        <x:v>-0.3691953111240778</x:v>
      </x:c>
      <x:c r="K57" s="266" t="n">
        <x:f>'Raw Inputs'!U62</x:f>
        <x:v>0.06654407071679704</x:v>
      </x:c>
      <x:c r="L57" s="236" t="b">
        <x:f>'Raw Inputs'!AC62</x:f>
        <x:v>0</x:v>
      </x:c>
      <x:c r="M57" s="236" t="str">
        <x:f>'Raw Inputs'!R62</x:f>
        <x:v>Search, Detection, Navigation, Guidance, Aeronautical Sys</x:v>
      </x:c>
      <x:c r="N57" s="20" t="str">
        <x:f>'Raw Inputs'!CC62</x:f>
        <x:v>https://data.sec.gov/api/xbrl/companyfacts/CIK0001133421.json</x:v>
      </x:c>
    </x:row>
    <x:row r="58">
      <x:c r="A58" s="237" t="n">
        <x:f>RANK(D58,$D$5:$D$121,0)</x:f>
        <x:v>54</x:v>
      </x:c>
      <x:c r="B58" s="236" t="str">
        <x:f>'Raw Inputs'!A38</x:f>
        <x:v>CB</x:v>
      </x:c>
      <x:c r="C58" s="236" t="str">
        <x:f>'Raw Inputs'!B38</x:f>
        <x:v>Chubb Ltd.</x:v>
      </x:c>
      <x:c r="D58" s="238" t="n">
        <x:f>1+9*'Raw Inputs'!V38</x:f>
        <x:v>5.887931034482759</x:v>
      </x:c>
      <x:c r="E58" s="266" t="n">
        <x:f>'Raw Inputs'!W38</x:f>
        <x:v>0.15319223938066895</x:v>
      </x:c>
      <x:c r="F58" s="266" t="n">
        <x:f>'Raw Inputs'!X38</x:f>
        <x:v>-0.3087833128202322</x:v>
      </x:c>
      <x:c r="G58" s="266" t="n">
        <x:f>'Raw Inputs'!Y38</x:f>
        <x:v>0</x:v>
      </x:c>
      <x:c r="H58" s="266" t="n">
        <x:f>'Raw Inputs'!Z38</x:f>
        <x:v>0</x:v>
      </x:c>
      <x:c r="I58" s="266" t="n">
        <x:f>'Raw Inputs'!AA38</x:f>
        <x:v>0.2132407771465759</x:v>
      </x:c>
      <x:c r="J58" s="266" t="n">
        <x:f>'Raw Inputs'!AB38</x:f>
        <x:v>0.4412363451014895</x:v>
      </x:c>
      <x:c r="K58" s="266" t="n">
        <x:f>'Raw Inputs'!U38</x:f>
        <x:v>0.06622651614062866</x:v>
      </x:c>
      <x:c r="L58" s="236" t="b">
        <x:f>'Raw Inputs'!AC38</x:f>
        <x:v>1</x:v>
      </x:c>
      <x:c r="M58" s="236" t="str">
        <x:f>'Raw Inputs'!R38</x:f>
        <x:v>Fire, Marine &amp; Casualty Insurance</x:v>
      </x:c>
      <x:c r="N58" s="20" t="str">
        <x:f>'Raw Inputs'!CC38</x:f>
        <x:v>https://data.sec.gov/api/xbrl/companyfacts/CIK0000896159.json</x:v>
      </x:c>
    </x:row>
    <x:row r="59">
      <x:c r="A59" s="237" t="n">
        <x:f>RANK(D59,$D$5:$D$121,0)</x:f>
        <x:v>55</x:v>
      </x:c>
      <x:c r="B59" s="236" t="str">
        <x:f>'Raw Inputs'!A17</x:f>
        <x:v>GD</x:v>
      </x:c>
      <x:c r="C59" s="236" t="str">
        <x:f>'Raw Inputs'!B17</x:f>
        <x:v>General Dynamics Corp.</x:v>
      </x:c>
      <x:c r="D59" s="238" t="n">
        <x:f>1+9*'Raw Inputs'!V17</x:f>
        <x:v>5.810344827586206</x:v>
      </x:c>
      <x:c r="E59" s="266" t="n">
        <x:f>'Raw Inputs'!W17</x:f>
        <x:v>0.16942471313714777</x:v>
      </x:c>
      <x:c r="F59" s="266" t="n">
        <x:f>'Raw Inputs'!X17</x:f>
        <x:v>-0.21447864169863295</x:v>
      </x:c>
      <x:c r="G59" s="266" t="n">
        <x:f>'Raw Inputs'!Y17</x:f>
        <x:v>0</x:v>
      </x:c>
      <x:c r="H59" s="266" t="n">
        <x:f>'Raw Inputs'!Z17</x:f>
        <x:v>0</x:v>
      </x:c>
      <x:c r="I59" s="266" t="n">
        <x:f>'Raw Inputs'!AA17</x:f>
        <x:v>0.31511981890562796</x:v>
      </x:c>
      <x:c r="J59" s="266" t="n">
        <x:f>'Raw Inputs'!AB17</x:f>
        <x:v>0.32783786951574434</x:v>
      </x:c>
      <x:c r="K59" s="266" t="n">
        <x:f>'Raw Inputs'!U17</x:f>
        <x:v>0.05667961390855569</x:v>
      </x:c>
      <x:c r="L59" s="236" t="b">
        <x:f>'Raw Inputs'!AC17</x:f>
        <x:v>0</x:v>
      </x:c>
      <x:c r="M59" s="236" t="str">
        <x:f>'Raw Inputs'!R17</x:f>
        <x:v>Ship &amp; Boat Building &amp; Repairing</x:v>
      </x:c>
      <x:c r="N59" s="20" t="str">
        <x:f>'Raw Inputs'!CC17</x:f>
        <x:v>https://data.sec.gov/api/xbrl/companyfacts/CIK0000040533.json</x:v>
      </x:c>
    </x:row>
    <x:row r="60">
      <x:c r="A60" s="237" t="n">
        <x:f>RANK(D60,$D$5:$D$121,0)</x:f>
        <x:v>56</x:v>
      </x:c>
      <x:c r="B60" s="236" t="str">
        <x:f>'Raw Inputs'!A41</x:f>
        <x:v>BRK-B</x:v>
      </x:c>
      <x:c r="C60" s="236" t="str">
        <x:f>'Raw Inputs'!B41</x:f>
        <x:v>Berkshire Hathaway Inc.</x:v>
      </x:c>
      <x:c r="D60" s="238" t="n">
        <x:f>1+9*'Raw Inputs'!V41</x:f>
        <x:v>5.732758620689655</x:v>
      </x:c>
      <x:c r="E60" s="266" t="n">
        <x:f>'Raw Inputs'!W41</x:f>
        <x:v>0.1010162819774776</x:v>
      </x:c>
      <x:c r="F60" s="266" t="n">
        <x:f>'Raw Inputs'!X41</x:f>
        <x:v>-0.61190633505205</x:v>
      </x:c>
      <x:c r="G60" s="266" t="n">
        <x:f>'Raw Inputs'!Y41</x:f>
        <x:v>0</x:v>
      </x:c>
      <x:c r="H60" s="266" t="n">
        <x:f>'Raw Inputs'!Z41</x:f>
        <x:v>0</x:v>
      </x:c>
      <x:c r="I60" s="266" t="n">
        <x:f>'Raw Inputs'!AA41</x:f>
        <x:v>0</x:v>
      </x:c>
      <x:c r="J60" s="266" t="n">
        <x:f>'Raw Inputs'!AB41</x:f>
        <x:v>0.6785881953312037</x:v>
      </x:c>
      <x:c r="K60" s="266" t="n">
        <x:f>'Raw Inputs'!U41</x:f>
        <x:v>0.03334093013957684</x:v>
      </x:c>
      <x:c r="L60" s="236" t="b">
        <x:f>'Raw Inputs'!AC41</x:f>
        <x:v>1</x:v>
      </x:c>
      <x:c r="M60" s="236" t="str">
        <x:f>'Raw Inputs'!R41</x:f>
        <x:v>Fire, Marine &amp; Casualty Insurance</x:v>
      </x:c>
      <x:c r="N60" s="20" t="str">
        <x:f>'Raw Inputs'!CC41</x:f>
        <x:v>https://data.sec.gov/api/xbrl/companyfacts/CIK0001067983.json</x:v>
      </x:c>
    </x:row>
    <x:row r="61">
      <x:c r="A61" s="237" t="n">
        <x:f>RANK(D61,$D$5:$D$121,0)</x:f>
        <x:v>57</x:v>
      </x:c>
      <x:c r="B61" s="236" t="str">
        <x:f>'Raw Inputs'!A39</x:f>
        <x:v>LHX</x:v>
      </x:c>
      <x:c r="C61" s="236" t="str">
        <x:f>'Raw Inputs'!B39</x:f>
        <x:v>L3Harris Technologies Inc.</x:v>
      </x:c>
      <x:c r="D61" s="238" t="n">
        <x:f>1+9*'Raw Inputs'!V39</x:f>
        <x:v>5.655172413793104</x:v>
      </x:c>
      <x:c r="E61" s="266" t="n">
        <x:f>'Raw Inputs'!W39</x:f>
        <x:v>0.08820982938629997</x:v>
      </x:c>
      <x:c r="F61" s="266" t="n">
        <x:f>'Raw Inputs'!X39</x:f>
        <x:v>-0.6863070898577266</x:v>
      </x:c>
      <x:c r="G61" s="266" t="n">
        <x:f>'Raw Inputs'!Y39</x:f>
        <x:v>-0.03728544641569306</x:v>
      </x:c>
      <x:c r="H61" s="266" t="n">
        <x:f>'Raw Inputs'!Z39</x:f>
        <x:v>0.6941711113379109</x:v>
      </x:c>
      <x:c r="I61" s="266" t="n">
        <x:f>'Raw Inputs'!AA39</x:f>
        <x:v>0.5318563789152024</x:v>
      </x:c>
      <x:c r="J61" s="266" t="n">
        <x:f>'Raw Inputs'!AB39</x:f>
        <x:v>0.08659496926437454</x:v>
      </x:c>
      <x:c r="K61" s="266" t="n">
        <x:f>'Raw Inputs'!U39</x:f>
        <x:v>0.03148633024818628</x:v>
      </x:c>
      <x:c r="L61" s="236" t="b">
        <x:f>'Raw Inputs'!AC39</x:f>
        <x:v>0</x:v>
      </x:c>
      <x:c r="M61" s="236" t="str">
        <x:f>'Raw Inputs'!R39</x:f>
        <x:v>Search, Detection, Navigation, Guidance, Aeronautical Sys</x:v>
      </x:c>
      <x:c r="N61" s="20" t="str">
        <x:f>'Raw Inputs'!CC39</x:f>
        <x:v>https://data.sec.gov/api/xbrl/companyfacts/CIK0000202058.json</x:v>
      </x:c>
    </x:row>
    <x:row r="62">
      <x:c r="A62" s="237" t="n">
        <x:f>RANK(D62,$D$5:$D$121,0)</x:f>
        <x:v>58</x:v>
      </x:c>
      <x:c r="B62" s="236" t="str">
        <x:f>'Raw Inputs'!A35</x:f>
        <x:v>AR</x:v>
      </x:c>
      <x:c r="C62" s="236" t="str">
        <x:f>'Raw Inputs'!B35</x:f>
        <x:v>Antero Resources Corp.</x:v>
      </x:c>
      <x:c r="D62" s="238" t="n">
        <x:f>1+9*'Raw Inputs'!V35</x:f>
        <x:v>5.577586206896552</x:v>
      </x:c>
      <x:c r="E62" s="266" t="n">
        <x:f>'Raw Inputs'!W35</x:f>
        <x:v>0.13287471690187047</x:v>
      </x:c>
      <x:c r="F62" s="266" t="n">
        <x:f>'Raw Inputs'!X35</x:f>
        <x:v>-0.4268206067110692</x:v>
      </x:c>
      <x:c r="G62" s="266" t="n">
        <x:f>'Raw Inputs'!Y35</x:f>
        <x:v>0.03106874125253276</x:v>
      </x:c>
      <x:c r="H62" s="266" t="n">
        <x:f>'Raw Inputs'!Z35</x:f>
        <x:v>0.013229298364770322</x:v>
      </x:c>
      <x:c r="I62" s="266" t="n">
        <x:f>'Raw Inputs'!AA35</x:f>
        <x:v>0.18514210430195263</x:v>
      </x:c>
      <x:c r="J62" s="266" t="n">
        <x:f>'Raw Inputs'!AB35</x:f>
        <x:v>0.47251212676911347</x:v>
      </x:c>
      <x:c r="K62" s="266" t="n">
        <x:f>'Raw Inputs'!U35</x:f>
        <x:v>0.019640272807604865</x:v>
      </x:c>
      <x:c r="L62" s="236" t="b">
        <x:f>'Raw Inputs'!AC35</x:f>
        <x:v>0</x:v>
      </x:c>
      <x:c r="M62" s="236" t="str">
        <x:f>'Raw Inputs'!R35</x:f>
        <x:v>Crude Petroleum &amp; Natural Gas</x:v>
      </x:c>
      <x:c r="N62" s="20" t="str">
        <x:f>'Raw Inputs'!CC35</x:f>
        <x:v>https://data.sec.gov/api/xbrl/companyfacts/CIK0001433270.json</x:v>
      </x:c>
    </x:row>
    <x:row r="63">
      <x:c r="A63" s="237" t="n">
        <x:f>RANK(D63,$D$5:$D$121,0)</x:f>
        <x:v>59</x:v>
      </x:c>
      <x:c r="B63" s="236" t="str">
        <x:f>'Raw Inputs'!A70</x:f>
        <x:v>TYL</x:v>
      </x:c>
      <x:c r="C63" s="236" t="str">
        <x:f>'Raw Inputs'!B70</x:f>
        <x:v>Tyler Technologies Inc.</x:v>
      </x:c>
      <x:c r="D63" s="238" t="n">
        <x:f>1+9*'Raw Inputs'!V70</x:f>
        <x:v>5.5</x:v>
      </x:c>
      <x:c r="E63" s="266" t="n">
        <x:f>'Raw Inputs'!W70</x:f>
        <x:v>0.08526842874384687</x:v>
      </x:c>
      <x:c r="F63" s="266" t="n">
        <x:f>'Raw Inputs'!X70</x:f>
        <x:v>-0.7033955401078117</x:v>
      </x:c>
      <x:c r="G63" s="266" t="n">
        <x:f>'Raw Inputs'!Y70</x:f>
        <x:v>0.008395844946858388</x:v>
      </x:c>
      <x:c r="H63" s="266" t="n">
        <x:f>'Raw Inputs'!Z70</x:f>
        <x:v>0.2390958274306208</x:v>
      </x:c>
      <x:c r="I63" s="266" t="n">
        <x:f>'Raw Inputs'!AA70</x:f>
        <x:v>0.1619490065461467</x:v>
      </x:c>
      <x:c r="J63" s="266" t="n">
        <x:f>'Raw Inputs'!AB70</x:f>
        <x:v>0.49832766138947004</x:v>
      </x:c>
      <x:c r="K63" s="266" t="n">
        <x:f>'Raw Inputs'!U70</x:f>
        <x:v>0.011342649570759719</x:v>
      </x:c>
      <x:c r="L63" s="236" t="b">
        <x:f>'Raw Inputs'!AC70</x:f>
        <x:v>0</x:v>
      </x:c>
      <x:c r="M63" s="236" t="str">
        <x:f>'Raw Inputs'!R70</x:f>
        <x:v>Services-Prepackaged Software</x:v>
      </x:c>
      <x:c r="N63" s="20" t="str">
        <x:f>'Raw Inputs'!CC70</x:f>
        <x:v>https://data.sec.gov/api/xbrl/companyfacts/CIK0000860731.json</x:v>
      </x:c>
    </x:row>
    <x:row r="64">
      <x:c r="A64" s="237" t="n">
        <x:f>RANK(D64,$D$5:$D$121,0)</x:f>
        <x:v>60</x:v>
      </x:c>
      <x:c r="B64" s="236" t="str">
        <x:f>'Raw Inputs'!A59</x:f>
        <x:v>DLB</x:v>
      </x:c>
      <x:c r="C64" s="236" t="str">
        <x:f>'Raw Inputs'!B59</x:f>
        <x:v>Dolby Laboratories Inc.</x:v>
      </x:c>
      <x:c r="D64" s="238" t="n">
        <x:f>1+9*'Raw Inputs'!V59</x:f>
        <x:v>5.422413793103448</x:v>
      </x:c>
      <x:c r="E64" s="266" t="n">
        <x:f>'Raw Inputs'!W59</x:f>
        <x:v>0.09290360514566509</x:v>
      </x:c>
      <x:c r="F64" s="266" t="n">
        <x:f>'Raw Inputs'!X59</x:f>
        <x:v>-0.6590379880593151</x:v>
      </x:c>
      <x:c r="G64" s="266" t="n">
        <x:f>'Raw Inputs'!Y59</x:f>
        <x:v>0</x:v>
      </x:c>
      <x:c r="H64" s="266" t="n">
        <x:f>'Raw Inputs'!Z59</x:f>
        <x:v>0</x:v>
      </x:c>
      <x:c r="I64" s="266" t="n">
        <x:f>'Raw Inputs'!AA59</x:f>
        <x:v>0</x:v>
      </x:c>
      <x:c r="J64" s="266" t="n">
        <x:f>'Raw Inputs'!AB59</x:f>
        <x:v>0.6785881953312037</x:v>
      </x:c>
      <x:c r="K64" s="266" t="n">
        <x:f>'Raw Inputs'!U59</x:f>
        <x:v>0.009775103635944304</x:v>
      </x:c>
      <x:c r="L64" s="236" t="b">
        <x:f>'Raw Inputs'!AC59</x:f>
        <x:v>1</x:v>
      </x:c>
      <x:c r="M64" s="236" t="str">
        <x:f>'Raw Inputs'!R59</x:f>
        <x:v>Patent Owners &amp; Lessors</x:v>
      </x:c>
      <x:c r="N64" s="20" t="str">
        <x:f>'Raw Inputs'!CC59</x:f>
        <x:v>https://data.sec.gov/api/xbrl/companyfacts/CIK0001308547.json</x:v>
      </x:c>
    </x:row>
    <x:row r="65">
      <x:c r="A65" s="237" t="n">
        <x:f>RANK(D65,$D$5:$D$121,0)</x:f>
        <x:v>61</x:v>
      </x:c>
      <x:c r="B65" s="236" t="str">
        <x:f>'Raw Inputs'!A74</x:f>
        <x:v>ENSG</x:v>
      </x:c>
      <x:c r="C65" s="236" t="str">
        <x:f>'Raw Inputs'!B74</x:f>
        <x:v>The Ensign Group Inc.</x:v>
      </x:c>
      <x:c r="D65" s="238" t="n">
        <x:f>1+9*'Raw Inputs'!V74</x:f>
        <x:v>5.344827586206897</x:v>
      </x:c>
      <x:c r="E65" s="266" t="n">
        <x:f>'Raw Inputs'!W74</x:f>
        <x:v>0.162816655277868</x:v>
      </x:c>
      <x:c r="F65" s="266" t="n">
        <x:f>'Raw Inputs'!X74</x:f>
        <x:v>-0.25286901475703094</x:v>
      </x:c>
      <x:c r="G65" s="266" t="n">
        <x:f>'Raw Inputs'!Y74</x:f>
        <x:v>0.0692885325639937</x:v>
      </x:c>
      <x:c r="H65" s="266" t="n">
        <x:f>'Raw Inputs'!Z74</x:f>
        <x:v>-0.36751480634761924</x:v>
      </x:c>
      <x:c r="I65" s="266" t="n">
        <x:f>'Raw Inputs'!AA74</x:f>
        <x:v>0.06468180443379</x:v>
      </x:c>
      <x:c r="J65" s="266" t="n">
        <x:f>'Raw Inputs'!AB74</x:f>
        <x:v>0.6065928379516731</x:v>
      </x:c>
      <x:c r="K65" s="266" t="n">
        <x:f>'Raw Inputs'!U74</x:f>
        <x:v>-0.004596994384325703</x:v>
      </x:c>
      <x:c r="L65" s="236" t="b">
        <x:f>'Raw Inputs'!AC74</x:f>
        <x:v>0</x:v>
      </x:c>
      <x:c r="M65" s="236" t="str">
        <x:f>'Raw Inputs'!R74</x:f>
        <x:v>Services-Skilled Nursing Care Facilities</x:v>
      </x:c>
      <x:c r="N65" s="20" t="str">
        <x:f>'Raw Inputs'!CC74</x:f>
        <x:v>https://data.sec.gov/api/xbrl/companyfacts/CIK0001125376.json</x:v>
      </x:c>
    </x:row>
    <x:row r="66">
      <x:c r="A66" s="237" t="n">
        <x:f>RANK(D66,$D$5:$D$121,0)</x:f>
        <x:v>62</x:v>
      </x:c>
      <x:c r="B66" s="236" t="str">
        <x:f>'Raw Inputs'!A67</x:f>
        <x:v>L</x:v>
      </x:c>
      <x:c r="C66" s="236" t="str">
        <x:f>'Raw Inputs'!B67</x:f>
        <x:v>Loews Corp.</x:v>
      </x:c>
      <x:c r="D66" s="238" t="n">
        <x:f>1+9*'Raw Inputs'!V67</x:f>
        <x:v>5.267241379310345</x:v>
      </x:c>
      <x:c r="E66" s="266" t="n">
        <x:f>'Raw Inputs'!W67</x:f>
        <x:v>0.08744514609868351</x:v>
      </x:c>
      <x:c r="F66" s="266" t="n">
        <x:f>'Raw Inputs'!X67</x:f>
        <x:v>-0.6907496170432131</x:v>
      </x:c>
      <x:c r="G66" s="266" t="n">
        <x:f>'Raw Inputs'!Y67</x:f>
        <x:v>0</x:v>
      </x:c>
      <x:c r="H66" s="266" t="n">
        <x:f>'Raw Inputs'!Z67</x:f>
        <x:v>0</x:v>
      </x:c>
      <x:c r="I66" s="266" t="n">
        <x:f>'Raw Inputs'!AA67</x:f>
        <x:v>0</x:v>
      </x:c>
      <x:c r="J66" s="266" t="n">
        <x:f>'Raw Inputs'!AB67</x:f>
        <x:v>0.6785881953312037</x:v>
      </x:c>
      <x:c r="K66" s="266" t="n">
        <x:f>'Raw Inputs'!U67</x:f>
        <x:v>-0.006080710856004701</x:v>
      </x:c>
      <x:c r="L66" s="236" t="b">
        <x:f>'Raw Inputs'!AC67</x:f>
        <x:v>1</x:v>
      </x:c>
      <x:c r="M66" s="236" t="str">
        <x:f>'Raw Inputs'!R67</x:f>
        <x:v>Fire, Marine &amp; Casualty Insurance</x:v>
      </x:c>
      <x:c r="N66" s="20" t="str">
        <x:f>'Raw Inputs'!CC67</x:f>
        <x:v>https://data.sec.gov/api/xbrl/companyfacts/CIK0000060086.json</x:v>
      </x:c>
    </x:row>
    <x:row r="67">
      <x:c r="A67" s="237" t="n">
        <x:f>RANK(D67,$D$5:$D$121,0)</x:f>
        <x:v>63</x:v>
      </x:c>
      <x:c r="B67" s="236" t="str">
        <x:f>'Raw Inputs'!A37</x:f>
        <x:v>BF-B</x:v>
      </x:c>
      <x:c r="C67" s="236" t="str">
        <x:f>'Raw Inputs'!B37</x:f>
        <x:v>Brown-Forman Corp.</x:v>
      </x:c>
      <x:c r="D67" s="238" t="n">
        <x:f>1+9*'Raw Inputs'!V37</x:f>
        <x:v>5.189655172413793</x:v>
      </x:c>
      <x:c r="E67" s="266" t="n">
        <x:f>'Raw Inputs'!W37</x:f>
        <x:v>0.17786069651741293</x:v>
      </x:c>
      <x:c r="F67" s="266" t="n">
        <x:f>'Raw Inputs'!X37</x:f>
        <x:v>-0.1654686971764275</x:v>
      </x:c>
      <x:c r="G67" s="266" t="n">
        <x:f>'Raw Inputs'!Y37</x:f>
        <x:v>0.022027534418022528</x:v>
      </x:c>
      <x:c r="H67" s="266" t="n">
        <x:f>'Raw Inputs'!Z37</x:f>
        <x:v>0.10329745634272532</x:v>
      </x:c>
      <x:c r="I67" s="266" t="n">
        <x:f>'Raw Inputs'!AA37</x:f>
        <x:v>0.6054726368159205</x:v>
      </x:c>
      <x:c r="J67" s="266" t="n">
        <x:f>'Raw Inputs'!AB37</x:f>
        <x:v>0.004654942344885294</x:v>
      </x:c>
      <x:c r="K67" s="266" t="n">
        <x:f>'Raw Inputs'!U37</x:f>
        <x:v>-0.0191720994962723</x:v>
      </x:c>
      <x:c r="L67" s="236" t="b">
        <x:f>'Raw Inputs'!AC37</x:f>
        <x:v>0</x:v>
      </x:c>
      <x:c r="M67" s="236" t="str">
        <x:f>'Raw Inputs'!R37</x:f>
        <x:v>Beverages</x:v>
      </x:c>
      <x:c r="N67" s="20" t="str">
        <x:f>'Raw Inputs'!CC37</x:f>
        <x:v>https://data.sec.gov/api/xbrl/companyfacts/CIK0000014693.json</x:v>
      </x:c>
    </x:row>
    <x:row r="68">
      <x:c r="A68" s="237" t="n">
        <x:f>RANK(D68,$D$5:$D$121,0)</x:f>
        <x:v>64</x:v>
      </x:c>
      <x:c r="B68" s="236" t="str">
        <x:f>'Raw Inputs'!A77</x:f>
        <x:v>G</x:v>
      </x:c>
      <x:c r="C68" s="236" t="str">
        <x:f>'Raw Inputs'!B77</x:f>
        <x:v>Genpact Ltd.</x:v>
      </x:c>
      <x:c r="D68" s="238" t="n">
        <x:f>1+9*'Raw Inputs'!V77</x:f>
        <x:v>5.112068965517242</x:v>
      </x:c>
      <x:c r="E68" s="266" t="n">
        <x:f>'Raw Inputs'!W77</x:f>
        <x:v>0.22343797621480496</x:v>
      </x:c>
      <x:c r="F68" s="266" t="n">
        <x:f>'Raw Inputs'!X77</x:f>
        <x:v>0.09931844722072196</x:v>
      </x:c>
      <x:c r="G68" s="266" t="n">
        <x:f>'Raw Inputs'!Y77</x:f>
        <x:v>0.0507941520273452</x:v>
      </x:c>
      <x:c r="H68" s="266" t="n">
        <x:f>'Raw Inputs'!Z77</x:f>
        <x:v>-0.18327449215404307</x:v>
      </x:c>
      <x:c r="I68" s="266" t="n">
        <x:f>'Raw Inputs'!AA77</x:f>
        <x:v>0.6049660292751121</x:v>
      </x:c>
      <x:c r="J68" s="266" t="n">
        <x:f>'Raw Inputs'!AB77</x:f>
        <x:v>0.005218831854012956</x:v>
      </x:c>
      <x:c r="K68" s="266" t="n">
        <x:f>'Raw Inputs'!U77</x:f>
        <x:v>-0.02624573769310272</x:v>
      </x:c>
      <x:c r="L68" s="236" t="b">
        <x:f>'Raw Inputs'!AC77</x:f>
        <x:v>0</x:v>
      </x:c>
      <x:c r="M68" s="236" t="str">
        <x:f>'Raw Inputs'!R77</x:f>
        <x:v>Services-Management Consulting Services</x:v>
      </x:c>
      <x:c r="N68" s="20" t="str">
        <x:f>'Raw Inputs'!CC77</x:f>
        <x:v>https://data.sec.gov/api/xbrl/companyfacts/CIK0001398659.json</x:v>
      </x:c>
    </x:row>
    <x:row r="69">
      <x:c r="A69" s="237" t="n">
        <x:f>RANK(D69,$D$5:$D$121,0)</x:f>
        <x:v>65</x:v>
      </x:c>
      <x:c r="B69" s="236" t="str">
        <x:f>'Raw Inputs'!A104</x:f>
        <x:v>AWK</x:v>
      </x:c>
      <x:c r="C69" s="236" t="str">
        <x:f>'Raw Inputs'!B104</x:f>
        <x:v>American Water Works Co. Inc.</x:v>
      </x:c>
      <x:c r="D69" s="238" t="n">
        <x:f>1+9*'Raw Inputs'!V104</x:f>
        <x:v>5.0344827586206895</x:v>
      </x:c>
      <x:c r="E69" s="266" t="n">
        <x:f>'Raw Inputs'!W104</x:f>
        <x:v>0.1016886592230322</x:v>
      </x:c>
      <x:c r="F69" s="266" t="n">
        <x:f>'Raw Inputs'!X104</x:f>
        <x:v>-0.6080000718439321</x:v>
      </x:c>
      <x:c r="G69" s="266" t="n">
        <x:f>'Raw Inputs'!Y104</x:f>
        <x:v>0</x:v>
      </x:c>
      <x:c r="H69" s="266" t="n">
        <x:f>'Raw Inputs'!Z104</x:f>
        <x:v>0</x:v>
      </x:c>
      <x:c r="I69" s="266" t="n">
        <x:f>'Raw Inputs'!AA104</x:f>
        <x:v>0.14653501891667436</x:v>
      </x:c>
      <x:c r="J69" s="266" t="n">
        <x:f>'Raw Inputs'!AB104</x:f>
        <x:v>0.5154845041482938</x:v>
      </x:c>
      <x:c r="K69" s="266" t="n">
        <x:f>'Raw Inputs'!U104</x:f>
        <x:v>-0.046257783847819145</x:v>
      </x:c>
      <x:c r="L69" s="236" t="b">
        <x:f>'Raw Inputs'!AC104</x:f>
        <x:v>0</x:v>
      </x:c>
      <x:c r="M69" s="236" t="str">
        <x:f>'Raw Inputs'!R104</x:f>
        <x:v>Water Supply</x:v>
      </x:c>
      <x:c r="N69" s="20" t="str">
        <x:f>'Raw Inputs'!CC104</x:f>
        <x:v>https://data.sec.gov/api/xbrl/companyfacts/CIK0001410636.json</x:v>
      </x:c>
    </x:row>
    <x:row r="70">
      <x:c r="A70" s="237" t="n">
        <x:f>RANK(D70,$D$5:$D$121,0)</x:f>
        <x:v>66</x:v>
      </x:c>
      <x:c r="B70" s="236" t="str">
        <x:f>'Raw Inputs'!A83</x:f>
        <x:v>ABT</x:v>
      </x:c>
      <x:c r="C70" s="236" t="str">
        <x:f>'Raw Inputs'!B83</x:f>
        <x:v>Abbott Laboratories</x:v>
      </x:c>
      <x:c r="D70" s="238" t="n">
        <x:f>1+9*'Raw Inputs'!V83</x:f>
        <x:v>4.956896551724138</x:v>
      </x:c>
      <x:c r="E70" s="266" t="n">
        <x:f>'Raw Inputs'!W83</x:f>
        <x:v>0.12039132936888548</x:v>
      </x:c>
      <x:c r="F70" s="266" t="n">
        <x:f>'Raw Inputs'!X83</x:f>
        <x:v>-0.49934447297093315</x:v>
      </x:c>
      <x:c r="G70" s="266" t="n">
        <x:f>'Raw Inputs'!Y83</x:f>
        <x:v>0</x:v>
      </x:c>
      <x:c r="H70" s="266" t="n">
        <x:f>'Raw Inputs'!Z83</x:f>
        <x:v>0</x:v>
      </x:c>
      <x:c r="I70" s="266" t="n">
        <x:f>'Raw Inputs'!AA83</x:f>
        <x:v>0.24801457893727222</x:v>
      </x:c>
      <x:c r="J70" s="266" t="n">
        <x:f>'Raw Inputs'!AB83</x:f>
        <x:v>0.40253067958579036</x:v>
      </x:c>
      <x:c r="K70" s="266" t="n">
        <x:f>'Raw Inputs'!U83</x:f>
        <x:v>-0.048406896692571394</x:v>
      </x:c>
      <x:c r="L70" s="236" t="b">
        <x:f>'Raw Inputs'!AC83</x:f>
        <x:v>0</x:v>
      </x:c>
      <x:c r="M70" s="236" t="str">
        <x:f>'Raw Inputs'!R83</x:f>
        <x:v>Pharmaceutical Preparations</x:v>
      </x:c>
      <x:c r="N70" s="20" t="str">
        <x:f>'Raw Inputs'!CC83</x:f>
        <x:v>https://data.sec.gov/api/xbrl/companyfacts/CIK0000001800.json</x:v>
      </x:c>
    </x:row>
    <x:row r="71">
      <x:c r="A71" s="237" t="n">
        <x:f>RANK(D71,$D$5:$D$121,0)</x:f>
        <x:v>67</x:v>
      </x:c>
      <x:c r="B71" s="236" t="str">
        <x:f>'Raw Inputs'!A50</x:f>
        <x:v>FCN</x:v>
      </x:c>
      <x:c r="C71" s="236" t="str">
        <x:f>'Raw Inputs'!B50</x:f>
        <x:v>FTI Consulting Inc.</x:v>
      </x:c>
      <x:c r="D71" s="238" t="n">
        <x:f>1+9*'Raw Inputs'!V50</x:f>
        <x:v>4.879310344827585</x:v>
      </x:c>
      <x:c r="E71" s="266" t="n">
        <x:f>'Raw Inputs'!W50</x:f>
        <x:v>0.15381740304580122</x:v>
      </x:c>
      <x:c r="F71" s="266" t="n">
        <x:f>'Raw Inputs'!X50</x:f>
        <x:v>-0.3051513430587569</x:v>
      </x:c>
      <x:c r="G71" s="266" t="n">
        <x:f>'Raw Inputs'!Y50</x:f>
        <x:v>0.06655314998903682</x:v>
      </x:c>
      <x:c r="H71" s="266" t="n">
        <x:f>'Raw Inputs'!Z50</x:f>
        <x:v>-0.3402650293653069</x:v>
      </x:c>
      <x:c r="I71" s="266" t="n">
        <x:f>'Raw Inputs'!AA50</x:f>
        <x:v>0.21052862295246494</x:v>
      </x:c>
      <x:c r="J71" s="266" t="n">
        <x:f>'Raw Inputs'!AB50</x:f>
        <x:v>0.4442551617869963</x:v>
      </x:c>
      <x:c r="K71" s="266" t="n">
        <x:f>'Raw Inputs'!U50</x:f>
        <x:v>-0.0670537368790225</x:v>
      </x:c>
      <x:c r="L71" s="236" t="b">
        <x:f>'Raw Inputs'!AC50</x:f>
        <x:v>0</x:v>
      </x:c>
      <x:c r="M71" s="236" t="str">
        <x:f>'Raw Inputs'!R50</x:f>
        <x:v>Services-Management Consulting Services</x:v>
      </x:c>
      <x:c r="N71" s="20" t="str">
        <x:f>'Raw Inputs'!CC50</x:f>
        <x:v>https://data.sec.gov/api/xbrl/companyfacts/CIK0000887936.json</x:v>
      </x:c>
    </x:row>
    <x:row r="72">
      <x:c r="A72" s="237" t="n">
        <x:f>RANK(D72,$D$5:$D$121,0)</x:f>
        <x:v>68</x:v>
      </x:c>
      <x:c r="B72" s="236" t="str">
        <x:f>'Raw Inputs'!A58</x:f>
        <x:v>CNA</x:v>
      </x:c>
      <x:c r="C72" s="236" t="str">
        <x:f>'Raw Inputs'!B58</x:f>
        <x:v>CNA Financial Corp.</x:v>
      </x:c>
      <x:c r="D72" s="238" t="n">
        <x:f>1+9*'Raw Inputs'!V58</x:f>
        <x:v>4.801724137931035</x:v>
      </x:c>
      <x:c r="E72" s="266" t="n">
        <x:f>'Raw Inputs'!W58</x:f>
        <x:v>0.10455210394974615</x:v>
      </x:c>
      <x:c r="F72" s="266" t="n">
        <x:f>'Raw Inputs'!X58</x:f>
        <x:v>-0.5913645166427505</x:v>
      </x:c>
      <x:c r="G72" s="266" t="n">
        <x:f>'Raw Inputs'!Y58</x:f>
        <x:v>0</x:v>
      </x:c>
      <x:c r="H72" s="266" t="n">
        <x:f>'Raw Inputs'!Z58</x:f>
        <x:v>0</x:v>
      </x:c>
      <x:c r="I72" s="266" t="n">
        <x:f>'Raw Inputs'!AA58</x:f>
        <x:v>0.255657860769297</x:v>
      </x:c>
      <x:c r="J72" s="266" t="n">
        <x:f>'Raw Inputs'!AB58</x:f>
        <x:v>0.39402317408457355</x:v>
      </x:c>
      <x:c r="K72" s="266" t="n">
        <x:f>'Raw Inputs'!U58</x:f>
        <x:v>-0.09867067127908846</x:v>
      </x:c>
      <x:c r="L72" s="236" t="b">
        <x:f>'Raw Inputs'!AC58</x:f>
        <x:v>1</x:v>
      </x:c>
      <x:c r="M72" s="236" t="str">
        <x:f>'Raw Inputs'!R58</x:f>
        <x:v>Fire, Marine &amp; Casualty Insurance</x:v>
      </x:c>
      <x:c r="N72" s="20" t="str">
        <x:f>'Raw Inputs'!CC58</x:f>
        <x:v>https://data.sec.gov/api/xbrl/companyfacts/CIK0000021175.json</x:v>
      </x:c>
    </x:row>
    <x:row r="73">
      <x:c r="A73" s="237" t="n">
        <x:f>RANK(D73,$D$5:$D$121,0)</x:f>
        <x:v>69</x:v>
      </x:c>
      <x:c r="B73" s="236" t="str">
        <x:f>'Raw Inputs'!A92</x:f>
        <x:v>LIN</x:v>
      </x:c>
      <x:c r="C73" s="236" t="str">
        <x:f>'Raw Inputs'!B92</x:f>
        <x:v>Linde PLC</x:v>
      </x:c>
      <x:c r="D73" s="238" t="n">
        <x:f>1+9*'Raw Inputs'!V92</x:f>
        <x:v>4.724137931034482</x:v>
      </x:c>
      <x:c r="E73" s="266" t="n">
        <x:f>'Raw Inputs'!W92</x:f>
        <x:v>0.18517453261864297</x:v>
      </x:c>
      <x:c r="F73" s="266" t="n">
        <x:f>'Raw Inputs'!X92</x:f>
        <x:v>-0.1229780134697319</x:v>
      </x:c>
      <x:c r="G73" s="266" t="n">
        <x:f>'Raw Inputs'!Y92</x:f>
        <x:v>0.061402458014901413</x:v>
      </x:c>
      <x:c r="H73" s="266" t="n">
        <x:f>'Raw Inputs'!Z92</x:f>
        <x:v>-0.2889540321816723</x:v>
      </x:c>
      <x:c r="I73" s="266" t="n">
        <x:f>'Raw Inputs'!AA92</x:f>
        <x:v>0.5877631062884037</x:v>
      </x:c>
      <x:c r="J73" s="266" t="n">
        <x:f>'Raw Inputs'!AB92</x:f>
        <x:v>0.024366884374229986</x:v>
      </x:c>
      <x:c r="K73" s="266" t="n">
        <x:f>'Raw Inputs'!U92</x:f>
        <x:v>-0.12918838709239142</x:v>
      </x:c>
      <x:c r="L73" s="236" t="b">
        <x:f>'Raw Inputs'!AC92</x:f>
        <x:v>0</x:v>
      </x:c>
      <x:c r="M73" s="236" t="str">
        <x:f>'Raw Inputs'!R92</x:f>
        <x:v>Industrial Inorganic Chemicals</x:v>
      </x:c>
      <x:c r="N73" s="20" t="str">
        <x:f>'Raw Inputs'!CC92</x:f>
        <x:v>https://data.sec.gov/api/xbrl/companyfacts/CIK0001707925.json</x:v>
      </x:c>
    </x:row>
    <x:row r="74">
      <x:c r="A74" s="237" t="n">
        <x:f>RANK(D74,$D$5:$D$121,0)</x:f>
        <x:v>70</x:v>
      </x:c>
      <x:c r="B74" s="236" t="str">
        <x:f>'Raw Inputs'!A68</x:f>
        <x:v>CTVA</x:v>
      </x:c>
      <x:c r="C74" s="236" t="str">
        <x:f>'Raw Inputs'!B68</x:f>
        <x:v>Corteva Inc.</x:v>
      </x:c>
      <x:c r="D74" s="238" t="n">
        <x:f>1+9*'Raw Inputs'!V68</x:f>
        <x:v>4.646551724137931</x:v>
      </x:c>
      <x:c r="E74" s="266" t="n">
        <x:f>'Raw Inputs'!W68</x:f>
        <x:v>0.04812789927104042</x:v>
      </x:c>
      <x:c r="F74" s="266" t="n">
        <x:f>'Raw Inputs'!X68</x:f>
        <x:v>-0.9191682849007686</x:v>
      </x:c>
      <x:c r="G74" s="266" t="n">
        <x:f>'Raw Inputs'!Y68</x:f>
        <x:v>0</x:v>
      </x:c>
      <x:c r="H74" s="266" t="n">
        <x:f>'Raw Inputs'!Z68</x:f>
        <x:v>0</x:v>
      </x:c>
      <x:c r="I74" s="266" t="n">
        <x:f>'Raw Inputs'!AA68</x:f>
        <x:v>0.032388999337309474</x:v>
      </x:c>
      <x:c r="J74" s="266" t="n">
        <x:f>'Raw Inputs'!AB68</x:f>
        <x:v>0.6425369811935103</x:v>
      </x:c>
      <x:c r="K74" s="266" t="n">
        <x:f>'Raw Inputs'!U68</x:f>
        <x:v>-0.13831565185362915</x:v>
      </x:c>
      <x:c r="L74" s="236" t="b">
        <x:f>'Raw Inputs'!AC68</x:f>
        <x:v>0</x:v>
      </x:c>
      <x:c r="M74" s="236" t="str">
        <x:f>'Raw Inputs'!R68</x:f>
        <x:v>Agricultural Production-Crops</x:v>
      </x:c>
      <x:c r="N74" s="20" t="str">
        <x:f>'Raw Inputs'!CC68</x:f>
        <x:v>https://data.sec.gov/api/xbrl/companyfacts/CIK0001755672.json</x:v>
      </x:c>
    </x:row>
    <x:row r="75">
      <x:c r="A75" s="237" t="n">
        <x:f>RANK(D75,$D$5:$D$121,0)</x:f>
        <x:v>71</x:v>
      </x:c>
      <x:c r="B75" s="236" t="str">
        <x:f>'Raw Inputs'!A95</x:f>
        <x:v>ADC</x:v>
      </x:c>
      <x:c r="C75" s="236" t="str">
        <x:f>'Raw Inputs'!B95</x:f>
        <x:v>Agree Realty Corp. REIT</x:v>
      </x:c>
      <x:c r="D75" s="238" t="n">
        <x:f>1+9*'Raw Inputs'!V95</x:f>
        <x:v>4.568965517241379</x:v>
      </x:c>
      <x:c r="E75" s="266" t="n">
        <x:f>'Raw Inputs'!W95</x:f>
        <x:v>0.03498700762320433</x:v>
      </x:c>
      <x:c r="F75" s="266" t="n">
        <x:f>'Raw Inputs'!X95</x:f>
        <x:v>-0.9955120069781959</x:v>
      </x:c>
      <x:c r="G75" s="266" t="n">
        <x:f>'Raw Inputs'!Y95</x:f>
        <x:v>0</x:v>
      </x:c>
      <x:c r="H75" s="266" t="n">
        <x:f>'Raw Inputs'!Z95</x:f>
        <x:v>0</x:v>
      </x:c>
      <x:c r="I75" s="266" t="n">
        <x:f>'Raw Inputs'!AA95</x:f>
        <x:v>0</x:v>
      </x:c>
      <x:c r="J75" s="266" t="n">
        <x:f>'Raw Inputs'!AB95</x:f>
        <x:v>0.6785881953312037</x:v>
      </x:c>
      <x:c r="K75" s="266" t="n">
        <x:f>'Raw Inputs'!U95</x:f>
        <x:v>-0.15846190582349606</x:v>
      </x:c>
      <x:c r="L75" s="236" t="b">
        <x:f>'Raw Inputs'!AC95</x:f>
        <x:v>1</x:v>
      </x:c>
      <x:c r="M75" s="236" t="str">
        <x:f>'Raw Inputs'!R95</x:f>
        <x:v>Real Estate Investment Trusts</x:v>
      </x:c>
      <x:c r="N75" s="20" t="str">
        <x:f>'Raw Inputs'!CC95</x:f>
        <x:v>https://data.sec.gov/api/xbrl/companyfacts/CIK0000917251.json</x:v>
      </x:c>
    </x:row>
    <x:row r="76">
      <x:c r="A76" s="237" t="n">
        <x:f>RANK(D76,$D$5:$D$121,0)</x:f>
        <x:v>72</x:v>
      </x:c>
      <x:c r="B76" s="236" t="str">
        <x:f>'Raw Inputs'!A20</x:f>
        <x:v>AIG</x:v>
      </x:c>
      <x:c r="C76" s="236" t="str">
        <x:f>'Raw Inputs'!B20</x:f>
        <x:v>American International Group Inc.</x:v>
      </x:c>
      <x:c r="D76" s="238" t="n">
        <x:f>1+9*'Raw Inputs'!V20</x:f>
        <x:v>4.491379310344827</x:v>
      </x:c>
      <x:c r="E76" s="266" t="n">
        <x:f>'Raw Inputs'!W20</x:f>
        <x:v>0.07683706458591603</x:v>
      </x:c>
      <x:c r="F76" s="266" t="n">
        <x:f>'Raw Inputs'!X20</x:f>
        <x:v>-0.7523786486560545</x:v>
      </x:c>
      <x:c r="G76" s="266" t="n">
        <x:f>'Raw Inputs'!Y20</x:f>
        <x:v>0</x:v>
      </x:c>
      <x:c r="H76" s="266" t="n">
        <x:f>'Raw Inputs'!Z20</x:f>
        <x:v>0</x:v>
      </x:c>
      <x:c r="I76" s="266" t="n">
        <x:f>'Raw Inputs'!AA20</x:f>
        <x:v>0.22341330610855878</x:v>
      </x:c>
      <x:c r="J76" s="266" t="n">
        <x:f>'Raw Inputs'!AB20</x:f>
        <x:v>0.4299136112278348</x:v>
      </x:c>
      <x:c r="K76" s="266" t="n">
        <x:f>'Raw Inputs'!U20</x:f>
        <x:v>-0.16123251871410987</x:v>
      </x:c>
      <x:c r="L76" s="236" t="b">
        <x:f>'Raw Inputs'!AC20</x:f>
        <x:v>1</x:v>
      </x:c>
      <x:c r="M76" s="236" t="str">
        <x:f>'Raw Inputs'!R20</x:f>
        <x:v>Fire, Marine &amp; Casualty Insurance</x:v>
      </x:c>
      <x:c r="N76" s="20" t="str">
        <x:f>'Raw Inputs'!CC20</x:f>
        <x:v>https://data.sec.gov/api/xbrl/companyfacts/CIK0000005272.json</x:v>
      </x:c>
    </x:row>
    <x:row r="77">
      <x:c r="A77" s="237" t="n">
        <x:f>RANK(D77,$D$5:$D$121,0)</x:f>
        <x:v>73</x:v>
      </x:c>
      <x:c r="B77" s="236" t="str">
        <x:f>'Raw Inputs'!A105</x:f>
        <x:v>JNJ</x:v>
      </x:c>
      <x:c r="C77" s="236" t="str">
        <x:f>'Raw Inputs'!B105</x:f>
        <x:v>Johnson &amp; Johnson</x:v>
      </x:c>
      <x:c r="D77" s="238" t="n">
        <x:f>1+9*'Raw Inputs'!V105</x:f>
        <x:v>4.413793103448276</x:v>
      </x:c>
      <x:c r="E77" s="266" t="n">
        <x:f>'Raw Inputs'!W105</x:f>
        <x:v>0.2580202099480035</x:v>
      </x:c>
      <x:c r="F77" s="266" t="n">
        <x:f>'Raw Inputs'!X105</x:f>
        <x:v>0.3002284396091528</x:v>
      </x:c>
      <x:c r="G77" s="266" t="n">
        <x:f>'Raw Inputs'!Y105</x:f>
        <x:v>0.12384462476997948</x:v>
      </x:c>
      <x:c r="H77" s="266" t="n">
        <x:f>'Raw Inputs'!Z105</x:f>
        <x:v>-0.9110005180905238</x:v>
      </x:c>
      <x:c r="I77" s="266" t="n">
        <x:f>'Raw Inputs'!AA105</x:f>
        <x:v>0.5081673697635632</x:v>
      </x:c>
      <x:c r="J77" s="266" t="n">
        <x:f>'Raw Inputs'!AB105</x:f>
        <x:v>0.11296248783886065</x:v>
      </x:c>
      <x:c r="K77" s="266" t="n">
        <x:f>'Raw Inputs'!U105</x:f>
        <x:v>-0.16593653021417012</x:v>
      </x:c>
      <x:c r="L77" s="236" t="b">
        <x:f>'Raw Inputs'!AC105</x:f>
        <x:v>0</x:v>
      </x:c>
      <x:c r="M77" s="236" t="str">
        <x:f>'Raw Inputs'!R105</x:f>
        <x:v>Pharmaceutical Preparations</x:v>
      </x:c>
      <x:c r="N77" s="20" t="str">
        <x:f>'Raw Inputs'!CC105</x:f>
        <x:v>https://data.sec.gov/api/xbrl/companyfacts/CIK0000200406.json</x:v>
      </x:c>
    </x:row>
    <x:row r="78">
      <x:c r="A78" s="237" t="n">
        <x:f>RANK(D78,$D$5:$D$121,0)</x:f>
        <x:v>74</x:v>
      </x:c>
      <x:c r="B78" s="236" t="str">
        <x:f>'Raw Inputs'!A60</x:f>
        <x:v>DTM</x:v>
      </x:c>
      <x:c r="C78" s="236" t="str">
        <x:f>'Raw Inputs'!B60</x:f>
        <x:v>DT Midstream Inc.</x:v>
      </x:c>
      <x:c r="D78" s="238" t="n">
        <x:f>1+9*'Raw Inputs'!V60</x:f>
        <x:v>4.336206896551724</x:v>
      </x:c>
      <x:c r="E78" s="266" t="n">
        <x:f>'Raw Inputs'!W60</x:f>
        <x:v>0.09776182432432433</x:v>
      </x:c>
      <x:c r="F78" s="266" t="n">
        <x:f>'Raw Inputs'!X60</x:f>
        <x:v>-0.6308135307921506</x:v>
      </x:c>
      <x:c r="G78" s="266" t="n">
        <x:f>'Raw Inputs'!Y60</x:f>
        <x:v>0.009992505620784412</x:v>
      </x:c>
      <x:c r="H78" s="266" t="n">
        <x:f>'Raw Inputs'!Z60</x:f>
        <x:v>0.22318995463635602</x:v>
      </x:c>
      <x:c r="I78" s="266" t="n">
        <x:f>'Raw Inputs'!AA60</x:f>
        <x:v>0.7018581081081081</x:v>
      </x:c>
      <x:c r="J78" s="266" t="n">
        <x:f>'Raw Inputs'!AB60</x:f>
        <x:v>-0.10262880634797626</x:v>
      </x:c>
      <x:c r="K78" s="266" t="n">
        <x:f>'Raw Inputs'!U60</x:f>
        <x:v>-0.17008412750125695</x:v>
      </x:c>
      <x:c r="L78" s="236" t="b">
        <x:f>'Raw Inputs'!AC60</x:f>
        <x:v>0</x:v>
      </x:c>
      <x:c r="M78" s="236" t="str">
        <x:f>'Raw Inputs'!R60</x:f>
        <x:v>Natural Gas Transmission</x:v>
      </x:c>
      <x:c r="N78" s="20" t="str">
        <x:f>'Raw Inputs'!CC60</x:f>
        <x:v>https://data.sec.gov/api/xbrl/companyfacts/CIK0001842022.json</x:v>
      </x:c>
    </x:row>
    <x:row r="79">
      <x:c r="A79" s="237" t="n">
        <x:f>RANK(D79,$D$5:$D$121,0)</x:f>
        <x:v>75</x:v>
      </x:c>
      <x:c r="B79" s="236" t="str">
        <x:f>'Raw Inputs'!A63</x:f>
        <x:v>DOW</x:v>
      </x:c>
      <x:c r="C79" s="236" t="str">
        <x:f>'Raw Inputs'!B63</x:f>
        <x:v>Dow Inc.</x:v>
      </x:c>
      <x:c r="D79" s="238" t="n">
        <x:f>1+9*'Raw Inputs'!V63</x:f>
        <x:v>4.258620689655173</x:v>
      </x:c>
      <x:c r="E79" s="266" t="n">
        <x:f>'Raw Inputs'!W63</x:f>
        <x:v>-0.16679160419790104</x:v>
      </x:c>
      <x:c r="F79" s="266" t="n">
        <x:f>'Raw Inputs'!X63</x:f>
        <x:v>-1.029601712582685</x:v>
      </x:c>
      <x:c r="G79" s="266" t="n">
        <x:f>'Raw Inputs'!Y63</x:f>
        <x:v>0</x:v>
      </x:c>
      <x:c r="H79" s="266" t="n">
        <x:f>'Raw Inputs'!Z63</x:f>
        <x:v>0</x:v>
      </x:c>
      <x:c r="I79" s="266" t="n">
        <x:f>'Raw Inputs'!AA63</x:f>
        <x:v>0</x:v>
      </x:c>
      <x:c r="J79" s="266" t="n">
        <x:f>'Raw Inputs'!AB63</x:f>
        <x:v>0.6785881953312037</x:v>
      </x:c>
      <x:c r="K79" s="266" t="n">
        <x:f>'Raw Inputs'!U63</x:f>
        <x:v>-0.17550675862574067</x:v>
      </x:c>
      <x:c r="L79" s="236" t="b">
        <x:f>'Raw Inputs'!AC63</x:f>
        <x:v>0</x:v>
      </x:c>
      <x:c r="M79" s="236" t="str">
        <x:f>'Raw Inputs'!R63</x:f>
        <x:v>Plastic Materials, Synth Resins &amp; Nonvulcan Elastomers</x:v>
      </x:c>
      <x:c r="N79" s="20" t="str">
        <x:f>'Raw Inputs'!CC63</x:f>
        <x:v>https://data.sec.gov/api/xbrl/companyfacts/CIK0001751788.json</x:v>
      </x:c>
    </x:row>
    <x:row r="80">
      <x:c r="A80" s="237" t="n">
        <x:f>RANK(D80,$D$5:$D$121,0)</x:f>
        <x:v>76</x:v>
      </x:c>
      <x:c r="B80" s="236" t="str">
        <x:f>'Raw Inputs'!A44</x:f>
        <x:v>LYB</x:v>
      </x:c>
      <x:c r="C80" s="236" t="str">
        <x:f>'Raw Inputs'!B44</x:f>
        <x:v>LyondellBasell Industries NV</x:v>
      </x:c>
      <x:c r="D80" s="238" t="n">
        <x:f>1+9*'Raw Inputs'!V44</x:f>
        <x:v>4.181034482758621</x:v>
      </x:c>
      <x:c r="E80" s="266" t="n">
        <x:f>'Raw Inputs'!W44</x:f>
        <x:v>-0.07835746875619917</x:v>
      </x:c>
      <x:c r="F80" s="266" t="n">
        <x:f>'Raw Inputs'!X44</x:f>
        <x:v>-1.029601712582685</x:v>
      </x:c>
      <x:c r="G80" s="266" t="n">
        <x:f>'Raw Inputs'!Y44</x:f>
        <x:v>0</x:v>
      </x:c>
      <x:c r="H80" s="266" t="n">
        <x:f>'Raw Inputs'!Z44</x:f>
        <x:v>0</x:v>
      </x:c>
      <x:c r="I80" s="266" t="n">
        <x:f>'Raw Inputs'!AA44</x:f>
        <x:v>0.02241618726443166</x:v>
      </x:c>
      <x:c r="J80" s="266" t="n">
        <x:f>'Raw Inputs'!AB44</x:f>
        <x:v>0.6536374162470916</x:v>
      </x:c>
      <x:c r="K80" s="266" t="n">
        <x:f>'Raw Inputs'!U44</x:f>
        <x:v>-0.18798214816779674</x:v>
      </x:c>
      <x:c r="L80" s="236" t="b">
        <x:f>'Raw Inputs'!AC44</x:f>
        <x:v>0</x:v>
      </x:c>
      <x:c r="M80" s="236" t="str">
        <x:f>'Raw Inputs'!R44</x:f>
        <x:v>Industrial Organic Chemicals</x:v>
      </x:c>
      <x:c r="N80" s="20" t="str">
        <x:f>'Raw Inputs'!CC44</x:f>
        <x:v>https://data.sec.gov/api/xbrl/companyfacts/CIK0001489393.json</x:v>
      </x:c>
    </x:row>
    <x:row r="81">
      <x:c r="A81" s="237" t="n">
        <x:f>RANK(D81,$D$5:$D$121,0)</x:f>
        <x:v>77</x:v>
      </x:c>
      <x:c r="B81" s="236" t="str">
        <x:f>'Raw Inputs'!A94</x:f>
        <x:v>PR</x:v>
      </x:c>
      <x:c r="C81" s="236" t="str">
        <x:f>'Raw Inputs'!B94</x:f>
        <x:v>Permian Resources Corp.</x:v>
      </x:c>
      <x:c r="D81" s="238" t="n">
        <x:f>1+9*'Raw Inputs'!V94</x:f>
        <x:v>4.103448275862069</x:v>
      </x:c>
      <x:c r="E81" s="266" t="n">
        <x:f>'Raw Inputs'!W94</x:f>
        <x:v>0.06319110528393752</x:v>
      </x:c>
      <x:c r="F81" s="266" t="n">
        <x:f>'Raw Inputs'!X94</x:f>
        <x:v>-0.8316566270725103</x:v>
      </x:c>
      <x:c r="G81" s="266" t="n">
        <x:f>'Raw Inputs'!Y94</x:f>
        <x:v>0.04035508675143999</x:v>
      </x:c>
      <x:c r="H81" s="266" t="n">
        <x:f>'Raw Inputs'!Z94</x:f>
        <x:v>-0.07928092164710894</x:v>
      </x:c>
      <x:c r="I81" s="266" t="n">
        <x:f>'Raw Inputs'!AA94</x:f>
        <x:v>0.34496017914277893</x:v>
      </x:c>
      <x:c r="J81" s="266" t="n">
        <x:f>'Raw Inputs'!AB94</x:f>
        <x:v>0.29462346836515885</x:v>
      </x:c>
      <x:c r="K81" s="266" t="n">
        <x:f>'Raw Inputs'!U94</x:f>
        <x:v>-0.20543802678482015</x:v>
      </x:c>
      <x:c r="L81" s="236" t="b">
        <x:f>'Raw Inputs'!AC94</x:f>
        <x:v>0</x:v>
      </x:c>
      <x:c r="M81" s="236" t="str">
        <x:f>'Raw Inputs'!R94</x:f>
        <x:v>Crude Petroleum &amp; Natural Gas</x:v>
      </x:c>
      <x:c r="N81" s="20" t="str">
        <x:f>'Raw Inputs'!CC94</x:f>
        <x:v>https://data.sec.gov/api/xbrl/companyfacts/CIK0001658566.json</x:v>
      </x:c>
    </x:row>
    <x:row r="82">
      <x:c r="A82" s="237" t="n">
        <x:f>RANK(D82,$D$5:$D$121,0)</x:f>
        <x:v>78</x:v>
      </x:c>
      <x:c r="B82" s="236" t="str">
        <x:f>'Raw Inputs'!A88</x:f>
        <x:v>MOS</x:v>
      </x:c>
      <x:c r="C82" s="236" t="str">
        <x:f>'Raw Inputs'!B88</x:f>
        <x:v>The Mosaic Co.</x:v>
      </x:c>
      <x:c r="D82" s="238" t="n">
        <x:f>1+9*'Raw Inputs'!V88</x:f>
        <x:v>4.025862068965518</x:v>
      </x:c>
      <x:c r="E82" s="266" t="n">
        <x:f>'Raw Inputs'!W88</x:f>
        <x:v>0.0037236551398853114</x:v>
      </x:c>
      <x:c r="F82" s="266" t="n">
        <x:f>'Raw Inputs'!X88</x:f>
        <x:v>-1.029601712582685</x:v>
      </x:c>
      <x:c r="G82" s="266" t="n">
        <x:f>'Raw Inputs'!Y88</x:f>
        <x:v>0</x:v>
      </x:c>
      <x:c r="H82" s="266" t="n">
        <x:f>'Raw Inputs'!Z88</x:f>
        <x:v>0</x:v>
      </x:c>
      <x:c r="I82" s="266" t="n">
        <x:f>'Raw Inputs'!AA88</x:f>
        <x:v>0.06288012312886329</x:v>
      </x:c>
      <x:c r="J82" s="266" t="n">
        <x:f>'Raw Inputs'!AB88</x:f>
        <x:v>0.608598234841381</x:v>
      </x:c>
      <x:c r="K82" s="266" t="n">
        <x:f>'Raw Inputs'!U88</x:f>
        <x:v>-0.21050173887065204</x:v>
      </x:c>
      <x:c r="L82" s="236" t="b">
        <x:f>'Raw Inputs'!AC88</x:f>
        <x:v>0</x:v>
      </x:c>
      <x:c r="M82" s="236" t="str">
        <x:f>'Raw Inputs'!R88</x:f>
        <x:v>Agricultural Chemicals</x:v>
      </x:c>
      <x:c r="N82" s="20" t="str">
        <x:f>'Raw Inputs'!CC88</x:f>
        <x:v>https://data.sec.gov/api/xbrl/companyfacts/CIK0001285785.json</x:v>
      </x:c>
    </x:row>
    <x:row r="83">
      <x:c r="A83" s="237" t="n">
        <x:f>RANK(D83,$D$5:$D$121,0)</x:f>
        <x:v>79</x:v>
      </x:c>
      <x:c r="B83" s="236" t="str">
        <x:f>'Raw Inputs'!A82</x:f>
        <x:v>MRSH</x:v>
      </x:c>
      <x:c r="C83" s="236" t="str">
        <x:f>'Raw Inputs'!B82</x:f>
        <x:v>Marsh and McLennan Cos. Inc.</x:v>
      </x:c>
      <x:c r="D83" s="238" t="n">
        <x:f>1+9*'Raw Inputs'!V82</x:f>
        <x:v>3.9482758620689653</x:v>
      </x:c>
      <x:c r="E83" s="266" t="n">
        <x:f>'Raw Inputs'!W82</x:f>
        <x:v>0.2562846882141691</x:v>
      </x:c>
      <x:c r="F83" s="266" t="n">
        <x:f>'Raw Inputs'!X82</x:f>
        <x:v>0.2901456999855439</x:v>
      </x:c>
      <x:c r="G83" s="266" t="n">
        <x:f>'Raw Inputs'!Y82</x:f>
        <x:v>0</x:v>
      </x:c>
      <x:c r="H83" s="266" t="n">
        <x:f>'Raw Inputs'!Z82</x:f>
        <x:v>0</x:v>
      </x:c>
      <x:c r="I83" s="266" t="n">
        <x:f>'Raw Inputs'!AA82</x:f>
        <x:v>1.2789422135161606</x:v>
      </x:c>
      <x:c r="J83" s="266" t="n">
        <x:f>'Raw Inputs'!AB82</x:f>
        <x:v>-0.7449636448793977</x:v>
      </x:c>
      <x:c r="K83" s="266" t="n">
        <x:f>'Raw Inputs'!U82</x:f>
        <x:v>-0.2274089724469269</x:v>
      </x:c>
      <x:c r="L83" s="236" t="b">
        <x:f>'Raw Inputs'!AC82</x:f>
        <x:v>1</x:v>
      </x:c>
      <x:c r="M83" s="236" t="str">
        <x:f>'Raw Inputs'!R82</x:f>
        <x:v>Insurance Agents, Brokers &amp; Service</x:v>
      </x:c>
      <x:c r="N83" s="20" t="str">
        <x:f>'Raw Inputs'!CC82</x:f>
        <x:v>https://data.sec.gov/api/xbrl/companyfacts/CIK0000062709.json</x:v>
      </x:c>
    </x:row>
    <x:row r="84">
      <x:c r="A84" s="237" t="n">
        <x:f>RANK(D84,$D$5:$D$121,0)</x:f>
        <x:v>80</x:v>
      </x:c>
      <x:c r="B84" s="236" t="str">
        <x:f>'Raw Inputs'!A31</x:f>
        <x:v>DGX</x:v>
      </x:c>
      <x:c r="C84" s="236" t="str">
        <x:f>'Raw Inputs'!B31</x:f>
        <x:v>Quest Diagnostics Inc.</x:v>
      </x:c>
      <x:c r="D84" s="238" t="n">
        <x:f>1+9*'Raw Inputs'!V31</x:f>
        <x:v>3.870689655172414</x:v>
      </x:c>
      <x:c r="E84" s="266" t="n">
        <x:f>'Raw Inputs'!W31</x:f>
        <x:v>0.14281729428172943</x:v>
      </x:c>
      <x:c r="F84" s="266" t="n">
        <x:f>'Raw Inputs'!X31</x:f>
        <x:v>-0.3690579080629709</x:v>
      </x:c>
      <x:c r="G84" s="266" t="n">
        <x:f>'Raw Inputs'!Y31</x:f>
        <x:v>0</x:v>
      </x:c>
      <x:c r="H84" s="266" t="n">
        <x:f>'Raw Inputs'!Z31</x:f>
        <x:v>0</x:v>
      </x:c>
      <x:c r="I84" s="266" t="n">
        <x:f>'Raw Inputs'!AA31</x:f>
        <x:v>0.7909344490934449</x:v>
      </x:c>
      <x:c r="J84" s="266" t="n">
        <x:f>'Raw Inputs'!AB31</x:f>
        <x:v>-0.2017769834812357</x:v>
      </x:c>
      <x:c r="K84" s="266" t="n">
        <x:f>'Raw Inputs'!U31</x:f>
        <x:v>-0.2854174457721033</x:v>
      </x:c>
      <x:c r="L84" s="236" t="b">
        <x:f>'Raw Inputs'!AC31</x:f>
        <x:v>0</x:v>
      </x:c>
      <x:c r="M84" s="236" t="str">
        <x:f>'Raw Inputs'!R31</x:f>
        <x:v>Services-Medical Laboratories</x:v>
      </x:c>
      <x:c r="N84" s="20" t="str">
        <x:f>'Raw Inputs'!CC31</x:f>
        <x:v>https://data.sec.gov/api/xbrl/companyfacts/CIK0001022079.json</x:v>
      </x:c>
    </x:row>
    <x:row r="85">
      <x:c r="A85" s="237" t="n">
        <x:f>RANK(D85,$D$5:$D$121,0)</x:f>
        <x:v>81</x:v>
      </x:c>
      <x:c r="B85" s="236" t="str">
        <x:f>'Raw Inputs'!A102</x:f>
        <x:v>BRO</x:v>
      </x:c>
      <x:c r="C85" s="236" t="str">
        <x:f>'Raw Inputs'!B102</x:f>
        <x:v>Brown &amp; Brown Inc.</x:v>
      </x:c>
      <x:c r="D85" s="238" t="n">
        <x:f>1+9*'Raw Inputs'!V102</x:f>
        <x:v>3.793103448275862</x:v>
      </x:c>
      <x:c r="E85" s="266" t="n">
        <x:f>'Raw Inputs'!W102</x:f>
        <x:v>0.09130676847212281</x:v>
      </x:c>
      <x:c r="F85" s="266" t="n">
        <x:f>'Raw Inputs'!X102</x:f>
        <x:v>-0.6683150187566979</x:v>
      </x:c>
      <x:c r="G85" s="266" t="n">
        <x:f>'Raw Inputs'!Y102</x:f>
        <x:v>0</x:v>
      </x:c>
      <x:c r="H85" s="266" t="n">
        <x:f>'Raw Inputs'!Z102</x:f>
        <x:v>0</x:v>
      </x:c>
      <x:c r="I85" s="266" t="n">
        <x:f>'Raw Inputs'!AA102</x:f>
        <x:v>0.6055038574723615</x:v>
      </x:c>
      <x:c r="J85" s="266" t="n">
        <x:f>'Raw Inputs'!AB102</x:f>
        <x:v>0.0046201915778377395</x:v>
      </x:c>
      <x:c r="K85" s="266" t="n">
        <x:f>'Raw Inputs'!U102</x:f>
        <x:v>-0.33184741358943004</x:v>
      </x:c>
      <x:c r="L85" s="236" t="b">
        <x:f>'Raw Inputs'!AC102</x:f>
        <x:v>1</x:v>
      </x:c>
      <x:c r="M85" s="236" t="str">
        <x:f>'Raw Inputs'!R102</x:f>
        <x:v>Insurance Agents, Brokers &amp; Service</x:v>
      </x:c>
      <x:c r="N85" s="20" t="str">
        <x:f>'Raw Inputs'!CC102</x:f>
        <x:v>https://data.sec.gov/api/xbrl/companyfacts/CIK0000079282.json</x:v>
      </x:c>
    </x:row>
    <x:row r="86">
      <x:c r="A86" s="237" t="n">
        <x:f>RANK(D86,$D$5:$D$121,0)</x:f>
        <x:v>82</x:v>
      </x:c>
      <x:c r="B86" s="236" t="str">
        <x:f>'Raw Inputs'!A71</x:f>
        <x:v>ROP</x:v>
      </x:c>
      <x:c r="C86" s="236" t="str">
        <x:f>'Raw Inputs'!B71</x:f>
        <x:v>Roper Technologies Inc.</x:v>
      </x:c>
      <x:c r="D86" s="238" t="n">
        <x:f>1+9*'Raw Inputs'!V71</x:f>
        <x:v>3.7155172413793105</x:v>
      </x:c>
      <x:c r="E86" s="266" t="n">
        <x:f>'Raw Inputs'!W71</x:f>
        <x:v>0.08621582878555441</x:v>
      </x:c>
      <x:c r="F86" s="266" t="n">
        <x:f>'Raw Inputs'!X71</x:f>
        <x:v>-0.697891496134344</x:v>
      </x:c>
      <x:c r="G86" s="266" t="n">
        <x:f>'Raw Inputs'!Y71</x:f>
        <x:v>0.07836848389587887</x:v>
      </x:c>
      <x:c r="H86" s="266" t="n">
        <x:f>'Raw Inputs'!Z71</x:f>
        <x:v>-0.45796893553209755</x:v>
      </x:c>
      <x:c r="I86" s="266" t="n">
        <x:f>'Raw Inputs'!AA71</x:f>
        <x:v>0.4678218444282373</x:v>
      </x:c>
      <x:c r="J86" s="266" t="n">
        <x:f>'Raw Inputs'!AB71</x:f>
        <x:v>0.15786987007113923</x:v>
      </x:c>
      <x:c r="K86" s="266" t="n">
        <x:f>'Raw Inputs'!U71</x:f>
        <x:v>-0.33266352053176745</x:v>
      </x:c>
      <x:c r="L86" s="236" t="b">
        <x:f>'Raw Inputs'!AC71</x:f>
        <x:v>0</x:v>
      </x:c>
      <x:c r="M86" s="236" t="str">
        <x:f>'Raw Inputs'!R71</x:f>
        <x:v>Industrial Instruments For Measurement, Display, and Control</x:v>
      </x:c>
      <x:c r="N86" s="20" t="str">
        <x:f>'Raw Inputs'!CC71</x:f>
        <x:v>https://data.sec.gov/api/xbrl/companyfacts/CIK0000882835.json</x:v>
      </x:c>
    </x:row>
    <x:row r="87">
      <x:c r="A87" s="237" t="n">
        <x:f>RANK(D87,$D$5:$D$121,0)</x:f>
        <x:v>83</x:v>
      </x:c>
      <x:c r="B87" s="236" t="str">
        <x:f>'Raw Inputs'!A116</x:f>
        <x:v>MTDR</x:v>
      </x:c>
      <x:c r="C87" s="236" t="str">
        <x:f>'Raw Inputs'!B116</x:f>
        <x:v>Matador Resources Co.</x:v>
      </x:c>
      <x:c r="D87" s="238" t="n">
        <x:f>1+9*'Raw Inputs'!V116</x:f>
        <x:v>3.6379310344827585</x:v>
      </x:c>
      <x:c r="E87" s="266" t="n">
        <x:f>'Raw Inputs'!W116</x:f>
        <x:v>0.08541038478892626</x:v>
      </x:c>
      <x:c r="F87" s="266" t="n">
        <x:f>'Raw Inputs'!X116</x:f>
        <x:v>-0.7025708279693065</x:v>
      </x:c>
      <x:c r="G87" s="266" t="n">
        <x:f>'Raw Inputs'!Y116</x:f>
        <x:v>0</x:v>
      </x:c>
      <x:c r="H87" s="266" t="n">
        <x:f>'Raw Inputs'!Z116</x:f>
        <x:v>0</x:v>
      </x:c>
      <x:c r="I87" s="266" t="n">
        <x:f>'Raw Inputs'!AA116</x:f>
        <x:v>0.6012755779680994</x:v>
      </x:c>
      <x:c r="J87" s="266" t="n">
        <x:f>'Raw Inputs'!AB116</x:f>
        <x:v>0.009326561424422675</x:v>
      </x:c>
      <x:c r="K87" s="266" t="n">
        <x:f>'Raw Inputs'!U116</x:f>
        <x:v>-0.3466221332724419</x:v>
      </x:c>
      <x:c r="L87" s="236" t="b">
        <x:f>'Raw Inputs'!AC116</x:f>
        <x:v>0</x:v>
      </x:c>
      <x:c r="M87" s="236" t="str">
        <x:f>'Raw Inputs'!R116</x:f>
        <x:v>Crude Petroleum &amp; Natural Gas</x:v>
      </x:c>
      <x:c r="N87" s="20" t="str">
        <x:f>'Raw Inputs'!CC116</x:f>
        <x:v>https://data.sec.gov/api/xbrl/companyfacts/CIK0001520006.json</x:v>
      </x:c>
    </x:row>
    <x:row r="88">
      <x:c r="A88" s="237" t="n">
        <x:f>RANK(D88,$D$5:$D$121,0)</x:f>
        <x:v>84</x:v>
      </x:c>
      <x:c r="B88" s="236" t="str">
        <x:f>'Raw Inputs'!A78</x:f>
        <x:v>T</x:v>
      </x:c>
      <x:c r="C88" s="236" t="str">
        <x:f>'Raw Inputs'!B78</x:f>
        <x:v>AT&amp;T Inc.</x:v>
      </x:c>
      <x:c r="D88" s="238" t="n">
        <x:f>1+9*'Raw Inputs'!V78</x:f>
        <x:v>3.560344827586207</x:v>
      </x:c>
      <x:c r="E88" s="266" t="n">
        <x:f>'Raw Inputs'!W78</x:f>
        <x:v>0.16942707386296257</x:v>
      </x:c>
      <x:c r="F88" s="266" t="n">
        <x:f>'Raw Inputs'!X78</x:f>
        <x:v>-0.2144649267544468</x:v>
      </x:c>
      <x:c r="G88" s="266" t="n">
        <x:f>'Raw Inputs'!Y78</x:f>
        <x:v>0</x:v>
      </x:c>
      <x:c r="H88" s="266" t="n">
        <x:f>'Raw Inputs'!Z78</x:f>
        <x:v>0</x:v>
      </x:c>
      <x:c r="I88" s="266" t="n">
        <x:f>'Raw Inputs'!AA78</x:f>
        <x:v>1.0650402004885724</x:v>
      </x:c>
      <x:c r="J88" s="266" t="n">
        <x:f>'Raw Inputs'!AB78</x:f>
        <x:v>-0.5068757930185853</x:v>
      </x:c>
      <x:c r="K88" s="266" t="n">
        <x:f>'Raw Inputs'!U78</x:f>
        <x:v>-0.3606703598865161</x:v>
      </x:c>
      <x:c r="L88" s="236" t="b">
        <x:f>'Raw Inputs'!AC78</x:f>
        <x:v>0</x:v>
      </x:c>
      <x:c r="M88" s="236" t="str">
        <x:f>'Raw Inputs'!R78</x:f>
        <x:v>Telephone Communications (No Radiotelephone)</x:v>
      </x:c>
      <x:c r="N88" s="20" t="str">
        <x:f>'Raw Inputs'!CC78</x:f>
        <x:v>https://data.sec.gov/api/xbrl/companyfacts/CIK0000732717.json</x:v>
      </x:c>
    </x:row>
    <x:row r="89">
      <x:c r="A89" s="237" t="n">
        <x:f>RANK(D89,$D$5:$D$121,0)</x:f>
        <x:v>85</x:v>
      </x:c>
      <x:c r="B89" s="236" t="str">
        <x:f>'Raw Inputs'!A47</x:f>
        <x:v>OHI</x:v>
      </x:c>
      <x:c r="C89" s="236" t="str">
        <x:f>'Raw Inputs'!B47</x:f>
        <x:v>Omega Healthcare Investors Inc. REIT</x:v>
      </x:c>
      <x:c r="D89" s="238" t="n">
        <x:f>1+9*'Raw Inputs'!V47</x:f>
        <x:v>3.4827586206896552</x:v>
      </x:c>
      <x:c r="E89" s="266" t="n">
        <x:f>'Raw Inputs'!W47</x:f>
        <x:v>0.12201611989580219</x:v>
      </x:c>
      <x:c r="F89" s="266" t="n">
        <x:f>'Raw Inputs'!X47</x:f>
        <x:v>-0.4899050407204289</x:v>
      </x:c>
      <x:c r="G89" s="266" t="n">
        <x:f>'Raw Inputs'!Y47</x:f>
        <x:v>0</x:v>
      </x:c>
      <x:c r="H89" s="266" t="n">
        <x:f>'Raw Inputs'!Z47</x:f>
        <x:v>0</x:v>
      </x:c>
      <x:c r="I89" s="266" t="n">
        <x:f>'Raw Inputs'!AA47</x:f>
        <x:v>0.8214177564352105</x:v>
      </x:c>
      <x:c r="J89" s="266" t="n">
        <x:f>'Raw Inputs'!AB47</x:f>
        <x:v>-0.23570702957985679</x:v>
      </x:c>
      <x:c r="K89" s="266" t="n">
        <x:f>'Raw Inputs'!U47</x:f>
        <x:v>-0.36280603515014287</x:v>
      </x:c>
      <x:c r="L89" s="236" t="b">
        <x:f>'Raw Inputs'!AC47</x:f>
        <x:v>1</x:v>
      </x:c>
      <x:c r="M89" s="236" t="str">
        <x:f>'Raw Inputs'!R47</x:f>
        <x:v>Real Estate Investment Trusts</x:v>
      </x:c>
      <x:c r="N89" s="20" t="str">
        <x:f>'Raw Inputs'!CC47</x:f>
        <x:v>https://data.sec.gov/api/xbrl/companyfacts/CIK0000888491.json</x:v>
      </x:c>
    </x:row>
    <x:row r="90">
      <x:c r="A90" s="237" t="n">
        <x:f>RANK(D90,$D$5:$D$121,0)</x:f>
        <x:v>86</x:v>
      </x:c>
      <x:c r="B90" s="236" t="str">
        <x:f>'Raw Inputs'!A96</x:f>
        <x:v>RSG</x:v>
      </x:c>
      <x:c r="C90" s="236" t="str">
        <x:f>'Raw Inputs'!B96</x:f>
        <x:v>Republic Services Inc.</x:v>
      </x:c>
      <x:c r="D90" s="238" t="n">
        <x:f>1+9*'Raw Inputs'!V96</x:f>
        <x:v>3.405172413793103</x:v>
      </x:c>
      <x:c r="E90" s="266" t="n">
        <x:f>'Raw Inputs'!W96</x:f>
        <x:v>0.18127606951871658</x:v>
      </x:c>
      <x:c r="F90" s="266" t="n">
        <x:f>'Raw Inputs'!X96</x:f>
        <x:v>-0.14562664275653497</x:v>
      </x:c>
      <x:c r="G90" s="266" t="n">
        <x:f>'Raw Inputs'!Y96</x:f>
        <x:v>0</x:v>
      </x:c>
      <x:c r="H90" s="266" t="n">
        <x:f>'Raw Inputs'!Z96</x:f>
        <x:v>0</x:v>
      </x:c>
      <x:c r="I90" s="266" t="n">
        <x:f>'Raw Inputs'!AA96</x:f>
        <x:v>1.1455548128342246</x:v>
      </x:c>
      <x:c r="J90" s="266" t="n">
        <x:f>'Raw Inputs'!AB96</x:f>
        <x:v>-0.5964941693276945</x:v>
      </x:c>
      <x:c r="K90" s="266" t="n">
        <x:f>'Raw Inputs'!U96</x:f>
        <x:v>-0.37106040604211477</x:v>
      </x:c>
      <x:c r="L90" s="236" t="b">
        <x:f>'Raw Inputs'!AC96</x:f>
        <x:v>0</x:v>
      </x:c>
      <x:c r="M90" s="236" t="str">
        <x:f>'Raw Inputs'!R96</x:f>
        <x:v>Refuse Systems</x:v>
      </x:c>
      <x:c r="N90" s="20" t="str">
        <x:f>'Raw Inputs'!CC96</x:f>
        <x:v>https://data.sec.gov/api/xbrl/companyfacts/CIK0001060391.json</x:v>
      </x:c>
    </x:row>
    <x:row r="91">
      <x:c r="A91" s="237" t="n">
        <x:f>RANK(D91,$D$5:$D$121,0)</x:f>
        <x:v>87</x:v>
      </x:c>
      <x:c r="B91" s="236" t="str">
        <x:f>'Raw Inputs'!A73</x:f>
        <x:v>REG</x:v>
      </x:c>
      <x:c r="C91" s="236" t="str">
        <x:f>'Raw Inputs'!B73</x:f>
        <x:v>Regency Centers Corp. REIT</x:v>
      </x:c>
      <x:c r="D91" s="238" t="n">
        <x:f>1+9*'Raw Inputs'!V73</x:f>
        <x:v>3.327586206896552</x:v>
      </x:c>
      <x:c r="E91" s="266" t="n">
        <x:f>'Raw Inputs'!W73</x:f>
        <x:v>0.0791125962625726</x:v>
      </x:c>
      <x:c r="F91" s="266" t="n">
        <x:f>'Raw Inputs'!X73</x:f>
        <x:v>-0.7391586509149075</x:v>
      </x:c>
      <x:c r="G91" s="266" t="n">
        <x:f>'Raw Inputs'!Y73</x:f>
        <x:v>0</x:v>
      </x:c>
      <x:c r="H91" s="266" t="n">
        <x:f>'Raw Inputs'!Z73</x:f>
        <x:v>0</x:v>
      </x:c>
      <x:c r="I91" s="266" t="n">
        <x:f>'Raw Inputs'!AA73</x:f>
        <x:v>0.6861700417988414</x:v>
      </x:c>
      <x:c r="J91" s="266" t="n">
        <x:f>'Raw Inputs'!AB73</x:f>
        <x:v>-0.08516689491219401</x:v>
      </x:c>
      <x:c r="K91" s="266" t="n">
        <x:f>'Raw Inputs'!U73</x:f>
        <x:v>-0.41216277291355075</x:v>
      </x:c>
      <x:c r="L91" s="236" t="b">
        <x:f>'Raw Inputs'!AC73</x:f>
        <x:v>1</x:v>
      </x:c>
      <x:c r="M91" s="236" t="str">
        <x:f>'Raw Inputs'!R73</x:f>
        <x:v>Real Estate Investment Trusts</x:v>
      </x:c>
      <x:c r="N91" s="20" t="str">
        <x:f>'Raw Inputs'!CC73</x:f>
        <x:v>https://data.sec.gov/api/xbrl/companyfacts/CIK0000910606.json</x:v>
      </x:c>
    </x:row>
    <x:row r="92">
      <x:c r="A92" s="237" t="n">
        <x:f>RANK(D92,$D$5:$D$121,0)</x:f>
        <x:v>88</x:v>
      </x:c>
      <x:c r="B92" s="236" t="str">
        <x:f>'Raw Inputs'!A91</x:f>
        <x:v>WELL</x:v>
      </x:c>
      <x:c r="C92" s="236" t="str">
        <x:f>'Raw Inputs'!B91</x:f>
        <x:v>Welltower Inc. REIT</x:v>
      </x:c>
      <x:c r="D92" s="238" t="n">
        <x:f>1+9*'Raw Inputs'!V91</x:f>
        <x:v>3.25</x:v>
      </x:c>
      <x:c r="E92" s="266" t="n">
        <x:f>'Raw Inputs'!W91</x:f>
        <x:v>0.03458135200186815</x:v>
      </x:c>
      <x:c r="F92" s="266" t="n">
        <x:f>'Raw Inputs'!X91</x:f>
        <x:v>-0.9978687161608285</x:v>
      </x:c>
      <x:c r="G92" s="266" t="n">
        <x:f>'Raw Inputs'!Y91</x:f>
        <x:v>0</x:v>
      </x:c>
      <x:c r="H92" s="266" t="n">
        <x:f>'Raw Inputs'!Z91</x:f>
        <x:v>0</x:v>
      </x:c>
      <x:c r="I92" s="266" t="n">
        <x:f>'Raw Inputs'!AA91</x:f>
        <x:v>0.455673647001443</x:v>
      </x:c>
      <x:c r="J92" s="266" t="n">
        <x:f>'Raw Inputs'!AB91</x:f>
        <x:v>0.17139166067230324</x:v>
      </x:c>
      <x:c r="K92" s="266" t="n">
        <x:f>'Raw Inputs'!U91</x:f>
        <x:v>-0.4132385277442626</x:v>
      </x:c>
      <x:c r="L92" s="236" t="b">
        <x:f>'Raw Inputs'!AC91</x:f>
        <x:v>1</x:v>
      </x:c>
      <x:c r="M92" s="236" t="str">
        <x:f>'Raw Inputs'!R91</x:f>
        <x:v>Real Estate Investment Trusts</x:v>
      </x:c>
      <x:c r="N92" s="20" t="str">
        <x:f>'Raw Inputs'!CC91</x:f>
        <x:v>https://data.sec.gov/api/xbrl/companyfacts/CIK0000766704.json</x:v>
      </x:c>
    </x:row>
    <x:row r="93">
      <x:c r="A93" s="237" t="n">
        <x:f>RANK(D93,$D$5:$D$121,0)</x:f>
        <x:v>89</x:v>
      </x:c>
      <x:c r="B93" s="236" t="str">
        <x:f>'Raw Inputs'!A76</x:f>
        <x:v>TMUS</x:v>
      </x:c>
      <x:c r="C93" s="236" t="str">
        <x:f>'Raw Inputs'!B76</x:f>
        <x:v>T-Mobile US Inc.</x:v>
      </x:c>
      <x:c r="D93" s="238" t="n">
        <x:f>1+9*'Raw Inputs'!V76</x:f>
        <x:v>3.1724137931034484</x:v>
      </x:c>
      <x:c r="E93" s="266" t="n">
        <x:f>'Raw Inputs'!W76</x:f>
        <x:v>0.1780821917808219</x:v>
      </x:c>
      <x:c r="F93" s="266" t="n">
        <x:f>'Raw Inputs'!X76</x:f>
        <x:v>-0.16418189158634064</x:v>
      </x:c>
      <x:c r="G93" s="266" t="n">
        <x:f>'Raw Inputs'!Y76</x:f>
        <x:v>0</x:v>
      </x:c>
      <x:c r="H93" s="266" t="n">
        <x:f>'Raw Inputs'!Z76</x:f>
        <x:v>0</x:v>
      </x:c>
      <x:c r="I93" s="266" t="n">
        <x:f>'Raw Inputs'!AA76</x:f>
        <x:v>1.4573923618735538</x:v>
      </x:c>
      <x:c r="J93" s="266" t="n">
        <x:f>'Raw Inputs'!AB76</x:f>
        <x:v>-0.9435910999710676</x:v>
      </x:c>
      <x:c r="K93" s="266" t="n">
        <x:f>'Raw Inputs'!U76</x:f>
        <x:v>-0.5538864957787041</x:v>
      </x:c>
      <x:c r="L93" s="236" t="b">
        <x:f>'Raw Inputs'!AC76</x:f>
        <x:v>0</x:v>
      </x:c>
      <x:c r="M93" s="236" t="str">
        <x:f>'Raw Inputs'!R76</x:f>
        <x:v>Radiotelephone Communications</x:v>
      </x:c>
      <x:c r="N93" s="20" t="str">
        <x:f>'Raw Inputs'!CC76</x:f>
        <x:v>https://data.sec.gov/api/xbrl/companyfacts/CIK0001283699.json</x:v>
      </x:c>
    </x:row>
    <x:row r="94">
      <x:c r="A94" s="237" t="n">
        <x:f>RANK(D94,$D$5:$D$121,0)</x:f>
        <x:v>90</x:v>
      </x:c>
      <x:c r="B94" s="236" t="str">
        <x:f>'Raw Inputs'!A86</x:f>
        <x:v>ED</x:v>
      </x:c>
      <x:c r="C94" s="236" t="str">
        <x:f>'Raw Inputs'!B86</x:f>
        <x:v>Consolidated Edison Inc.</x:v>
      </x:c>
      <x:c r="D94" s="238" t="n">
        <x:f>1+9*'Raw Inputs'!V86</x:f>
        <x:v>3.0948275862068964</x:v>
      </x:c>
      <x:c r="E94" s="266" t="n">
        <x:f>'Raw Inputs'!W86</x:f>
        <x:v>0.08908639933856966</x:v>
      </x:c>
      <x:c r="F94" s="266" t="n">
        <x:f>'Raw Inputs'!X86</x:f>
        <x:v>-0.6812145425168831</x:v>
      </x:c>
      <x:c r="G94" s="266" t="n">
        <x:f>'Raw Inputs'!Y86</x:f>
        <x:v>0</x:v>
      </x:c>
      <x:c r="H94" s="266" t="n">
        <x:f>'Raw Inputs'!Z86</x:f>
        <x:v>0</x:v>
      </x:c>
      <x:c r="I94" s="266" t="n">
        <x:f>'Raw Inputs'!AA86</x:f>
        <x:v>1.066597767672592</x:v>
      </x:c>
      <x:c r="J94" s="266" t="n">
        <x:f>'Raw Inputs'!AB86</x:f>
        <x:v>-0.5086094738742408</x:v>
      </x:c>
      <x:c r="K94" s="266" t="n">
        <x:f>'Raw Inputs'!U86</x:f>
        <x:v>-0.5949120081955619</x:v>
      </x:c>
      <x:c r="L94" s="236" t="b">
        <x:f>'Raw Inputs'!AC86</x:f>
        <x:v>0</x:v>
      </x:c>
      <x:c r="M94" s="236" t="str">
        <x:f>'Raw Inputs'!R86</x:f>
        <x:v>Electric &amp; Other Services Combined</x:v>
      </x:c>
      <x:c r="N94" s="20" t="str">
        <x:f>'Raw Inputs'!CC86</x:f>
        <x:v>https://data.sec.gov/api/xbrl/companyfacts/CIK0001047862.json</x:v>
      </x:c>
    </x:row>
    <x:row r="95">
      <x:c r="A95" s="237" t="n">
        <x:f>RANK(D95,$D$5:$D$121,0)</x:f>
        <x:v>91</x:v>
      </x:c>
      <x:c r="B95" s="236" t="str">
        <x:f>'Raw Inputs'!A84</x:f>
        <x:v>SBRA</x:v>
      </x:c>
      <x:c r="C95" s="236" t="str">
        <x:f>'Raw Inputs'!B84</x:f>
        <x:v>Sabra Health Care REIT Inc.</x:v>
      </x:c>
      <x:c r="D95" s="238" t="n">
        <x:f>1+9*'Raw Inputs'!V84</x:f>
        <x:v>3.0172413793103448</x:v>
      </x:c>
      <x:c r="E95" s="266" t="n">
        <x:f>'Raw Inputs'!W84</x:f>
        <x:v>0.05534861815389315</x:v>
      </x:c>
      <x:c r="F95" s="266" t="n">
        <x:f>'Raw Inputs'!X84</x:f>
        <x:v>-0.8772185778059296</x:v>
      </x:c>
      <x:c r="G95" s="266" t="n">
        <x:f>'Raw Inputs'!Y84</x:f>
        <x:v>0</x:v>
      </x:c>
      <x:c r="H95" s="266" t="n">
        <x:f>'Raw Inputs'!Z84</x:f>
        <x:v>0</x:v>
      </x:c>
      <x:c r="I95" s="266" t="n">
        <x:f>'Raw Inputs'!AA84</x:f>
        <x:v>0.8961865675635161</x:v>
      </x:c>
      <x:c r="J95" s="266" t="n">
        <x:f>'Raw Inputs'!AB84</x:f>
        <x:v>-0.31892992858749314</x:v>
      </x:c>
      <x:c r="K95" s="266" t="n">
        <x:f>'Raw Inputs'!U84</x:f>
        <x:v>-0.5980742531967114</x:v>
      </x:c>
      <x:c r="L95" s="236" t="b">
        <x:f>'Raw Inputs'!AC84</x:f>
        <x:v>1</x:v>
      </x:c>
      <x:c r="M95" s="236" t="str">
        <x:f>'Raw Inputs'!R84</x:f>
        <x:v>Real Estate Investment Trusts</x:v>
      </x:c>
      <x:c r="N95" s="20" t="str">
        <x:f>'Raw Inputs'!CC84</x:f>
        <x:v>https://data.sec.gov/api/xbrl/companyfacts/CIK0001492298.json</x:v>
      </x:c>
    </x:row>
    <x:row r="96">
      <x:c r="A96" s="237" t="n">
        <x:f>RANK(D96,$D$5:$D$121,0)</x:f>
        <x:v>92</x:v>
      </x:c>
      <x:c r="B96" s="236" t="str">
        <x:f>'Raw Inputs'!A89</x:f>
        <x:v>KR</x:v>
      </x:c>
      <x:c r="C96" s="236" t="str">
        <x:f>'Raw Inputs'!B89</x:f>
        <x:v>The Kroger Co.</x:v>
      </x:c>
      <x:c r="D96" s="238" t="n">
        <x:f>1+9*'Raw Inputs'!V89</x:f>
        <x:v>2.9396551724137927</x:v>
      </x:c>
      <x:c r="E96" s="266" t="n">
        <x:f>'Raw Inputs'!W89</x:f>
        <x:v>0.177661548844272</x:v>
      </x:c>
      <x:c r="F96" s="266" t="n">
        <x:f>'Raw Inputs'!X89</x:f>
        <x:v>-0.16662567152931643</x:v>
      </x:c>
      <x:c r="G96" s="266" t="n">
        <x:f>'Raw Inputs'!Y89</x:f>
        <x:v>-0.03420136688473126</x:v>
      </x:c>
      <x:c r="H96" s="266" t="n">
        <x:f>'Raw Inputs'!Z89</x:f>
        <x:v>0.6634476285666762</x:v>
      </x:c>
      <x:c r="I96" s="266" t="n">
        <x:f>'Raw Inputs'!AA89</x:f>
        <x:v>2.6784207862324956</x:v>
      </x:c>
      <x:c r="J96" s="266" t="n">
        <x:f>'Raw Inputs'!AB89</x:f>
        <x:v>-2.302680855611274</x:v>
      </x:c>
      <x:c r="K96" s="266" t="n">
        <x:f>'Raw Inputs'!U89</x:f>
        <x:v>-0.6019529661913047</x:v>
      </x:c>
      <x:c r="L96" s="236" t="b">
        <x:f>'Raw Inputs'!AC89</x:f>
        <x:v>0</x:v>
      </x:c>
      <x:c r="M96" s="236" t="str">
        <x:f>'Raw Inputs'!R89</x:f>
        <x:v>Retail-Grocery Stores</x:v>
      </x:c>
      <x:c r="N96" s="20" t="str">
        <x:f>'Raw Inputs'!CC89</x:f>
        <x:v>https://data.sec.gov/api/xbrl/companyfacts/CIK0000056873.json</x:v>
      </x:c>
    </x:row>
    <x:row r="97">
      <x:c r="A97" s="237" t="n">
        <x:f>RANK(D97,$D$5:$D$121,0)</x:f>
        <x:v>93</x:v>
      </x:c>
      <x:c r="B97" s="236" t="str">
        <x:f>'Raw Inputs'!A109</x:f>
        <x:v>EIX</x:v>
      </x:c>
      <x:c r="C97" s="236" t="str">
        <x:f>'Raw Inputs'!B109</x:f>
        <x:v>Edison International</x:v>
      </x:c>
      <x:c r="D97" s="238" t="n">
        <x:f>1+9*'Raw Inputs'!V109</x:f>
        <x:v>2.862068965517241</x:v>
      </x:c>
      <x:c r="E97" s="266" t="n">
        <x:f>'Raw Inputs'!W109</x:f>
        <x:v>0.20217304738608566</x:v>
      </x:c>
      <x:c r="F97" s="266" t="n">
        <x:f>'Raw Inputs'!X109</x:f>
        <x:v>-0.024222927291969655</x:v>
      </x:c>
      <x:c r="G97" s="266" t="n">
        <x:f>'Raw Inputs'!Y109</x:f>
        <x:v>0.04419698783441441</x:v>
      </x:c>
      <x:c r="H97" s="266" t="n">
        <x:f>'Raw Inputs'!Z109</x:f>
        <x:v>-0.1175537938433528</x:v>
      </x:c>
      <x:c r="I97" s="266" t="n">
        <x:f>'Raw Inputs'!AA109</x:f>
        <x:v>2.1615564025257408</x:v>
      </x:c>
      <x:c r="J97" s="266" t="n">
        <x:f>'Raw Inputs'!AB109</x:f>
        <x:v>-1.7273747653210794</x:v>
      </x:c>
      <x:c r="K97" s="266" t="n">
        <x:f>'Raw Inputs'!U109</x:f>
        <x:v>-0.6230504954854673</x:v>
      </x:c>
      <x:c r="L97" s="236" t="b">
        <x:f>'Raw Inputs'!AC109</x:f>
        <x:v>0</x:v>
      </x:c>
      <x:c r="M97" s="236" t="str">
        <x:f>'Raw Inputs'!R109</x:f>
        <x:v>Electric Services</x:v>
      </x:c>
      <x:c r="N97" s="20" t="str">
        <x:f>'Raw Inputs'!CC109</x:f>
        <x:v>https://data.sec.gov/api/xbrl/companyfacts/CIK0000827052.json</x:v>
      </x:c>
    </x:row>
    <x:row r="98">
      <x:c r="A98" s="237" t="n">
        <x:f>RANK(D98,$D$5:$D$121,0)</x:f>
        <x:v>94</x:v>
      </x:c>
      <x:c r="B98" s="236" t="str">
        <x:f>'Raw Inputs'!A69</x:f>
        <x:v>FCFS</x:v>
      </x:c>
      <x:c r="C98" s="236" t="str">
        <x:f>'Raw Inputs'!B69</x:f>
        <x:v>FirstCash Holdings Inc.</x:v>
      </x:c>
      <x:c r="D98" s="238" t="n">
        <x:f>1+9*'Raw Inputs'!V69</x:f>
        <x:v>2.7844827586206895</x:v>
      </x:c>
      <x:c r="E98" s="266" t="n">
        <x:f>'Raw Inputs'!W69</x:f>
        <x:v>0.15569743346032655</x:v>
      </x:c>
      <x:c r="F98" s="266" t="n">
        <x:f>'Raw Inputs'!X69</x:f>
        <x:v>-0.2942290614274897</x:v>
      </x:c>
      <x:c r="G98" s="266" t="n">
        <x:f>'Raw Inputs'!Y69</x:f>
        <x:v>0.1531031324285375</x:v>
      </x:c>
      <x:c r="H98" s="266" t="n">
        <x:f>'Raw Inputs'!Z69</x:f>
        <x:v>-1.202472656514726</x:v>
      </x:c>
      <x:c r="I98" s="266" t="n">
        <x:f>'Raw Inputs'!AA69</x:f>
        <x:v>0.9768284959077849</x:v>
      </x:c>
      <x:c r="J98" s="266" t="n">
        <x:f>'Raw Inputs'!AB69</x:f>
        <x:v>-0.4086900164784107</x:v>
      </x:c>
      <x:c r="K98" s="266" t="n">
        <x:f>'Raw Inputs'!U69</x:f>
        <x:v>-0.6351305781402088</x:v>
      </x:c>
      <x:c r="L98" s="236" t="b">
        <x:f>'Raw Inputs'!AC69</x:f>
        <x:v>0</x:v>
      </x:c>
      <x:c r="M98" s="236" t="str">
        <x:f>'Raw Inputs'!R69</x:f>
        <x:v>Retail-Miscellaneous Retail</x:v>
      </x:c>
      <x:c r="N98" s="20" t="str">
        <x:f>'Raw Inputs'!CC69</x:f>
        <x:v>https://data.sec.gov/api/xbrl/companyfacts/CIK0000840489.json</x:v>
      </x:c>
    </x:row>
    <x:row r="99">
      <x:c r="A99" s="237" t="n">
        <x:f>RANK(D99,$D$5:$D$121,0)</x:f>
        <x:v>95</x:v>
      </x:c>
      <x:c r="B99" s="236" t="str">
        <x:f>'Raw Inputs'!A100</x:f>
        <x:v>ELS</x:v>
      </x:c>
      <x:c r="C99" s="236" t="str">
        <x:f>'Raw Inputs'!B100</x:f>
        <x:v>Equity LifeStyle Properties Inc. REIT</x:v>
      </x:c>
      <x:c r="D99" s="238" t="n">
        <x:f>1+9*'Raw Inputs'!V100</x:f>
        <x:v>2.706896551724138</x:v>
      </x:c>
      <x:c r="E99" s="266" t="n">
        <x:f>'Raw Inputs'!W100</x:f>
        <x:v>0.22727591066319341</x:v>
      </x:c>
      <x:c r="F99" s="266" t="n">
        <x:f>'Raw Inputs'!X100</x:f>
        <x:v>0.12161542742049411</x:v>
      </x:c>
      <x:c r="G99" s="266" t="n">
        <x:f>'Raw Inputs'!Y100</x:f>
        <x:v>0</x:v>
      </x:c>
      <x:c r="H99" s="266" t="n">
        <x:f>'Raw Inputs'!Z100</x:f>
        <x:v>0</x:v>
      </x:c>
      <x:c r="I99" s="266" t="n">
        <x:f>'Raw Inputs'!AA100</x:f>
        <x:v>1.9050923118532122</x:v>
      </x:c>
      <x:c r="J99" s="266" t="n">
        <x:f>'Raw Inputs'!AB100</x:f>
        <x:v>-1.4419123539889167</x:v>
      </x:c>
      <x:c r="K99" s="266" t="n">
        <x:f>'Raw Inputs'!U100</x:f>
        <x:v>-0.6601484632842113</x:v>
      </x:c>
      <x:c r="L99" s="236" t="b">
        <x:f>'Raw Inputs'!AC100</x:f>
        <x:v>1</x:v>
      </x:c>
      <x:c r="M99" s="236" t="str">
        <x:f>'Raw Inputs'!R100</x:f>
        <x:v>Real Estate Investment Trusts</x:v>
      </x:c>
      <x:c r="N99" s="20" t="str">
        <x:f>'Raw Inputs'!CC100</x:f>
        <x:v>https://data.sec.gov/api/xbrl/companyfacts/CIK0000895417.json</x:v>
      </x:c>
    </x:row>
    <x:row r="100">
      <x:c r="A100" s="237" t="n">
        <x:f>RANK(D100,$D$5:$D$121,0)</x:f>
        <x:v>96</x:v>
      </x:c>
      <x:c r="B100" s="236" t="str">
        <x:f>'Raw Inputs'!A110</x:f>
        <x:v>WTRG</x:v>
      </x:c>
      <x:c r="C100" s="236" t="str">
        <x:f>'Raw Inputs'!B110</x:f>
        <x:v>Essential Utilities Inc.</x:v>
      </x:c>
      <x:c r="D100" s="238" t="n">
        <x:f>1+9*'Raw Inputs'!V110</x:f>
        <x:v>2.6293103448275863</x:v>
      </x:c>
      <x:c r="E100" s="266" t="n">
        <x:f>'Raw Inputs'!W110</x:f>
        <x:v>0.08122137422391044</x:v>
      </x:c>
      <x:c r="F100" s="266" t="n">
        <x:f>'Raw Inputs'!X110</x:f>
        <x:v>-0.7269074306082632</x:v>
      </x:c>
      <x:c r="G100" s="266" t="n">
        <x:f>'Raw Inputs'!Y110</x:f>
        <x:v>0</x:v>
      </x:c>
      <x:c r="H100" s="266" t="n">
        <x:f>'Raw Inputs'!Z110</x:f>
        <x:v>0</x:v>
      </x:c>
      <x:c r="I100" s="266" t="n">
        <x:f>'Raw Inputs'!AA110</x:f>
        <x:v>1.185860908185193</x:v>
      </x:c>
      <x:c r="J100" s="266" t="n">
        <x:f>'Raw Inputs'!AB110</x:f>
        <x:v>-0.6413576632386725</x:v>
      </x:c>
      <x:c r="K100" s="266" t="n">
        <x:f>'Raw Inputs'!U110</x:f>
        <x:v>-0.6841325469234678</x:v>
      </x:c>
      <x:c r="L100" s="236" t="b">
        <x:f>'Raw Inputs'!AC110</x:f>
        <x:v>0</x:v>
      </x:c>
      <x:c r="M100" s="236" t="str">
        <x:f>'Raw Inputs'!R110</x:f>
        <x:v>Water Supply</x:v>
      </x:c>
      <x:c r="N100" s="20" t="str">
        <x:f>'Raw Inputs'!CC110</x:f>
        <x:v>https://data.sec.gov/api/xbrl/companyfacts/CIK0000078128.json</x:v>
      </x:c>
    </x:row>
    <x:row r="101">
      <x:c r="A101" s="237" t="n">
        <x:f>RANK(D101,$D$5:$D$121,0)</x:f>
        <x:v>97</x:v>
      </x:c>
      <x:c r="B101" s="236" t="str">
        <x:f>'Raw Inputs'!A114</x:f>
        <x:v>EXC</x:v>
      </x:c>
      <x:c r="C101" s="236" t="str">
        <x:f>'Raw Inputs'!B114</x:f>
        <x:v>Exelon Corp.</x:v>
      </x:c>
      <x:c r="D101" s="238" t="n">
        <x:f>1+9*'Raw Inputs'!V114</x:f>
        <x:v>2.5517241379310347</x:v>
      </x:c>
      <x:c r="E101" s="266" t="n">
        <x:f>'Raw Inputs'!W114</x:f>
        <x:v>0.09649975692756442</x:v>
      </x:c>
      <x:c r="F101" s="266" t="n">
        <x:f>'Raw Inputs'!X114</x:f>
        <x:v>-0.6381456757609502</x:v>
      </x:c>
      <x:c r="G101" s="266" t="n">
        <x:f>'Raw Inputs'!Y114</x:f>
        <x:v>0.056767430043591825</x:v>
      </x:c>
      <x:c r="H101" s="266" t="n">
        <x:f>'Raw Inputs'!Z114</x:f>
        <x:v>-0.2427800601452537</x:v>
      </x:c>
      <x:c r="I101" s="266" t="n">
        <x:f>'Raw Inputs'!AA114</x:f>
        <x:v>1.7163691923050213</x:v>
      </x:c>
      <x:c r="J101" s="266" t="n">
        <x:f>'Raw Inputs'!AB114</x:f>
        <x:v>-1.2318503658209754</x:v>
      </x:c>
      <x:c r="K101" s="266" t="n">
        <x:f>'Raw Inputs'!U114</x:f>
        <x:v>-0.7042587005757264</x:v>
      </x:c>
      <x:c r="L101" s="236" t="b">
        <x:f>'Raw Inputs'!AC114</x:f>
        <x:v>0</x:v>
      </x:c>
      <x:c r="M101" s="236" t="str">
        <x:f>'Raw Inputs'!R114</x:f>
        <x:v>Electric &amp; Other Services Combined</x:v>
      </x:c>
      <x:c r="N101" s="20" t="str">
        <x:f>'Raw Inputs'!CC114</x:f>
        <x:v>https://data.sec.gov/api/xbrl/companyfacts/CIK0001109357.json</x:v>
      </x:c>
    </x:row>
    <x:row r="102">
      <x:c r="A102" s="237" t="n">
        <x:f>RANK(D102,$D$5:$D$121,0)</x:f>
        <x:v>98</x:v>
      </x:c>
      <x:c r="B102" s="236" t="str">
        <x:f>'Raw Inputs'!A61</x:f>
        <x:v>VRSN</x:v>
      </x:c>
      <x:c r="C102" s="236" t="str">
        <x:f>'Raw Inputs'!B61</x:f>
        <x:v>VeriSign Inc.</x:v>
      </x:c>
      <x:c r="D102" s="238" t="n">
        <x:f>1+9*'Raw Inputs'!V61</x:f>
        <x:v>2.4741379310344827</x:v>
      </x:c>
      <x:c r="E102" s="266" t="n">
        <x:f>'Raw Inputs'!W61</x:f>
        <x:v>-0.39035372760189396</x:v>
      </x:c>
      <x:c r="F102" s="266" t="n">
        <x:f>'Raw Inputs'!X61</x:f>
        <x:v>-1.029601712582685</x:v>
      </x:c>
      <x:c r="G102" s="266" t="n">
        <x:f>'Raw Inputs'!Y61</x:f>
        <x:v>-0.21775728297467428</x:v>
      </x:c>
      <x:c r="H102" s="266" t="n">
        <x:f>'Raw Inputs'!Z61</x:f>
        <x:v>2.4920246704138576</x:v>
      </x:c>
      <x:c r="I102" s="266" t="n">
        <x:f>'Raw Inputs'!AA61</x:f>
        <x:v>0</x:v>
      </x:c>
      <x:c r="J102" s="266" t="n">
        <x:f>'Raw Inputs'!AB61</x:f>
        <x:v>-3.5848818051876323</x:v>
      </x:c>
      <x:c r="K102" s="266" t="n">
        <x:f>'Raw Inputs'!U61</x:f>
        <x:v>-0.7074862824521533</x:v>
      </x:c>
      <x:c r="L102" s="236" t="b">
        <x:f>'Raw Inputs'!AC61</x:f>
        <x:v>0</x:v>
      </x:c>
      <x:c r="M102" s="236" t="str">
        <x:f>'Raw Inputs'!R61</x:f>
        <x:v>Services-Computer Programming Services</x:v>
      </x:c>
      <x:c r="N102" s="20" t="str">
        <x:f>'Raw Inputs'!CC61</x:f>
        <x:v>https://data.sec.gov/api/xbrl/companyfacts/CIK0001014473.json</x:v>
      </x:c>
    </x:row>
    <x:row r="103">
      <x:c r="A103" s="237" t="n">
        <x:f>RANK(D103,$D$5:$D$121,0)</x:f>
        <x:v>99</x:v>
      </x:c>
      <x:c r="B103" s="236" t="str">
        <x:f>'Raw Inputs'!A93</x:f>
        <x:v>VTR</x:v>
      </x:c>
      <x:c r="C103" s="236" t="str">
        <x:f>'Raw Inputs'!B93</x:f>
        <x:v>Ventas Inc. REIT</x:v>
      </x:c>
      <x:c r="D103" s="238" t="n">
        <x:f>1+9*'Raw Inputs'!V93</x:f>
        <x:v>2.396551724137931</x:v>
      </x:c>
      <x:c r="E103" s="266" t="n">
        <x:f>'Raw Inputs'!W93</x:f>
        <x:v>0.02172926498730408</x:v>
      </x:c>
      <x:c r="F103" s="266" t="n">
        <x:f>'Raw Inputs'!X93</x:f>
        <x:v>-1.029601712582685</x:v>
      </x:c>
      <x:c r="G103" s="266" t="n">
        <x:f>'Raw Inputs'!Y93</x:f>
        <x:v>0</x:v>
      </x:c>
      <x:c r="H103" s="266" t="n">
        <x:f>'Raw Inputs'!Z93</x:f>
        <x:v>0</x:v>
      </x:c>
      <x:c r="I103" s="266" t="n">
        <x:f>'Raw Inputs'!AA93</x:f>
        <x:v>1.0386168460076604</x:v>
      </x:c>
      <x:c r="J103" s="266" t="n">
        <x:f>'Raw Inputs'!AB93</x:f>
        <x:v>-0.47746475747818706</x:v>
      </x:c>
      <x:c r="K103" s="266" t="n">
        <x:f>'Raw Inputs'!U93</x:f>
        <x:v>-0.753533235030436</x:v>
      </x:c>
      <x:c r="L103" s="236" t="b">
        <x:f>'Raw Inputs'!AC93</x:f>
        <x:v>1</x:v>
      </x:c>
      <x:c r="M103" s="236" t="str">
        <x:f>'Raw Inputs'!R93</x:f>
        <x:v>Real Estate Investment Trusts</x:v>
      </x:c>
      <x:c r="N103" s="20" t="str">
        <x:f>'Raw Inputs'!CC93</x:f>
        <x:v>https://data.sec.gov/api/xbrl/companyfacts/CIK0000740260.json</x:v>
      </x:c>
    </x:row>
    <x:row r="104">
      <x:c r="A104" s="237" t="n">
        <x:f>RANK(D104,$D$5:$D$121,0)</x:f>
        <x:v>100</x:v>
      </x:c>
      <x:c r="B104" s="236" t="str">
        <x:f>'Raw Inputs'!A98</x:f>
        <x:v>PAYX</x:v>
      </x:c>
      <x:c r="C104" s="236" t="str">
        <x:f>'Raw Inputs'!B98</x:f>
        <x:v>Paychex Inc.</x:v>
      </x:c>
      <x:c r="D104" s="238" t="n">
        <x:f>1+9*'Raw Inputs'!V98</x:f>
        <x:v>2.318965517241379</x:v>
      </x:c>
      <x:c r="E104" s="266" t="n">
        <x:f>'Raw Inputs'!W98</x:f>
        <x:v>0.3964874031007752</x:v>
      </x:c>
      <x:c r="F104" s="266" t="n">
        <x:f>'Raw Inputs'!X98</x:f>
        <x:v>1.1046716383046842</x:v>
      </x:c>
      <x:c r="G104" s="266" t="n">
        <x:f>'Raw Inputs'!Y98</x:f>
        <x:v>0.3203969243557772</x:v>
      </x:c>
      <x:c r="H104" s="266" t="n">
        <x:f>'Raw Inputs'!Z98</x:f>
        <x:v>-2.7120853210725495</x:v>
      </x:c>
      <x:c r="I104" s="266" t="n">
        <x:f>'Raw Inputs'!AA98</x:f>
        <x:v>1.1986918604651162</x:v>
      </x:c>
      <x:c r="J104" s="266" t="n">
        <x:f>'Raw Inputs'!AB98</x:f>
        <x:v>-0.6556394075870136</x:v>
      </x:c>
      <x:c r="K104" s="266" t="n">
        <x:f>'Raw Inputs'!U98</x:f>
        <x:v>-0.754351030118293</x:v>
      </x:c>
      <x:c r="L104" s="236" t="b">
        <x:f>'Raw Inputs'!AC98</x:f>
        <x:v>0</x:v>
      </x:c>
      <x:c r="M104" s="236" t="str">
        <x:f>'Raw Inputs'!R98</x:f>
        <x:v>Services-Engineering, Accounting, Research, Management</x:v>
      </x:c>
      <x:c r="N104" s="20" t="str">
        <x:f>'Raw Inputs'!CC98</x:f>
        <x:v>https://data.sec.gov/api/xbrl/companyfacts/CIK0000723531.json</x:v>
      </x:c>
    </x:row>
    <x:row r="105">
      <x:c r="A105" s="237" t="n">
        <x:f>RANK(D105,$D$5:$D$121,0)</x:f>
        <x:v>101</x:v>
      </x:c>
      <x:c r="B105" s="236" t="str">
        <x:f>'Raw Inputs'!A85</x:f>
        <x:v>CACI</x:v>
      </x:c>
      <x:c r="C105" s="236" t="str">
        <x:f>'Raw Inputs'!B85</x:f>
        <x:v>CACI International Inc.</x:v>
      </x:c>
      <x:c r="D105" s="238" t="n">
        <x:f>1+9*'Raw Inputs'!V85</x:f>
        <x:v>2.2413793103448274</x:v>
      </x:c>
      <x:c r="E105" s="266" t="n">
        <x:f>'Raw Inputs'!W85</x:f>
        <x:v>0.1378840738633956</x:v>
      </x:c>
      <x:c r="F105" s="266" t="n">
        <x:f>'Raw Inputs'!X85</x:f>
        <x:v>-0.39771809480349435</x:v>
      </x:c>
      <x:c r="G105" s="266" t="n">
        <x:f>'Raw Inputs'!Y85</x:f>
        <x:v>0.23036203956060008</x:v>
      </x:c>
      <x:c r="H105" s="266" t="n">
        <x:f>'Raw Inputs'!Z85</x:f>
        <x:v>-1.972122945479907</x:v>
      </x:c>
      <x:c r="I105" s="266" t="n">
        <x:f>'Raw Inputs'!AA85</x:f>
        <x:v>0.749353162409844</x:v>
      </x:c>
      <x:c r="J105" s="266" t="n">
        <x:f>'Raw Inputs'!AB85</x:f>
        <x:v>-0.15549411272194885</x:v>
      </x:c>
      <x:c r="K105" s="266" t="n">
        <x:f>'Raw Inputs'!U85</x:f>
        <x:v>-0.8417783843351168</x:v>
      </x:c>
      <x:c r="L105" s="236" t="b">
        <x:f>'Raw Inputs'!AC85</x:f>
        <x:v>0</x:v>
      </x:c>
      <x:c r="M105" s="236" t="str">
        <x:f>'Raw Inputs'!R85</x:f>
        <x:v>Services-Computer Integrated Systems Design</x:v>
      </x:c>
      <x:c r="N105" s="20" t="str">
        <x:f>'Raw Inputs'!CC85</x:f>
        <x:v>https://data.sec.gov/api/xbrl/companyfacts/CIK0000016058.json</x:v>
      </x:c>
    </x:row>
    <x:row r="106">
      <x:c r="A106" s="237" t="n">
        <x:f>RANK(D106,$D$5:$D$121,0)</x:f>
        <x:v>102</x:v>
      </x:c>
      <x:c r="B106" s="236" t="str">
        <x:f>'Raw Inputs'!A90</x:f>
        <x:v>CCC</x:v>
      </x:c>
      <x:c r="C106" s="236" t="str">
        <x:f>'Raw Inputs'!B90</x:f>
        <x:v>CCC Intelligent Solutions Holdings Inc.</x:v>
      </x:c>
      <x:c r="D106" s="238" t="n">
        <x:f>1+9*'Raw Inputs'!V90</x:f>
        <x:v>2.163793103448276</x:v>
      </x:c>
      <x:c r="E106" s="266" t="n">
        <x:f>'Raw Inputs'!W90</x:f>
        <x:v>0.0009445946021566751</x:v>
      </x:c>
      <x:c r="F106" s="266" t="n">
        <x:f>'Raw Inputs'!X90</x:f>
        <x:v>-1.029601712582685</x:v>
      </x:c>
      <x:c r="G106" s="266" t="n">
        <x:f>'Raw Inputs'!Y90</x:f>
        <x:v>0.17086455565997943</x:v>
      </x:c>
      <x:c r="H106" s="266" t="n">
        <x:f>'Raw Inputs'!Z90</x:f>
        <x:v>-1.3794112779625443</x:v>
      </x:c>
      <x:c r="I106" s="266" t="n">
        <x:f>'Raw Inputs'!AA90</x:f>
        <x:v>0.7224302046435107</x:v>
      </x:c>
      <x:c r="J106" s="266" t="n">
        <x:f>'Raw Inputs'!AB90</x:f>
        <x:v>-0.12552698389694372</x:v>
      </x:c>
      <x:c r="K106" s="266" t="n">
        <x:f>'Raw Inputs'!U90</x:f>
        <x:v>-0.844846658147391</x:v>
      </x:c>
      <x:c r="L106" s="236" t="b">
        <x:f>'Raw Inputs'!AC90</x:f>
        <x:v>0</x:v>
      </x:c>
      <x:c r="M106" s="236" t="str">
        <x:f>'Raw Inputs'!R90</x:f>
        <x:v>Services-Prepackaged Software</x:v>
      </x:c>
      <x:c r="N106" s="20" t="str">
        <x:f>'Raw Inputs'!CC90</x:f>
        <x:v>https://data.sec.gov/api/xbrl/companyfacts/CIK0001818201.json</x:v>
      </x:c>
    </x:row>
    <x:row r="107">
      <x:c r="A107" s="237" t="n">
        <x:f>RANK(D107,$D$5:$D$121,0)</x:f>
        <x:v>103</x:v>
      </x:c>
      <x:c r="B107" s="236" t="str">
        <x:f>'Raw Inputs'!A108</x:f>
        <x:v>DUK</x:v>
      </x:c>
      <x:c r="C107" s="236" t="str">
        <x:f>'Raw Inputs'!B108</x:f>
        <x:v>Duke Energy Corp.</x:v>
      </x:c>
      <x:c r="D107" s="238" t="n">
        <x:f>1+9*'Raw Inputs'!V108</x:f>
        <x:v>2.086206896551724</x:v>
      </x:c>
      <x:c r="E107" s="266" t="n">
        <x:f>'Raw Inputs'!W108</x:f>
        <x:v>0.09912812005709656</x:v>
      </x:c>
      <x:c r="F107" s="266" t="n">
        <x:f>'Raw Inputs'!X108</x:f>
        <x:v>-0.622875857725992</x:v>
      </x:c>
      <x:c r="G107" s="266" t="n">
        <x:f>'Raw Inputs'!Y108</x:f>
        <x:v>0</x:v>
      </x:c>
      <x:c r="H107" s="266" t="n">
        <x:f>'Raw Inputs'!Z108</x:f>
        <x:v>0</x:v>
      </x:c>
      <x:c r="I107" s="266" t="n">
        <x:f>'Raw Inputs'!AA108</x:f>
        <x:v>1.6822653447012075</x:v>
      </x:c>
      <x:c r="J107" s="266" t="n">
        <x:f>'Raw Inputs'!AB108</x:f>
        <x:v>-1.1938904060185713</x:v>
      </x:c>
      <x:c r="K107" s="266" t="n">
        <x:f>'Raw Inputs'!U108</x:f>
        <x:v>-0.9083831318722817</x:v>
      </x:c>
      <x:c r="L107" s="236" t="b">
        <x:f>'Raw Inputs'!AC108</x:f>
        <x:v>0</x:v>
      </x:c>
      <x:c r="M107" s="236" t="str">
        <x:f>'Raw Inputs'!R108</x:f>
        <x:v>Electric &amp; Other Services Combined</x:v>
      </x:c>
      <x:c r="N107" s="20" t="str">
        <x:f>'Raw Inputs'!CC108</x:f>
        <x:v>https://data.sec.gov/api/xbrl/companyfacts/CIK0001326160.json</x:v>
      </x:c>
    </x:row>
    <x:row r="108">
      <x:c r="A108" s="237" t="n">
        <x:f>RANK(D108,$D$5:$D$121,0)</x:f>
        <x:v>104</x:v>
      </x:c>
      <x:c r="B108" s="236" t="str">
        <x:f>'Raw Inputs'!A103</x:f>
        <x:v>PCG</x:v>
      </x:c>
      <x:c r="C108" s="236" t="str">
        <x:f>'Raw Inputs'!B103</x:f>
        <x:v>PG&amp;E Corp.</x:v>
      </x:c>
      <x:c r="D108" s="238" t="n">
        <x:f>1+9*'Raw Inputs'!V103</x:f>
        <x:v>2.0086206896551726</x:v>
      </x:c>
      <x:c r="E108" s="266" t="n">
        <x:f>'Raw Inputs'!W103</x:f>
        <x:v>0.09078057775046097</x:v>
      </x:c>
      <x:c r="F108" s="266" t="n">
        <x:f>'Raw Inputs'!X103</x:f>
        <x:v>-0.6713719923084802</x:v>
      </x:c>
      <x:c r="G108" s="266" t="n">
        <x:f>'Raw Inputs'!Y103</x:f>
        <x:v>0</x:v>
      </x:c>
      <x:c r="H108" s="266" t="n">
        <x:f>'Raw Inputs'!Z103</x:f>
        <x:v>0</x:v>
      </x:c>
      <x:c r="I108" s="266" t="n">
        <x:f>'Raw Inputs'!AA103</x:f>
        <x:v>1.763583282114321</x:v>
      </x:c>
      <x:c r="J108" s="266" t="n">
        <x:f>'Raw Inputs'!AB103</x:f>
        <x:v>-1.284402939128501</x:v>
      </x:c>
      <x:c r="K108" s="266" t="n">
        <x:f>'Raw Inputs'!U103</x:f>
        <x:v>-0.9778874657184906</x:v>
      </x:c>
      <x:c r="L108" s="236" t="b">
        <x:f>'Raw Inputs'!AC103</x:f>
        <x:v>0</x:v>
      </x:c>
      <x:c r="M108" s="236" t="str">
        <x:f>'Raw Inputs'!R103</x:f>
        <x:v>Electric &amp; Other Services Combined</x:v>
      </x:c>
      <x:c r="N108" s="20" t="str">
        <x:f>'Raw Inputs'!CC103</x:f>
        <x:v>https://data.sec.gov/api/xbrl/companyfacts/CIK0001004980.json</x:v>
      </x:c>
    </x:row>
    <x:row r="109">
      <x:c r="A109" s="237" t="n">
        <x:f>RANK(D109,$D$5:$D$121,0)</x:f>
        <x:v>105</x:v>
      </x:c>
      <x:c r="B109" s="236" t="str">
        <x:f>'Raw Inputs'!A106</x:f>
        <x:v>CNP</x:v>
      </x:c>
      <x:c r="C109" s="236" t="str">
        <x:f>'Raw Inputs'!B106</x:f>
        <x:v>Centerpoint Energy Inc.</x:v>
      </x:c>
      <x:c r="D109" s="238" t="n">
        <x:f>1+9*'Raw Inputs'!V106</x:f>
        <x:v>1.9310344827586206</x:v>
      </x:c>
      <x:c r="E109" s="266" t="n">
        <x:f>'Raw Inputs'!W106</x:f>
        <x:v>0.09602797453599929</x:v>
      </x:c>
      <x:c r="F109" s="266" t="n">
        <x:f>'Raw Inputs'!X106</x:f>
        <x:v>-0.640886557030495</x:v>
      </x:c>
      <x:c r="G109" s="266" t="n">
        <x:f>'Raw Inputs'!Y106</x:f>
        <x:v>0</x:v>
      </x:c>
      <x:c r="H109" s="266" t="n">
        <x:f>'Raw Inputs'!Z106</x:f>
        <x:v>0</x:v>
      </x:c>
      <x:c r="I109" s="266" t="n">
        <x:f>'Raw Inputs'!AA106</x:f>
        <x:v>1.843988164619385</x:v>
      </x:c>
      <x:c r="J109" s="266" t="n">
        <x:f>'Raw Inputs'!AB106</x:f>
        <x:v>-1.3738991784756394</x:v>
      </x:c>
      <x:c r="K109" s="266" t="n">
        <x:f>'Raw Inputs'!U106</x:f>
        <x:v>-1.0073928677530672</x:v>
      </x:c>
      <x:c r="L109" s="236" t="b">
        <x:f>'Raw Inputs'!AC106</x:f>
        <x:v>0</x:v>
      </x:c>
      <x:c r="M109" s="236" t="str">
        <x:f>'Raw Inputs'!R106</x:f>
        <x:v>Electric Services</x:v>
      </x:c>
      <x:c r="N109" s="20" t="str">
        <x:f>'Raw Inputs'!CC106</x:f>
        <x:v>https://data.sec.gov/api/xbrl/companyfacts/CIK0001130310.json</x:v>
      </x:c>
    </x:row>
    <x:row r="110">
      <x:c r="A110" s="237" t="n">
        <x:f>RANK(D110,$D$5:$D$121,0)</x:f>
        <x:v>106</x:v>
      </x:c>
      <x:c r="B110" s="236" t="str">
        <x:f>'Raw Inputs'!A112</x:f>
        <x:v>CMS</x:v>
      </x:c>
      <x:c r="C110" s="236" t="str">
        <x:f>'Raw Inputs'!B112</x:f>
        <x:v>CMS Energy Corp.</x:v>
      </x:c>
      <x:c r="D110" s="238" t="n">
        <x:f>1+9*'Raw Inputs'!V112</x:f>
        <x:v>1.853448275862069</x:v>
      </x:c>
      <x:c r="E110" s="266" t="n">
        <x:f>'Raw Inputs'!W112</x:f>
        <x:v>0.12106299212598425</x:v>
      </x:c>
      <x:c r="F110" s="266" t="n">
        <x:f>'Raw Inputs'!X112</x:f>
        <x:v>-0.49544236067658587</x:v>
      </x:c>
      <x:c r="G110" s="266" t="n">
        <x:f>'Raw Inputs'!Y112</x:f>
        <x:v>0</x:v>
      </x:c>
      <x:c r="H110" s="266" t="n">
        <x:f>'Raw Inputs'!Z112</x:f>
        <x:v>0</x:v>
      </x:c>
      <x:c r="I110" s="266" t="n">
        <x:f>'Raw Inputs'!AA112</x:f>
        <x:v>2.0512904636920384</x:v>
      </x:c>
      <x:c r="J110" s="266" t="n">
        <x:f>'Raw Inputs'!AB112</x:f>
        <x:v>-1.6046410886307811</x:v>
      </x:c>
      <x:c r="K110" s="266" t="n">
        <x:f>'Raw Inputs'!U112</x:f>
        <x:v>-1.0500417246536835</x:v>
      </x:c>
      <x:c r="L110" s="236" t="b">
        <x:f>'Raw Inputs'!AC112</x:f>
        <x:v>0</x:v>
      </x:c>
      <x:c r="M110" s="236" t="str">
        <x:f>'Raw Inputs'!R112</x:f>
        <x:v>Electric &amp; Other Services Combined</x:v>
      </x:c>
      <x:c r="N110" s="20" t="str">
        <x:f>'Raw Inputs'!CC112</x:f>
        <x:v>https://data.sec.gov/api/xbrl/companyfacts/CIK0000811156.json</x:v>
      </x:c>
    </x:row>
    <x:row r="111">
      <x:c r="A111" s="237" t="n">
        <x:f>RANK(D111,$D$5:$D$121,0)</x:f>
        <x:v>107</x:v>
      </x:c>
      <x:c r="B111" s="236" t="str">
        <x:f>'Raw Inputs'!A118</x:f>
        <x:v>LNG</x:v>
      </x:c>
      <x:c r="C111" s="236" t="str">
        <x:f>'Raw Inputs'!B118</x:f>
        <x:v>Cheniere Energy Inc.</x:v>
      </x:c>
      <x:c r="D111" s="238" t="n">
        <x:f>1+9*'Raw Inputs'!V118</x:f>
        <x:v>1.7758620689655173</x:v>
      </x:c>
      <x:c r="E111" s="266" t="n">
        <x:f>'Raw Inputs'!W118</x:f>
        <x:v>0.1863550221099179</x:v>
      </x:c>
      <x:c r="F111" s="266" t="n">
        <x:f>'Raw Inputs'!X118</x:f>
        <x:v>-0.11611980597115197</x:v>
      </x:c>
      <x:c r="G111" s="266" t="n">
        <x:f>'Raw Inputs'!Y118</x:f>
        <x:v>0.09832134292565947</x:v>
      </x:c>
      <x:c r="H111" s="266" t="n">
        <x:f>'Raw Inputs'!Z118</x:f>
        <x:v>-0.656738556900183</x:v>
      </x:c>
      <x:c r="I111" s="266" t="n">
        <x:f>'Raw Inputs'!AA118</x:f>
        <x:v>2.84358812381554</x:v>
      </x:c>
      <x:c r="J111" s="266" t="n">
        <x:f>'Raw Inputs'!AB118</x:f>
        <x:v>-2.4865236163507194</x:v>
      </x:c>
      <x:c r="K111" s="266" t="n">
        <x:f>'Raw Inputs'!U118</x:f>
        <x:v>-1.0864606597406847</x:v>
      </x:c>
      <x:c r="L111" s="236" t="b">
        <x:f>'Raw Inputs'!AC118</x:f>
        <x:v>0</x:v>
      </x:c>
      <x:c r="M111" s="236" t="str">
        <x:f>'Raw Inputs'!R118</x:f>
        <x:v>Natural Gas Distribution</x:v>
      </x:c>
      <x:c r="N111" s="20" t="str">
        <x:f>'Raw Inputs'!CC118</x:f>
        <x:v>https://data.sec.gov/api/xbrl/companyfacts/CIK0000003570.json</x:v>
      </x:c>
    </x:row>
    <x:row r="112">
      <x:c r="A112" s="237" t="n">
        <x:f>RANK(D112,$D$5:$D$121,0)</x:f>
        <x:v>108</x:v>
      </x:c>
      <x:c r="B112" s="236" t="str">
        <x:f>'Raw Inputs'!A117</x:f>
        <x:v>VNOM</x:v>
      </x:c>
      <x:c r="C112" s="236" t="str">
        <x:f>'Raw Inputs'!B117</x:f>
        <x:v>Viper Energy Inc.</x:v>
      </x:c>
      <x:c r="D112" s="238" t="n">
        <x:f>1+9*'Raw Inputs'!V117</x:f>
        <x:v>1.6982758620689655</x:v>
      </x:c>
      <x:c r="E112" s="266" t="n">
        <x:f>'Raw Inputs'!W117</x:f>
        <x:v>-0.015287769784172662</x:v>
      </x:c>
      <x:c r="F112" s="266" t="n">
        <x:f>'Raw Inputs'!X117</x:f>
        <x:v>-1.029601712582685</x:v>
      </x:c>
      <x:c r="G112" s="266" t="n">
        <x:f>'Raw Inputs'!Y117</x:f>
        <x:v>0.8537767756482525</x:v>
      </x:c>
      <x:c r="H112" s="266" t="n">
        <x:f>'Raw Inputs'!Z117</x:f>
        <x:v>-2.7120853210725495</x:v>
      </x:c>
      <x:c r="I112" s="266" t="n">
        <x:f>'Raw Inputs'!AA117</x:f>
        <x:v>0.4914568345323741</x:v>
      </x:c>
      <x:c r="J112" s="266" t="n">
        <x:f>'Raw Inputs'!AB117</x:f>
        <x:v>0.1315624784622547</x:v>
      </x:c>
      <x:c r="K112" s="266" t="n">
        <x:f>'Raw Inputs'!U117</x:f>
        <x:v>-1.2033748517309932</x:v>
      </x:c>
      <x:c r="L112" s="236" t="b">
        <x:f>'Raw Inputs'!AC117</x:f>
        <x:v>0</x:v>
      </x:c>
      <x:c r="M112" s="236" t="str">
        <x:f>'Raw Inputs'!R117</x:f>
        <x:v>Crude Petroleum &amp; Natural Gas</x:v>
      </x:c>
      <x:c r="N112" s="20" t="str">
        <x:f>'Raw Inputs'!CC117</x:f>
        <x:v>https://data.sec.gov/api/xbrl/companyfacts/CIK0002074176.json</x:v>
      </x:c>
    </x:row>
    <x:row r="113">
      <x:c r="A113" s="237" t="n">
        <x:f>RANK(D113,$D$5:$D$121,0)</x:f>
        <x:v>109</x:v>
      </x:c>
      <x:c r="B113" s="236" t="str">
        <x:f>'Raw Inputs'!A48</x:f>
        <x:v>MO</x:v>
      </x:c>
      <x:c r="C113" s="236" t="str">
        <x:f>'Raw Inputs'!B48</x:f>
        <x:v>Altria Group Inc.</x:v>
      </x:c>
      <x:c r="D113" s="238" t="n">
        <x:f>1+9*'Raw Inputs'!V48</x:f>
        <x:v>1.6206896551724137</x:v>
      </x:c>
      <x:c r="E113" s="266" t="n">
        <x:f>'Raw Inputs'!W48</x:f>
        <x:v>-2.299543118218161</x:v>
      </x:c>
      <x:c r="F113" s="266" t="n">
        <x:f>'Raw Inputs'!X48</x:f>
        <x:v>-1.029601712582685</x:v>
      </x:c>
      <x:c r="G113" s="266" t="n">
        <x:f>'Raw Inputs'!Y48</x:f>
        <x:v>-0.05208422372282531</x:v>
      </x:c>
      <x:c r="H113" s="266" t="n">
        <x:f>'Raw Inputs'!Z48</x:f>
        <x:v>0.8415959669768392</x:v>
      </x:c>
      <x:c r="I113" s="266" t="n">
        <x:f>'Raw Inputs'!AA48</x:f>
        <x:v>-7.341233580810965</x:v>
      </x:c>
      <x:c r="J113" s="266" t="n">
        <x:f>'Raw Inputs'!AB48</x:f>
        <x:v>-3.5848818051876323</x:v>
      </x:c>
      <x:c r="K113" s="266" t="n">
        <x:f>'Raw Inputs'!U48</x:f>
        <x:v>-1.257629183597826</x:v>
      </x:c>
      <x:c r="L113" s="236" t="b">
        <x:f>'Raw Inputs'!AC48</x:f>
        <x:v>0</x:v>
      </x:c>
      <x:c r="M113" s="236" t="str">
        <x:f>'Raw Inputs'!R48</x:f>
        <x:v>Cigarettes</x:v>
      </x:c>
      <x:c r="N113" s="20" t="str">
        <x:f>'Raw Inputs'!CC48</x:f>
        <x:v>https://data.sec.gov/api/xbrl/companyfacts/CIK0000764180.json</x:v>
      </x:c>
    </x:row>
    <x:row r="114">
      <x:c r="A114" s="237" t="n">
        <x:f>RANK(D114,$D$5:$D$121,0)</x:f>
        <x:v>110</x:v>
      </x:c>
      <x:c r="B114" s="236" t="str">
        <x:f>'Raw Inputs'!A101</x:f>
        <x:v>PM</x:v>
      </x:c>
      <x:c r="C114" s="236" t="str">
        <x:f>'Raw Inputs'!B101</x:f>
        <x:v>Philip Morris International Inc.</x:v>
      </x:c>
      <x:c r="D114" s="238" t="n">
        <x:f>1+9*'Raw Inputs'!V101</x:f>
        <x:v>1.543103448275862</x:v>
      </x:c>
      <x:c r="E114" s="266" t="n">
        <x:f>'Raw Inputs'!W101</x:f>
        <x:v>-1.1102661596958174</x:v>
      </x:c>
      <x:c r="F114" s="266" t="n">
        <x:f>'Raw Inputs'!X101</x:f>
        <x:v>-1.029601712582685</x:v>
      </x:c>
      <x:c r="G114" s="266" t="n">
        <x:f>'Raw Inputs'!Y101</x:f>
        <x:v>0.01858455054249479</x:v>
      </x:c>
      <x:c r="H114" s="266" t="n">
        <x:f>'Raw Inputs'!Z101</x:f>
        <x:v>0.13759633051878353</x:v>
      </x:c>
      <x:c r="I114" s="266" t="n">
        <x:f>'Raw Inputs'!AA101</x:f>
        <x:v>-0.01681008605163098</x:v>
      </x:c>
      <x:c r="J114" s="266" t="n">
        <x:f>'Raw Inputs'!AB101</x:f>
        <x:v>-3.5848818051876323</x:v>
      </x:c>
      <x:c r="K114" s="266" t="n">
        <x:f>'Raw Inputs'!U101</x:f>
        <x:v>-1.4922957290838446</x:v>
      </x:c>
      <x:c r="L114" s="236" t="b">
        <x:f>'Raw Inputs'!AC101</x:f>
        <x:v>0</x:v>
      </x:c>
      <x:c r="M114" s="236" t="str">
        <x:f>'Raw Inputs'!R101</x:f>
        <x:v>Cigarettes</x:v>
      </x:c>
      <x:c r="N114" s="20" t="str">
        <x:f>'Raw Inputs'!CC101</x:f>
        <x:v>https://data.sec.gov/api/xbrl/companyfacts/CIK0001413329.json</x:v>
      </x:c>
    </x:row>
    <x:row r="115">
      <x:c r="A115" s="237" t="n">
        <x:f>RANK(D115,$D$5:$D$121,0)</x:f>
        <x:v>111</x:v>
      </x:c>
      <x:c r="B115" s="236" t="str">
        <x:f>'Raw Inputs'!A87</x:f>
        <x:v>YUM</x:v>
      </x:c>
      <x:c r="C115" s="236" t="str">
        <x:f>'Raw Inputs'!B87</x:f>
        <x:v>Yum! Brands Inc.</x:v>
      </x:c>
      <x:c r="D115" s="238" t="n">
        <x:f>1+9*'Raw Inputs'!V87</x:f>
        <x:v>1.4655172413793103</x:v>
      </x:c>
      <x:c r="E115" s="266" t="n">
        <x:f>'Raw Inputs'!W87</x:f>
        <x:v>-0.23726962457337883</x:v>
      </x:c>
      <x:c r="F115" s="266" t="n">
        <x:f>'Raw Inputs'!X87</x:f>
        <x:v>-1.029601712582685</x:v>
      </x:c>
      <x:c r="G115" s="266" t="n">
        <x:f>'Raw Inputs'!Y87</x:f>
        <x:v>0.03243098365049585</x:v>
      </x:c>
      <x:c r="H115" s="266" t="n">
        <x:f>'Raw Inputs'!Z87</x:f>
        <x:v>-0.0003413084966591683</x:v>
      </x:c>
      <x:c r="I115" s="266" t="n">
        <x:f>'Raw Inputs'!AA87</x:f>
        <x:v>-0.005187713310580205</x:v>
      </x:c>
      <x:c r="J115" s="266" t="n">
        <x:f>'Raw Inputs'!AB87</x:f>
        <x:v>-3.5848818051876323</x:v>
      </x:c>
      <x:c r="K115" s="266" t="n">
        <x:f>'Raw Inputs'!U87</x:f>
        <x:v>-1.5382749420889923</x:v>
      </x:c>
      <x:c r="L115" s="236" t="b">
        <x:f>'Raw Inputs'!AC87</x:f>
        <x:v>0</x:v>
      </x:c>
      <x:c r="M115" s="236" t="str">
        <x:f>'Raw Inputs'!R87</x:f>
        <x:v>Retail-Eating  Places</x:v>
      </x:c>
      <x:c r="N115" s="20" t="str">
        <x:f>'Raw Inputs'!CC87</x:f>
        <x:v>https://data.sec.gov/api/xbrl/companyfacts/CIK0001041061.json</x:v>
      </x:c>
    </x:row>
    <x:row r="116">
      <x:c r="A116" s="237" t="n">
        <x:f>RANK(D116,$D$5:$D$121,0)</x:f>
        <x:v>112</x:v>
      </x:c>
      <x:c r="B116" s="236" t="str">
        <x:f>'Raw Inputs'!A107</x:f>
        <x:v>CE</x:v>
      </x:c>
      <x:c r="C116" s="236" t="str">
        <x:f>'Raw Inputs'!B107</x:f>
        <x:v>Celanese Corp.</x:v>
      </x:c>
      <x:c r="D116" s="238" t="n">
        <x:f>1+9*'Raw Inputs'!V107</x:f>
        <x:v>1.3879310344827587</x:v>
      </x:c>
      <x:c r="E116" s="266" t="n">
        <x:f>'Raw Inputs'!W107</x:f>
        <x:v>-0.2704371449740677</x:v>
      </x:c>
      <x:c r="F116" s="266" t="n">
        <x:f>'Raw Inputs'!X107</x:f>
        <x:v>-1.029601712582685</x:v>
      </x:c>
      <x:c r="G116" s="266" t="n">
        <x:f>'Raw Inputs'!Y107</x:f>
        <x:v>0</x:v>
      </x:c>
      <x:c r="H116" s="266" t="n">
        <x:f>'Raw Inputs'!Z107</x:f>
        <x:v>0</x:v>
      </x:c>
      <x:c r="I116" s="266" t="n">
        <x:f>'Raw Inputs'!AA107</x:f>
        <x:v>3.1153371202766116</x:v>
      </x:c>
      <x:c r="J116" s="266" t="n">
        <x:f>'Raw Inputs'!AB107</x:f>
        <x:v>-2.788999193354304</x:v>
      </x:c>
      <x:c r="K116" s="266" t="n">
        <x:f>'Raw Inputs'!U107</x:f>
        <x:v>-1.9093004529684947</x:v>
      </x:c>
      <x:c r="L116" s="236" t="b">
        <x:f>'Raw Inputs'!AC107</x:f>
        <x:v>0</x:v>
      </x:c>
      <x:c r="M116" s="236" t="str">
        <x:f>'Raw Inputs'!R107</x:f>
        <x:v>Plastic Material, Synth Resin/Rubber, Cellulos (No Glass)</x:v>
      </x:c>
      <x:c r="N116" s="20" t="str">
        <x:f>'Raw Inputs'!CC107</x:f>
        <x:v>https://data.sec.gov/api/xbrl/companyfacts/CIK0001306830.json</x:v>
      </x:c>
    </x:row>
    <x:row r="117">
      <x:c r="A117" s="237" t="n">
        <x:f>RANK(D117,$D$5:$D$121,0)</x:f>
        <x:v>113</x:v>
      </x:c>
      <x:c r="B117" s="236" t="str">
        <x:f>'Raw Inputs'!A99</x:f>
        <x:v>ABBV</x:v>
      </x:c>
      <x:c r="C117" s="236" t="str">
        <x:f>'Raw Inputs'!B99</x:f>
        <x:v>AbbVie Inc.</x:v>
      </x:c>
      <x:c r="D117" s="238" t="n">
        <x:f>1+9*'Raw Inputs'!V99</x:f>
        <x:v>1.1551724137931034</x:v>
      </x:c>
      <x:c r="E117" s="266" t="n">
        <x:f>'Raw Inputs'!W99</x:f>
        <x:v>-1.1116207951070336</x:v>
      </x:c>
      <x:c r="F117" s="266" t="n">
        <x:f>'Raw Inputs'!X99</x:f>
        <x:v>-1.029601712582685</x:v>
      </x:c>
      <x:c r="G117" s="266" t="n">
        <x:f>'Raw Inputs'!Y99</x:f>
        <x:v>0</x:v>
      </x:c>
      <x:c r="H117" s="266" t="n">
        <x:f>'Raw Inputs'!Z99</x:f>
        <x:v>0</x:v>
      </x:c>
      <x:c r="I117" s="266" t="n">
        <x:f>'Raw Inputs'!AA99</x:f>
        <x:v>-19.725688073394494</x:v>
      </x:c>
      <x:c r="J117" s="266" t="n">
        <x:f>'Raw Inputs'!AB99</x:f>
        <x:v>-3.5848818051876323</x:v>
      </x:c>
      <x:c r="K117" s="266" t="n">
        <x:f>'Raw Inputs'!U99</x:f>
        <x:v>-2.3072417588851586</x:v>
      </x:c>
      <x:c r="L117" s="236" t="b">
        <x:f>'Raw Inputs'!AC99</x:f>
        <x:v>0</x:v>
      </x:c>
      <x:c r="M117" s="236" t="str">
        <x:f>'Raw Inputs'!R99</x:f>
        <x:v>Pharmaceutical Preparations</x:v>
      </x:c>
      <x:c r="N117" s="20" t="str">
        <x:f>'Raw Inputs'!CC99</x:f>
        <x:v>https://data.sec.gov/api/xbrl/companyfacts/CIK0001551152.json</x:v>
      </x:c>
    </x:row>
    <x:row r="118">
      <x:c r="A118" s="237" t="n">
        <x:f>RANK(D118,$D$5:$D$121,0)</x:f>
        <x:v>113</x:v>
      </x:c>
      <x:c r="B118" s="236" t="str">
        <x:f>'Raw Inputs'!A115</x:f>
        <x:v>AZO</x:v>
      </x:c>
      <x:c r="C118" s="236" t="str">
        <x:f>'Raw Inputs'!B115</x:f>
        <x:v>AutoZone Inc.</x:v>
      </x:c>
      <x:c r="D118" s="238" t="n">
        <x:f>1+9*'Raw Inputs'!V115</x:f>
        <x:v>1.1551724137931034</x:v>
      </x:c>
      <x:c r="E118" s="266" t="n">
        <x:f>'Raw Inputs'!W115</x:f>
        <x:v>-0.7258045762061065</x:v>
      </x:c>
      <x:c r="F118" s="266" t="n">
        <x:f>'Raw Inputs'!X115</x:f>
        <x:v>-1.029601712582685</x:v>
      </x:c>
      <x:c r="G118" s="266" t="n">
        <x:f>'Raw Inputs'!Y115</x:f>
        <x:v>0</x:v>
      </x:c>
      <x:c r="H118" s="266" t="n">
        <x:f>'Raw Inputs'!Z115</x:f>
        <x:v>0</x:v>
      </x:c>
      <x:c r="I118" s="266" t="n">
        <x:f>'Raw Inputs'!AA115</x:f>
        <x:v>-2.5773193611716323</x:v>
      </x:c>
      <x:c r="J118" s="266" t="n">
        <x:f>'Raw Inputs'!AB115</x:f>
        <x:v>-3.5848818051876323</x:v>
      </x:c>
      <x:c r="K118" s="266" t="n">
        <x:f>'Raw Inputs'!U115</x:f>
        <x:v>-2.3072417588851586</x:v>
      </x:c>
      <x:c r="L118" s="236" t="b">
        <x:f>'Raw Inputs'!AC115</x:f>
        <x:v>0</x:v>
      </x:c>
      <x:c r="M118" s="236" t="str">
        <x:f>'Raw Inputs'!R115</x:f>
        <x:v>Retail-Auto &amp; Home Supply Stores</x:v>
      </x:c>
      <x:c r="N118" s="20" t="str">
        <x:f>'Raw Inputs'!CC115</x:f>
        <x:v>https://data.sec.gov/api/xbrl/companyfacts/CIK0000866787.json</x:v>
      </x:c>
    </x:row>
    <x:row r="119">
      <x:c r="A119" s="237" t="n">
        <x:f>RANK(D119,$D$5:$D$121,0)</x:f>
        <x:v>113</x:v>
      </x:c>
      <x:c r="B119" s="236" t="str">
        <x:f>'Raw Inputs'!A111</x:f>
        <x:v>MCD</x:v>
      </x:c>
      <x:c r="C119" s="236" t="str">
        <x:f>'Raw Inputs'!B111</x:f>
        <x:v>McDonald's Corp.</x:v>
      </x:c>
      <x:c r="D119" s="238" t="n">
        <x:f>1+9*'Raw Inputs'!V111</x:f>
        <x:v>1.1551724137931034</x:v>
      </x:c>
      <x:c r="E119" s="266" t="n">
        <x:f>'Raw Inputs'!W111</x:f>
        <x:v>-4.845337800111669</x:v>
      </x:c>
      <x:c r="F119" s="266" t="n">
        <x:f>'Raw Inputs'!X111</x:f>
        <x:v>-1.029601712582685</x:v>
      </x:c>
      <x:c r="G119" s="266" t="n">
        <x:f>'Raw Inputs'!Y111</x:f>
        <x:v>0</x:v>
      </x:c>
      <x:c r="H119" s="266" t="n">
        <x:f>'Raw Inputs'!Z111</x:f>
        <x:v>0</x:v>
      </x:c>
      <x:c r="I119" s="266" t="n">
        <x:f>'Raw Inputs'!AA111</x:f>
        <x:v>-22.318816303740928</x:v>
      </x:c>
      <x:c r="J119" s="266" t="n">
        <x:f>'Raw Inputs'!AB111</x:f>
        <x:v>-3.5848818051876323</x:v>
      </x:c>
      <x:c r="K119" s="266" t="n">
        <x:f>'Raw Inputs'!U111</x:f>
        <x:v>-2.3072417588851586</x:v>
      </x:c>
      <x:c r="L119" s="236" t="b">
        <x:f>'Raw Inputs'!AC111</x:f>
        <x:v>0</x:v>
      </x:c>
      <x:c r="M119" s="236" t="str">
        <x:f>'Raw Inputs'!R111</x:f>
        <x:v>Retail-Eating  Places</x:v>
      </x:c>
      <x:c r="N119" s="20" t="str">
        <x:f>'Raw Inputs'!CC111</x:f>
        <x:v>https://data.sec.gov/api/xbrl/companyfacts/CIK0000063908.json</x:v>
      </x:c>
    </x:row>
    <x:row r="120">
      <x:c r="A120" s="237" t="n">
        <x:f>RANK(D120,$D$5:$D$121,0)</x:f>
        <x:v>113</x:v>
      </x:c>
      <x:c r="B120" s="236" t="str">
        <x:f>'Raw Inputs'!A97</x:f>
        <x:v>MCK</x:v>
      </x:c>
      <x:c r="C120" s="236" t="str">
        <x:f>'Raw Inputs'!B97</x:f>
        <x:v>McKesson Corp.</x:v>
      </x:c>
      <x:c r="D120" s="238" t="n">
        <x:f>1+9*'Raw Inputs'!V97</x:f>
        <x:v>1.1551724137931034</x:v>
      </x:c>
      <x:c r="E120" s="266" t="n">
        <x:f>'Raw Inputs'!W97</x:f>
        <x:v>-2.192449355432781</x:v>
      </x:c>
      <x:c r="F120" s="266" t="n">
        <x:f>'Raw Inputs'!X97</x:f>
        <x:v>-1.029601712582685</x:v>
      </x:c>
      <x:c r="G120" s="266" t="n">
        <x:f>'Raw Inputs'!Y97</x:f>
        <x:v>0</x:v>
      </x:c>
      <x:c r="H120" s="266" t="n">
        <x:f>'Raw Inputs'!Z97</x:f>
        <x:v>0</x:v>
      </x:c>
      <x:c r="I120" s="266" t="n">
        <x:f>'Raw Inputs'!AA97</x:f>
        <x:v>-3.0046040515653774</x:v>
      </x:c>
      <x:c r="J120" s="266" t="n">
        <x:f>'Raw Inputs'!AB97</x:f>
        <x:v>-3.5848818051876323</x:v>
      </x:c>
      <x:c r="K120" s="266" t="n">
        <x:f>'Raw Inputs'!U97</x:f>
        <x:v>-2.3072417588851586</x:v>
      </x:c>
      <x:c r="L120" s="236" t="b">
        <x:f>'Raw Inputs'!AC97</x:f>
        <x:v>0</x:v>
      </x:c>
      <x:c r="M120" s="236" t="str">
        <x:f>'Raw Inputs'!R97</x:f>
        <x:v>Wholesale-Drugs, Proprietaries &amp; Druggists' Sundries</x:v>
      </x:c>
      <x:c r="N120" s="20" t="str">
        <x:f>'Raw Inputs'!CC97</x:f>
        <x:v>https://data.sec.gov/api/xbrl/companyfacts/CIK0000927653.json</x:v>
      </x:c>
    </x:row>
    <x:row r="121">
      <x:c r="A121" s="237" t="n">
        <x:f>RANK(D121,$D$5:$D$121,0)</x:f>
        <x:v>113</x:v>
      </x:c>
      <x:c r="B121" s="236" t="str">
        <x:f>'Raw Inputs'!A113</x:f>
        <x:v>ORLY</x:v>
      </x:c>
      <x:c r="C121" s="236" t="str">
        <x:f>'Raw Inputs'!B113</x:f>
        <x:v>O'Reilly Automotive Inc.</x:v>
      </x:c>
      <x:c r="D121" s="238" t="n">
        <x:f>1+9*'Raw Inputs'!V113</x:f>
        <x:v>1.1551724137931034</x:v>
      </x:c>
      <x:c r="E121" s="266" t="n">
        <x:f>'Raw Inputs'!W113</x:f>
        <x:v>-3.4111458409750677</x:v>
      </x:c>
      <x:c r="F121" s="266" t="n">
        <x:f>'Raw Inputs'!X113</x:f>
        <x:v>-1.029601712582685</x:v>
      </x:c>
      <x:c r="G121" s="266" t="n">
        <x:f>'Raw Inputs'!Y113</x:f>
        <x:v>0</x:v>
      </x:c>
      <x:c r="H121" s="266" t="n">
        <x:f>'Raw Inputs'!Z113</x:f>
        <x:v>0</x:v>
      </x:c>
      <x:c r="I121" s="266" t="n">
        <x:f>'Raw Inputs'!AA113</x:f>
        <x:v>-7.882214234062398</x:v>
      </x:c>
      <x:c r="J121" s="266" t="n">
        <x:f>'Raw Inputs'!AB113</x:f>
        <x:v>-3.5848818051876323</x:v>
      </x:c>
      <x:c r="K121" s="266" t="n">
        <x:f>'Raw Inputs'!U113</x:f>
        <x:v>-2.3072417588851586</x:v>
      </x:c>
      <x:c r="L121" s="236" t="b">
        <x:f>'Raw Inputs'!AC113</x:f>
        <x:v>0</x:v>
      </x:c>
      <x:c r="M121" s="236" t="str">
        <x:f>'Raw Inputs'!R113</x:f>
        <x:v>Retail-Auto &amp; Home Supply Stores</x:v>
      </x:c>
      <x:c r="N121" s="20" t="str">
        <x:f>'Raw Inputs'!CC113</x:f>
        <x:v>https://data.sec.gov/api/xbrl/companyfacts/CIK0000898173.json</x:v>
      </x:c>
    </x:row>
  </x:sheetData>
  <x:mergeCells>
    <x:mergeCell ref="A1:N1"/>
    <x:mergeCell ref="A2:N2"/>
    <x:mergeCell ref="A3:N3"/>
  </x:mergeCells>
  <x:conditionalFormatting sqref="D5:D12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37050d66ca747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29" hidden="0" customWidth="1"/>
    <x:col min="4" max="4" width="11" hidden="0" customWidth="1"/>
    <x:col min="5" max="5" width="18" hidden="0" customWidth="1"/>
    <x:col min="6" max="6" width="10" hidden="0" customWidth="1"/>
    <x:col min="7" max="7" width="11" hidden="0" customWidth="1"/>
    <x:col min="8" max="8" width="13" hidden="0" customWidth="1"/>
    <x:col min="9" max="9" width="11" hidden="0" customWidth="1"/>
    <x:col min="10" max="10" width="11" hidden="0" customWidth="1"/>
    <x:col min="11" max="11" width="13" hidden="0" customWidth="1"/>
    <x:col min="12" max="12" width="15" hidden="0" customWidth="1"/>
    <x:col min="13" max="13" width="28" hidden="0" customWidth="1"/>
    <x:col min="14" max="14" width="11" hidden="0" customWidth="1"/>
    <x:col min="15" max="15" width="24" hidden="0" customWidth="1"/>
    <x:col min="16" max="16" width="42" hidden="0" customWidth="1"/>
    <x:col min="17" max="17" width="42" hidden="0" customWidth="1"/>
  </x:cols>
  <x:sheetData>
    <x:row r="1" ht="34" customHeight="1">
      <x:c r="A1" s="24" t="str">
        <x:v>Fundamental Momentum Ranking — Novy-Marx SUE + CAR3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>
      <x:c r="A2" s="33" t="str">
        <x:v>Higher scores combine a stronger standardized year-over-year EPS innovation and a stronger three-day abnormal earnings-announcement return.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5"/>
    </x:row>
    <x:row r="3">
      <x:c r="A3" s="263" t="str">
        <x:v>SUE uses up to eight YoY EPS innovations with a six-observation minimum. CAR3 sums adjusted stock returns minus VTI over trading days -1 to +1 around the latest identified earnings event.</x:v>
      </x:c>
      <x:c r="B3" s="264"/>
      <x:c r="C3" s="264"/>
      <x:c r="D3" s="264"/>
      <x:c r="E3" s="264"/>
      <x:c r="F3" s="264"/>
      <x:c r="G3" s="264"/>
      <x:c r="H3" s="264"/>
      <x:c r="I3" s="264"/>
      <x:c r="J3" s="264"/>
      <x:c r="K3" s="264"/>
      <x:c r="L3" s="264"/>
      <x:c r="M3" s="264"/>
      <x:c r="N3" s="264"/>
      <x:c r="O3" s="264"/>
      <x:c r="P3" s="264"/>
      <x:c r="Q3" s="265"/>
    </x:row>
    <x:row r="4">
      <x:c r="A4" s="7" t="str">
        <x:v>Rank</x:v>
      </x:c>
      <x:c r="B4" s="7" t="str">
        <x:v>Ticker</x:v>
      </x:c>
      <x:c r="C4" s="7" t="str">
        <x:v>Company</x:v>
      </x:c>
      <x:c r="D4" s="7" t="str">
        <x:v>FM Score</x:v>
      </x:c>
      <x:c r="E4" s="7" t="str">
        <x:v>Method</x:v>
      </x:c>
      <x:c r="F4" s="7" t="str">
        <x:v>SUE</x:v>
      </x:c>
      <x:c r="G4" s="7" t="str">
        <x:v>SUE Pctl</x:v>
      </x:c>
      <x:c r="H4" s="7" t="str">
        <x:v>EPS Innovations</x:v>
      </x:c>
      <x:c r="I4" s="7" t="str">
        <x:v>CAR3</x:v>
      </x:c>
      <x:c r="J4" s="7" t="str">
        <x:v>CAR3 Pctl</x:v>
      </x:c>
      <x:c r="K4" s="7" t="str">
        <x:v>Announcement</x:v>
      </x:c>
      <x:c r="L4" s="7" t="str">
        <x:v>Mapped Trading Day</x:v>
      </x:c>
      <x:c r="M4" s="7" t="str">
        <x:v>Event Source</x:v>
      </x:c>
      <x:c r="N4" s="7" t="str">
        <x:v>EPS Quarters</x:v>
      </x:c>
      <x:c r="O4" s="7" t="str">
        <x:v>CAR3 Window</x:v>
      </x:c>
      <x:c r="P4" s="7" t="str">
        <x:v>SEC Source</x:v>
      </x:c>
      <x:c r="Q4" s="7" t="str">
        <x:v>Price Source</x:v>
      </x:c>
    </x:row>
    <x:row r="5">
      <x:c r="A5" s="237" t="n">
        <x:f>RANK(D5,$D$5:$D$121,0)</x:f>
        <x:v>1</x:v>
      </x:c>
      <x:c r="B5" s="236" t="str">
        <x:f>'Raw Inputs'!A2</x:f>
        <x:v>MUSA</x:v>
      </x:c>
      <x:c r="C5" s="236" t="str">
        <x:f>'Raw Inputs'!B2</x:f>
        <x:v>Murphy USA Inc.</x:v>
      </x:c>
      <x:c r="D5" s="238" t="n">
        <x:f>IF(COUNT('Raw Inputs'!AE2,'Raw Inputs'!AJ2)=0,"",1+9*AVERAGE('Raw Inputs'!AE2,'Raw Inputs'!AJ2))</x:f>
        <x:v>9.797233201581028</x:v>
      </x:c>
      <x:c r="E5" s="236" t="str">
        <x:f>'Raw Inputs'!AO2</x:f>
        <x:v>SUE + CAR3</x:v>
      </x:c>
      <x:c r="F5" s="266" t="n">
        <x:f>'Raw Inputs'!AD2</x:f>
        <x:v>2.7118767744125276</x:v>
      </x:c>
      <x:c r="G5" s="267" t="n">
        <x:f>'Raw Inputs'!AE2</x:f>
        <x:v>0.9636363636363636</x:v>
      </x:c>
      <x:c r="H5" s="237" t="n">
        <x:f>'Raw Inputs'!AG2</x:f>
        <x:v>8</x:v>
      </x:c>
      <x:c r="I5" s="268" t="n">
        <x:f>'Raw Inputs'!AI2</x:f>
        <x:v>0.1321129751021517</x:v>
      </x:c>
      <x:c r="J5" s="267" t="n">
        <x:f>'Raw Inputs'!AJ2</x:f>
        <x:v>0.991304347826087</x:v>
      </x:c>
      <x:c r="K5" s="269" t="n">
        <x:f>'Raw Inputs'!AK2</x:f>
        <x:v>46141</x:v>
      </x:c>
      <x:c r="L5" s="269" t="n">
        <x:f>'Raw Inputs'!AL2</x:f>
        <x:v>46141</x:v>
      </x:c>
      <x:c r="M5" s="236" t="str">
        <x:f>'Raw Inputs'!AN2</x:f>
        <x:v>8-K Item 2.02 filing date</x:v>
      </x:c>
      <x:c r="N5" s="236" t="n">
        <x:f>'Raw Inputs'!AH2</x:f>
        <x:v>51</x:v>
      </x:c>
      <x:c r="O5" s="236" t="str">
        <x:f>'Raw Inputs'!AM2</x:f>
        <x:v>2026-04-28 to 2026-04-29 to 2026-04-30</x:v>
      </x:c>
      <x:c r="P5" s="20" t="str">
        <x:f>'Raw Inputs'!CC2</x:f>
        <x:v>https://data.sec.gov/api/xbrl/companyfacts/CIK0001573516.json</x:v>
      </x:c>
      <x:c r="Q5" s="20" t="str">
        <x:f>'Raw Inputs'!CB2</x:f>
        <x:v>https://query1.finance.yahoo.com/v8/finance/chart/MUSA?period1=1704067200&amp;period2=1783728000&amp;interval=1d&amp;events=div%2Csplits</x:v>
      </x:c>
    </x:row>
    <x:row r="6">
      <x:c r="A6" s="237" t="n">
        <x:f>RANK(D6,$D$5:$D$121,0)</x:f>
        <x:v>2</x:v>
      </x:c>
      <x:c r="B6" s="236" t="str">
        <x:f>'Raw Inputs'!A17</x:f>
        <x:v>GD</x:v>
      </x:c>
      <x:c r="C6" s="236" t="str">
        <x:f>'Raw Inputs'!B17</x:f>
        <x:v>General Dynamics Corp.</x:v>
      </x:c>
      <x:c r="D6" s="238" t="n">
        <x:f>IF(COUNT('Raw Inputs'!AE17,'Raw Inputs'!AJ17)=0,"",1+9*AVERAGE('Raw Inputs'!AE17,'Raw Inputs'!AJ17))</x:f>
        <x:v>9.598023715415021</x:v>
      </x:c>
      <x:c r="E6" s="236" t="str">
        <x:f>'Raw Inputs'!AO17</x:f>
        <x:v>SUE + CAR3</x:v>
      </x:c>
      <x:c r="F6" s="266" t="n">
        <x:f>'Raw Inputs'!AD17</x:f>
        <x:v>2.5723900301647205</x:v>
      </x:c>
      <x:c r="G6" s="267" t="n">
        <x:f>'Raw Inputs'!AE17</x:f>
        <x:v>0.9454545454545454</x:v>
      </x:c>
      <x:c r="H6" s="237" t="n">
        <x:f>'Raw Inputs'!AG17</x:f>
        <x:v>8</x:v>
      </x:c>
      <x:c r="I6" s="268" t="n">
        <x:f>'Raw Inputs'!AI17</x:f>
        <x:v>0.09523322401718481</x:v>
      </x:c>
      <x:c r="J6" s="267" t="n">
        <x:f>'Raw Inputs'!AJ17</x:f>
        <x:v>0.9652173913043478</x:v>
      </x:c>
      <x:c r="K6" s="269" t="n">
        <x:f>'Raw Inputs'!AK17</x:f>
        <x:v>46141</x:v>
      </x:c>
      <x:c r="L6" s="269" t="n">
        <x:f>'Raw Inputs'!AL17</x:f>
        <x:v>46141</x:v>
      </x:c>
      <x:c r="M6" s="236" t="str">
        <x:f>'Raw Inputs'!AN17</x:f>
        <x:v>8-K Item 2.02 filing date</x:v>
      </x:c>
      <x:c r="N6" s="236" t="n">
        <x:f>'Raw Inputs'!AH17</x:f>
        <x:v>39</x:v>
      </x:c>
      <x:c r="O6" s="236" t="str">
        <x:f>'Raw Inputs'!AM17</x:f>
        <x:v>2026-04-28 to 2026-04-29 to 2026-04-30</x:v>
      </x:c>
      <x:c r="P6" s="20" t="str">
        <x:f>'Raw Inputs'!CC17</x:f>
        <x:v>https://data.sec.gov/api/xbrl/companyfacts/CIK0000040533.json</x:v>
      </x:c>
      <x:c r="Q6" s="20" t="str">
        <x:f>'Raw Inputs'!CB17</x:f>
        <x:v>https://query1.finance.yahoo.com/v8/finance/chart/GD?period1=1704067200&amp;period2=1783728000&amp;interval=1d&amp;events=div%2Csplits</x:v>
      </x:c>
    </x:row>
    <x:row r="7">
      <x:c r="A7" s="237" t="n">
        <x:f>RANK(D7,$D$5:$D$121,0)</x:f>
        <x:v>3</x:v>
      </x:c>
      <x:c r="B7" s="236" t="str">
        <x:f>'Raw Inputs'!A32</x:f>
        <x:v>CBOE</x:v>
      </x:c>
      <x:c r="C7" s="236" t="str">
        <x:f>'Raw Inputs'!B32</x:f>
        <x:v>CBOE Global Markets Inc.</x:v>
      </x:c>
      <x:c r="D7" s="238" t="n">
        <x:f>IF(COUNT('Raw Inputs'!AE32,'Raw Inputs'!AJ32)=0,"",1+9*AVERAGE('Raw Inputs'!AE32,'Raw Inputs'!AJ32))</x:f>
        <x:v>9.471739130434782</x:v>
      </x:c>
      <x:c r="E7" s="236" t="str">
        <x:f>'Raw Inputs'!AO32</x:f>
        <x:v>SUE + CAR3</x:v>
      </x:c>
      <x:c r="F7" s="266" t="n">
        <x:f>'Raw Inputs'!AD32</x:f>
        <x:v>2.2200465223230386</x:v>
      </x:c>
      <x:c r="G7" s="267" t="n">
        <x:f>'Raw Inputs'!AE32</x:f>
        <x:v>0.9</x:v>
      </x:c>
      <x:c r="H7" s="237" t="n">
        <x:f>'Raw Inputs'!AG32</x:f>
        <x:v>8</x:v>
      </x:c>
      <x:c r="I7" s="268" t="n">
        <x:f>'Raw Inputs'!AI32</x:f>
        <x:v>0.09727548683514753</x:v>
      </x:c>
      <x:c r="J7" s="267" t="n">
        <x:f>'Raw Inputs'!AJ32</x:f>
        <x:v>0.9826086956521739</x:v>
      </x:c>
      <x:c r="K7" s="269" t="n">
        <x:f>'Raw Inputs'!AK32</x:f>
        <x:v>46143</x:v>
      </x:c>
      <x:c r="L7" s="269" t="n">
        <x:f>'Raw Inputs'!AL32</x:f>
        <x:v>46143</x:v>
      </x:c>
      <x:c r="M7" s="236" t="str">
        <x:f>'Raw Inputs'!AN32</x:f>
        <x:v>8-K Item 2.02 filing date</x:v>
      </x:c>
      <x:c r="N7" s="236" t="n">
        <x:f>'Raw Inputs'!AH32</x:f>
        <x:v>60</x:v>
      </x:c>
      <x:c r="O7" s="236" t="str">
        <x:f>'Raw Inputs'!AM32</x:f>
        <x:v>2026-04-30 to 2026-05-01 to 2026-05-04</x:v>
      </x:c>
      <x:c r="P7" s="20" t="str">
        <x:f>'Raw Inputs'!CC32</x:f>
        <x:v>https://data.sec.gov/api/xbrl/companyfacts/CIK0001374310.json</x:v>
      </x:c>
      <x:c r="Q7" s="20" t="str">
        <x:f>'Raw Inputs'!CB32</x:f>
        <x:v>https://query1.finance.yahoo.com/v8/finance/chart/CBOE?period1=1704067200&amp;period2=1783728000&amp;interval=1d&amp;events=div%2Csplits</x:v>
      </x:c>
    </x:row>
    <x:row r="8">
      <x:c r="A8" s="237" t="n">
        <x:f>RANK(D8,$D$5:$D$121,0)</x:f>
        <x:v>4</x:v>
      </x:c>
      <x:c r="B8" s="236" t="str">
        <x:f>'Raw Inputs'!A69</x:f>
        <x:v>FCFS</x:v>
      </x:c>
      <x:c r="C8" s="236" t="str">
        <x:f>'Raw Inputs'!B69</x:f>
        <x:v>FirstCash Holdings Inc.</x:v>
      </x:c>
      <x:c r="D8" s="238" t="n">
        <x:f>IF(COUNT('Raw Inputs'!AE69,'Raw Inputs'!AJ69)=0,"",1+9*AVERAGE('Raw Inputs'!AE69,'Raw Inputs'!AJ69))</x:f>
        <x:v>9.293873517786562</x:v>
      </x:c>
      <x:c r="E8" s="236" t="str">
        <x:f>'Raw Inputs'!AO69</x:f>
        <x:v>SUE + CAR3</x:v>
      </x:c>
      <x:c r="F8" s="266" t="n">
        <x:f>'Raw Inputs'!AD69</x:f>
        <x:v>3.3704806571377692</x:v>
      </x:c>
      <x:c r="G8" s="267" t="n">
        <x:f>'Raw Inputs'!AE69</x:f>
        <x:v>0.990909090909091</x:v>
      </x:c>
      <x:c r="H8" s="237" t="n">
        <x:f>'Raw Inputs'!AG69</x:f>
        <x:v>8</x:v>
      </x:c>
      <x:c r="I8" s="268" t="n">
        <x:f>'Raw Inputs'!AI69</x:f>
        <x:v>0.04016306287684612</x:v>
      </x:c>
      <x:c r="J8" s="267" t="n">
        <x:f>'Raw Inputs'!AJ69</x:f>
        <x:v>0.8521739130434782</x:v>
      </x:c>
      <x:c r="K8" s="269" t="n">
        <x:f>'Raw Inputs'!AK69</x:f>
        <x:v>46135</x:v>
      </x:c>
      <x:c r="L8" s="269" t="n">
        <x:f>'Raw Inputs'!AL69</x:f>
        <x:v>46135</x:v>
      </x:c>
      <x:c r="M8" s="236" t="str">
        <x:f>'Raw Inputs'!AN69</x:f>
        <x:v>8-K Item 2.02 filing date</x:v>
      </x:c>
      <x:c r="N8" s="236" t="n">
        <x:f>'Raw Inputs'!AH69</x:f>
        <x:v>59</x:v>
      </x:c>
      <x:c r="O8" s="236" t="str">
        <x:f>'Raw Inputs'!AM69</x:f>
        <x:v>2026-04-22 to 2026-04-23 to 2026-04-24</x:v>
      </x:c>
      <x:c r="P8" s="20" t="str">
        <x:f>'Raw Inputs'!CC69</x:f>
        <x:v>https://data.sec.gov/api/xbrl/companyfacts/CIK0000840489.json</x:v>
      </x:c>
      <x:c r="Q8" s="20" t="str">
        <x:f>'Raw Inputs'!CB69</x:f>
        <x:v>https://query1.finance.yahoo.com/v8/finance/chart/FCFS?period1=1704067200&amp;period2=1783728000&amp;interval=1d&amp;events=div%2Csplits</x:v>
      </x:c>
    </x:row>
    <x:row r="9">
      <x:c r="A9" s="237" t="n">
        <x:f>RANK(D9,$D$5:$D$121,0)</x:f>
        <x:v>5</x:v>
      </x:c>
      <x:c r="B9" s="236" t="str">
        <x:f>'Raw Inputs'!A35</x:f>
        <x:v>AR</x:v>
      </x:c>
      <x:c r="C9" s="236" t="str">
        <x:f>'Raw Inputs'!B35</x:f>
        <x:v>Antero Resources Corp.</x:v>
      </x:c>
      <x:c r="D9" s="238" t="n">
        <x:f>IF(COUNT('Raw Inputs'!AE35,'Raw Inputs'!AJ35)=0,"",1+9*AVERAGE('Raw Inputs'!AE35,'Raw Inputs'!AJ35))</x:f>
        <x:v>8.895454545454545</x:v>
      </x:c>
      <x:c r="E9" s="236" t="str">
        <x:f>'Raw Inputs'!AO35</x:f>
        <x:v>SUE + CAR3</x:v>
      </x:c>
      <x:c r="F9" s="266" t="n">
        <x:f>'Raw Inputs'!AD35</x:f>
        <x:v>2.688502855444104</x:v>
      </x:c>
      <x:c r="G9" s="267" t="n">
        <x:f>'Raw Inputs'!AE35</x:f>
        <x:v>0.9545454545454546</x:v>
      </x:c>
      <x:c r="H9" s="237" t="n">
        <x:f>'Raw Inputs'!AG35</x:f>
        <x:v>8</x:v>
      </x:c>
      <x:c r="I9" s="268" t="n">
        <x:f>'Raw Inputs'!AI35</x:f>
        <x:v>0.023019123628387983</x:v>
      </x:c>
      <x:c r="J9" s="267" t="n">
        <x:f>'Raw Inputs'!AJ35</x:f>
        <x:v>0.8</x:v>
      </x:c>
      <x:c r="K9" s="269" t="n">
        <x:f>'Raw Inputs'!AK35</x:f>
        <x:v>46141</x:v>
      </x:c>
      <x:c r="L9" s="269" t="n">
        <x:f>'Raw Inputs'!AL35</x:f>
        <x:v>46141</x:v>
      </x:c>
      <x:c r="M9" s="236" t="str">
        <x:f>'Raw Inputs'!AN35</x:f>
        <x:v>8-K Item 2.02 filing date</x:v>
      </x:c>
      <x:c r="N9" s="236" t="n">
        <x:f>'Raw Inputs'!AH35</x:f>
        <x:v>46</x:v>
      </x:c>
      <x:c r="O9" s="236" t="str">
        <x:f>'Raw Inputs'!AM35</x:f>
        <x:v>2026-04-28 to 2026-04-29 to 2026-04-30</x:v>
      </x:c>
      <x:c r="P9" s="20" t="str">
        <x:f>'Raw Inputs'!CC35</x:f>
        <x:v>https://data.sec.gov/api/xbrl/companyfacts/CIK0001433270.json</x:v>
      </x:c>
      <x:c r="Q9" s="20" t="str">
        <x:f>'Raw Inputs'!CB35</x:f>
        <x:v>https://query1.finance.yahoo.com/v8/finance/chart/AR?period1=1704067200&amp;period2=1783728000&amp;interval=1d&amp;events=div%2Csplits</x:v>
      </x:c>
    </x:row>
    <x:row r="10">
      <x:c r="A10" s="237" t="n">
        <x:f>RANK(D10,$D$5:$D$121,0)</x:f>
        <x:v>6</x:v>
      </x:c>
      <x:c r="B10" s="236" t="str">
        <x:f>'Raw Inputs'!A31</x:f>
        <x:v>DGX</x:v>
      </x:c>
      <x:c r="C10" s="236" t="str">
        <x:f>'Raw Inputs'!B31</x:f>
        <x:v>Quest Diagnostics Inc.</x:v>
      </x:c>
      <x:c r="D10" s="238" t="n">
        <x:f>IF(COUNT('Raw Inputs'!AE31,'Raw Inputs'!AJ31)=0,"",1+9*AVERAGE('Raw Inputs'!AE31,'Raw Inputs'!AJ31))</x:f>
        <x:v>8.758498023715415</x:v>
      </x:c>
      <x:c r="E10" s="236" t="str">
        <x:f>'Raw Inputs'!AO31</x:f>
        <x:v>SUE + CAR3</x:v>
      </x:c>
      <x:c r="F10" s="266" t="n">
        <x:f>'Raw Inputs'!AD31</x:f>
        <x:v>1.9307539073863276</x:v>
      </x:c>
      <x:c r="G10" s="267" t="n">
        <x:f>'Raw Inputs'!AE31</x:f>
        <x:v>0.8545454545454545</x:v>
      </x:c>
      <x:c r="H10" s="237" t="n">
        <x:f>'Raw Inputs'!AG31</x:f>
        <x:v>8</x:v>
      </x:c>
      <x:c r="I10" s="268" t="n">
        <x:f>'Raw Inputs'!AI31</x:f>
        <x:v>0.043976157862440024</x:v>
      </x:c>
      <x:c r="J10" s="267" t="n">
        <x:f>'Raw Inputs'!AJ31</x:f>
        <x:v>0.8695652173913043</x:v>
      </x:c>
      <x:c r="K10" s="269" t="n">
        <x:f>'Raw Inputs'!AK31</x:f>
        <x:v>46133</x:v>
      </x:c>
      <x:c r="L10" s="269" t="n">
        <x:f>'Raw Inputs'!AL31</x:f>
        <x:v>46133</x:v>
      </x:c>
      <x:c r="M10" s="236" t="str">
        <x:f>'Raw Inputs'!AN31</x:f>
        <x:v>8-K Item 2.02 filing date</x:v>
      </x:c>
      <x:c r="N10" s="236" t="n">
        <x:f>'Raw Inputs'!AH31</x:f>
        <x:v>68</x:v>
      </x:c>
      <x:c r="O10" s="236" t="str">
        <x:f>'Raw Inputs'!AM31</x:f>
        <x:v>2026-04-20 to 2026-04-21 to 2026-04-22</x:v>
      </x:c>
      <x:c r="P10" s="20" t="str">
        <x:f>'Raw Inputs'!CC31</x:f>
        <x:v>https://data.sec.gov/api/xbrl/companyfacts/CIK0001022079.json</x:v>
      </x:c>
      <x:c r="Q10" s="20" t="str">
        <x:f>'Raw Inputs'!CB31</x:f>
        <x:v>https://query1.finance.yahoo.com/v8/finance/chart/DGX?period1=1704067200&amp;period2=1783728000&amp;interval=1d&amp;events=div%2Csplits</x:v>
      </x:c>
    </x:row>
    <x:row r="11">
      <x:c r="A11" s="237" t="n">
        <x:f>RANK(D11,$D$5:$D$121,0)</x:f>
        <x:v>7</x:v>
      </x:c>
      <x:c r="B11" s="236" t="str">
        <x:f>'Raw Inputs'!A14</x:f>
        <x:v>NYT</x:v>
      </x:c>
      <x:c r="C11" s="236" t="str">
        <x:f>'Raw Inputs'!B14</x:f>
        <x:v>The New York Times Co.</x:v>
      </x:c>
      <x:c r="D11" s="238" t="n">
        <x:f>IF(COUNT('Raw Inputs'!AE14,'Raw Inputs'!AJ14)=0,"",1+9*AVERAGE('Raw Inputs'!AE14,'Raw Inputs'!AJ14))</x:f>
        <x:v>8.747826086956522</x:v>
      </x:c>
      <x:c r="E11" s="236" t="str">
        <x:f>'Raw Inputs'!AO14</x:f>
        <x:v>SUE + CAR3</x:v>
      </x:c>
      <x:c r="F11" s="266" t="n">
        <x:f>'Raw Inputs'!AD14</x:f>
        <x:v>3.7981258913081577</x:v>
      </x:c>
      <x:c r="G11" s="267" t="n">
        <x:f>'Raw Inputs'!AE14</x:f>
        <x:v>1</x:v>
      </x:c>
      <x:c r="H11" s="237" t="n">
        <x:f>'Raw Inputs'!AG14</x:f>
        <x:v>8</x:v>
      </x:c>
      <x:c r="I11" s="268" t="n">
        <x:f>'Raw Inputs'!AI14</x:f>
        <x:v>0.011313000136030649</x:v>
      </x:c>
      <x:c r="J11" s="267" t="n">
        <x:f>'Raw Inputs'!AJ14</x:f>
        <x:v>0.7217391304347827</x:v>
      </x:c>
      <x:c r="K11" s="269" t="n">
        <x:f>'Raw Inputs'!AK14</x:f>
        <x:v>46148</x:v>
      </x:c>
      <x:c r="L11" s="269" t="n">
        <x:f>'Raw Inputs'!AL14</x:f>
        <x:v>46148</x:v>
      </x:c>
      <x:c r="M11" s="236" t="str">
        <x:f>'Raw Inputs'!AN14</x:f>
        <x:v>8-K Item 2.02 filing date</x:v>
      </x:c>
      <x:c r="N11" s="236" t="n">
        <x:f>'Raw Inputs'!AH14</x:f>
        <x:v>64</x:v>
      </x:c>
      <x:c r="O11" s="236" t="str">
        <x:f>'Raw Inputs'!AM14</x:f>
        <x:v>2026-05-05 to 2026-05-06 to 2026-05-07</x:v>
      </x:c>
      <x:c r="P11" s="20" t="str">
        <x:f>'Raw Inputs'!CC14</x:f>
        <x:v>https://data.sec.gov/api/xbrl/companyfacts/CIK0000071691.json</x:v>
      </x:c>
      <x:c r="Q11" s="20" t="str">
        <x:f>'Raw Inputs'!CB14</x:f>
        <x:v>https://query1.finance.yahoo.com/v8/finance/chart/NYT?period1=1704067200&amp;period2=1783728000&amp;interval=1d&amp;events=div%2Csplits</x:v>
      </x:c>
    </x:row>
    <x:row r="12">
      <x:c r="A12" s="237" t="n">
        <x:f>RANK(D12,$D$5:$D$121,0)</x:f>
        <x:v>8</x:v>
      </x:c>
      <x:c r="B12" s="236" t="str">
        <x:f>'Raw Inputs'!A87</x:f>
        <x:v>YUM</x:v>
      </x:c>
      <x:c r="C12" s="236" t="str">
        <x:f>'Raw Inputs'!B87</x:f>
        <x:v>Yum! Brands Inc.</x:v>
      </x:c>
      <x:c r="D12" s="238" t="n">
        <x:f>IF(COUNT('Raw Inputs'!AE87,'Raw Inputs'!AJ87)=0,"",1+9*AVERAGE('Raw Inputs'!AE87,'Raw Inputs'!AJ87))</x:f>
        <x:v>8.648221343873518</x:v>
      </x:c>
      <x:c r="E12" s="236" t="str">
        <x:f>'Raw Inputs'!AO87</x:f>
        <x:v>SUE + CAR3</x:v>
      </x:c>
      <x:c r="F12" s="266" t="n">
        <x:f>'Raw Inputs'!AD87</x:f>
        <x:v>2.0957035615706703</x:v>
      </x:c>
      <x:c r="G12" s="267" t="n">
        <x:f>'Raw Inputs'!AE87</x:f>
        <x:v>0.8909090909090909</x:v>
      </x:c>
      <x:c r="H12" s="237" t="n">
        <x:f>'Raw Inputs'!AG87</x:f>
        <x:v>8</x:v>
      </x:c>
      <x:c r="I12" s="268" t="n">
        <x:f>'Raw Inputs'!AI87</x:f>
        <x:v>0.023979100617970928</x:v>
      </x:c>
      <x:c r="J12" s="267" t="n">
        <x:f>'Raw Inputs'!AJ87</x:f>
        <x:v>0.808695652173913</x:v>
      </x:c>
      <x:c r="K12" s="269" t="n">
        <x:f>'Raw Inputs'!AK87</x:f>
        <x:v>46141</x:v>
      </x:c>
      <x:c r="L12" s="269" t="n">
        <x:f>'Raw Inputs'!AL87</x:f>
        <x:v>46141</x:v>
      </x:c>
      <x:c r="M12" s="236" t="str">
        <x:f>'Raw Inputs'!AN87</x:f>
        <x:v>8-K Item 2.02 filing date</x:v>
      </x:c>
      <x:c r="N12" s="236" t="n">
        <x:f>'Raw Inputs'!AH87</x:f>
        <x:v>65</x:v>
      </x:c>
      <x:c r="O12" s="236" t="str">
        <x:f>'Raw Inputs'!AM87</x:f>
        <x:v>2026-04-28 to 2026-04-29 to 2026-04-30</x:v>
      </x:c>
      <x:c r="P12" s="20" t="str">
        <x:f>'Raw Inputs'!CC87</x:f>
        <x:v>https://data.sec.gov/api/xbrl/companyfacts/CIK0001041061.json</x:v>
      </x:c>
      <x:c r="Q12" s="20" t="str">
        <x:f>'Raw Inputs'!CB87</x:f>
        <x:v>https://query1.finance.yahoo.com/v8/finance/chart/YUM?period1=1704067200&amp;period2=1783728000&amp;interval=1d&amp;events=div%2Csplits</x:v>
      </x:c>
    </x:row>
    <x:row r="13">
      <x:c r="A13" s="237" t="n">
        <x:f>RANK(D13,$D$5:$D$121,0)</x:f>
        <x:v>9</x:v>
      </x:c>
      <x:c r="B13" s="236" t="str">
        <x:f>'Raw Inputs'!A19</x:f>
        <x:v>THG</x:v>
      </x:c>
      <x:c r="C13" s="236" t="str">
        <x:f>'Raw Inputs'!B19</x:f>
        <x:v>The Hanover Insurance Group Inc.</x:v>
      </x:c>
      <x:c r="D13" s="238" t="n">
        <x:f>IF(COUNT('Raw Inputs'!AE19,'Raw Inputs'!AJ19)=0,"",1+9*AVERAGE('Raw Inputs'!AE19,'Raw Inputs'!AJ19))</x:f>
        <x:v>8.514822134387352</x:v>
      </x:c>
      <x:c r="E13" s="236" t="str">
        <x:f>'Raw Inputs'!AO19</x:f>
        <x:v>SUE + CAR3</x:v>
      </x:c>
      <x:c r="F13" s="266" t="n">
        <x:f>'Raw Inputs'!AD19</x:f>
        <x:v>1.7146290156431587</x:v>
      </x:c>
      <x:c r="G13" s="267" t="n">
        <x:f>'Raw Inputs'!AE19</x:f>
        <x:v>0.8090909090909091</x:v>
      </x:c>
      <x:c r="H13" s="237" t="n">
        <x:f>'Raw Inputs'!AG19</x:f>
        <x:v>8</x:v>
      </x:c>
      <x:c r="I13" s="268" t="n">
        <x:f>'Raw Inputs'!AI19</x:f>
        <x:v>0.04331872716104257</x:v>
      </x:c>
      <x:c r="J13" s="267" t="n">
        <x:f>'Raw Inputs'!AJ19</x:f>
        <x:v>0.8608695652173913</x:v>
      </x:c>
      <x:c r="K13" s="269" t="n">
        <x:f>'Raw Inputs'!AK19</x:f>
        <x:v>46141</x:v>
      </x:c>
      <x:c r="L13" s="269" t="n">
        <x:f>'Raw Inputs'!AL19</x:f>
        <x:v>46141</x:v>
      </x:c>
      <x:c r="M13" s="236" t="str">
        <x:f>'Raw Inputs'!AN19</x:f>
        <x:v>8-K Item 2.02 filing date</x:v>
      </x:c>
      <x:c r="N13" s="236" t="n">
        <x:f>'Raw Inputs'!AH19</x:f>
        <x:v>64</x:v>
      </x:c>
      <x:c r="O13" s="236" t="str">
        <x:f>'Raw Inputs'!AM19</x:f>
        <x:v>2026-04-28 to 2026-04-29 to 2026-04-30</x:v>
      </x:c>
      <x:c r="P13" s="20" t="str">
        <x:f>'Raw Inputs'!CC19</x:f>
        <x:v>https://data.sec.gov/api/xbrl/companyfacts/CIK0000944695.json</x:v>
      </x:c>
      <x:c r="Q13" s="20" t="str">
        <x:f>'Raw Inputs'!CB19</x:f>
        <x:v>https://query1.finance.yahoo.com/v8/finance/chart/THG?period1=1704067200&amp;period2=1783728000&amp;interval=1d&amp;events=div%2Csplits</x:v>
      </x:c>
    </x:row>
    <x:row r="14">
      <x:c r="A14" s="237" t="n">
        <x:f>RANK(D14,$D$5:$D$121,0)</x:f>
        <x:v>10</x:v>
      </x:c>
      <x:c r="B14" s="236" t="str">
        <x:f>'Raw Inputs'!A91</x:f>
        <x:v>WELL</x:v>
      </x:c>
      <x:c r="C14" s="236" t="str">
        <x:f>'Raw Inputs'!B91</x:f>
        <x:v>Welltower Inc. REIT</x:v>
      </x:c>
      <x:c r="D14" s="238" t="n">
        <x:f>IF(COUNT('Raw Inputs'!AE91,'Raw Inputs'!AJ91)=0,"",1+9*AVERAGE('Raw Inputs'!AE91,'Raw Inputs'!AJ91))</x:f>
        <x:v>8.4899209486166</x:v>
      </x:c>
      <x:c r="E14" s="236" t="str">
        <x:f>'Raw Inputs'!AO91</x:f>
        <x:v>SUE + CAR3</x:v>
      </x:c>
      <x:c r="F14" s="266" t="n">
        <x:f>'Raw Inputs'!AD91</x:f>
        <x:v>2.093203713454875</x:v>
      </x:c>
      <x:c r="G14" s="267" t="n">
        <x:f>'Raw Inputs'!AE91</x:f>
        <x:v>0.8818181818181818</x:v>
      </x:c>
      <x:c r="H14" s="237" t="n">
        <x:f>'Raw Inputs'!AG91</x:f>
        <x:v>8</x:v>
      </x:c>
      <x:c r="I14" s="268" t="n">
        <x:f>'Raw Inputs'!AI91</x:f>
        <x:v>0.021365651336471392</x:v>
      </x:c>
      <x:c r="J14" s="267" t="n">
        <x:f>'Raw Inputs'!AJ91</x:f>
        <x:v>0.782608695652174</x:v>
      </x:c>
      <x:c r="K14" s="269" t="n">
        <x:f>'Raw Inputs'!AK91</x:f>
        <x:v>46140</x:v>
      </x:c>
      <x:c r="L14" s="269" t="n">
        <x:f>'Raw Inputs'!AL91</x:f>
        <x:v>46140</x:v>
      </x:c>
      <x:c r="M14" s="236" t="str">
        <x:f>'Raw Inputs'!AN91</x:f>
        <x:v>8-K Item 2.02 filing date</x:v>
      </x:c>
      <x:c r="N14" s="236" t="n">
        <x:f>'Raw Inputs'!AH91</x:f>
        <x:v>64</x:v>
      </x:c>
      <x:c r="O14" s="236" t="str">
        <x:f>'Raw Inputs'!AM91</x:f>
        <x:v>2026-04-27 to 2026-04-28 to 2026-04-29</x:v>
      </x:c>
      <x:c r="P14" s="20" t="str">
        <x:f>'Raw Inputs'!CC91</x:f>
        <x:v>https://data.sec.gov/api/xbrl/companyfacts/CIK0000766704.json</x:v>
      </x:c>
      <x:c r="Q14" s="20" t="str">
        <x:f>'Raw Inputs'!CB91</x:f>
        <x:v>https://query1.finance.yahoo.com/v8/finance/chart/WELL?period1=1704067200&amp;period2=1783728000&amp;interval=1d&amp;events=div%2Csplits</x:v>
      </x:c>
    </x:row>
    <x:row r="15">
      <x:c r="A15" s="237" t="n">
        <x:f>RANK(D15,$D$5:$D$121,0)</x:f>
        <x:v>11</x:v>
      </x:c>
      <x:c r="B15" s="236" t="str">
        <x:f>'Raw Inputs'!A3</x:f>
        <x:v>RRC</x:v>
      </x:c>
      <x:c r="C15" s="236" t="str">
        <x:f>'Raw Inputs'!B3</x:f>
        <x:v>Range Resources Corp.</x:v>
      </x:c>
      <x:c r="D15" s="238" t="n">
        <x:f>IF(COUNT('Raw Inputs'!AE3,'Raw Inputs'!AJ3)=0,"",1+9*AVERAGE('Raw Inputs'!AE3,'Raw Inputs'!AJ3))</x:f>
        <x:v>8.363636363636363</x:v>
      </x:c>
      <x:c r="E15" s="236" t="str">
        <x:f>'Raw Inputs'!AO3</x:f>
        <x:v>SUE only</x:v>
      </x:c>
      <x:c r="F15" s="266" t="n">
        <x:f>'Raw Inputs'!AD3</x:f>
        <x:v>1.7234632604258548</x:v>
      </x:c>
      <x:c r="G15" s="267" t="n">
        <x:f>'Raw Inputs'!AE3</x:f>
        <x:v>0.8181818181818182</x:v>
      </x:c>
      <x:c r="H15" s="237" t="n">
        <x:f>'Raw Inputs'!AG3</x:f>
        <x:v>8</x:v>
      </x:c>
      <x:c r="I15" s="268" t="n">
        <x:f>'Raw Inputs'!AI3</x:f>
        <x:v>0</x:v>
      </x:c>
      <x:c r="J15" s="267" t="n">
        <x:f>'Raw Inputs'!AJ3</x:f>
        <x:v>0</x:v>
      </x:c>
      <x:c r="K15" s="269" t="n">
        <x:f>'Raw Inputs'!AK3</x:f>
        <x:v>46213</x:v>
      </x:c>
      <x:c r="L15" s="269" t="n">
        <x:f>'Raw Inputs'!AL3</x:f>
        <x:v>46213</x:v>
      </x:c>
      <x:c r="M15" s="236" t="str">
        <x:f>'Raw Inputs'!AN3</x:f>
        <x:v>8-K Item 2.02 filing date</x:v>
      </x:c>
      <x:c r="N15" s="236" t="n">
        <x:f>'Raw Inputs'!AH3</x:f>
        <x:v>67</x:v>
      </x:c>
      <x:c r="O15" s="236" t="n">
        <x:f>'Raw Inputs'!AM3</x:f>
        <x:v>0</x:v>
      </x:c>
      <x:c r="P15" s="20" t="str">
        <x:f>'Raw Inputs'!CC3</x:f>
        <x:v>https://data.sec.gov/api/xbrl/companyfacts/CIK0000315852.json</x:v>
      </x:c>
      <x:c r="Q15" s="20" t="str">
        <x:f>'Raw Inputs'!CB3</x:f>
        <x:v>https://query1.finance.yahoo.com/v8/finance/chart/RRC?period1=1704067200&amp;period2=1783728000&amp;interval=1d&amp;events=div%2Csplits</x:v>
      </x:c>
    </x:row>
    <x:row r="16">
      <x:c r="A16" s="237" t="n">
        <x:f>RANK(D16,$D$5:$D$121,0)</x:f>
        <x:v>12</x:v>
      </x:c>
      <x:c r="B16" s="236" t="str">
        <x:f>'Raw Inputs'!A48</x:f>
        <x:v>MO</x:v>
      </x:c>
      <x:c r="C16" s="236" t="str">
        <x:f>'Raw Inputs'!B48</x:f>
        <x:v>Altria Group Inc.</x:v>
      </x:c>
      <x:c r="D16" s="238" t="n">
        <x:f>IF(COUNT('Raw Inputs'!AE48,'Raw Inputs'!AJ48)=0,"",1+9*AVERAGE('Raw Inputs'!AE48,'Raw Inputs'!AJ48))</x:f>
        <x:v>8.208893280632411</x:v>
      </x:c>
      <x:c r="E16" s="236" t="str">
        <x:f>'Raw Inputs'!AO48</x:f>
        <x:v>SUE + CAR3</x:v>
      </x:c>
      <x:c r="F16" s="266" t="n">
        <x:f>'Raw Inputs'!AD48</x:f>
        <x:v>0.8729211689411626</x:v>
      </x:c>
      <x:c r="G16" s="267" t="n">
        <x:f>'Raw Inputs'!AE48</x:f>
        <x:v>0.6454545454545455</x:v>
      </x:c>
      <x:c r="H16" s="237" t="n">
        <x:f>'Raw Inputs'!AG48</x:f>
        <x:v>8</x:v>
      </x:c>
      <x:c r="I16" s="268" t="n">
        <x:f>'Raw Inputs'!AI48</x:f>
        <x:v>0.0840295514661149</x:v>
      </x:c>
      <x:c r="J16" s="267" t="n">
        <x:f>'Raw Inputs'!AJ48</x:f>
        <x:v>0.9565217391304348</x:v>
      </x:c>
      <x:c r="K16" s="269" t="n">
        <x:f>'Raw Inputs'!AK48</x:f>
        <x:v>46142</x:v>
      </x:c>
      <x:c r="L16" s="269" t="n">
        <x:f>'Raw Inputs'!AL48</x:f>
        <x:v>46142</x:v>
      </x:c>
      <x:c r="M16" s="236" t="str">
        <x:f>'Raw Inputs'!AN48</x:f>
        <x:v>8-K Item 2.02 filing date</x:v>
      </x:c>
      <x:c r="N16" s="236" t="n">
        <x:f>'Raw Inputs'!AH48</x:f>
        <x:v>68</x:v>
      </x:c>
      <x:c r="O16" s="236" t="str">
        <x:f>'Raw Inputs'!AM48</x:f>
        <x:v>2026-04-29 to 2026-04-30 to 2026-05-01</x:v>
      </x:c>
      <x:c r="P16" s="20" t="str">
        <x:f>'Raw Inputs'!CC48</x:f>
        <x:v>https://data.sec.gov/api/xbrl/companyfacts/CIK0000764180.json</x:v>
      </x:c>
      <x:c r="Q16" s="20" t="str">
        <x:f>'Raw Inputs'!CB48</x:f>
        <x:v>https://query1.finance.yahoo.com/v8/finance/chart/MO?period1=1704067200&amp;period2=1783728000&amp;interval=1d&amp;events=div%2Csplits</x:v>
      </x:c>
    </x:row>
    <x:row r="17">
      <x:c r="A17" s="237" t="n">
        <x:f>RANK(D17,$D$5:$D$121,0)</x:f>
        <x:v>13</x:v>
      </x:c>
      <x:c r="B17" s="236" t="str">
        <x:f>'Raw Inputs'!A47</x:f>
        <x:v>OHI</x:v>
      </x:c>
      <x:c r="C17" s="236" t="str">
        <x:f>'Raw Inputs'!B47</x:f>
        <x:v>Omega Healthcare Investors Inc. REIT</x:v>
      </x:c>
      <x:c r="D17" s="238" t="n">
        <x:f>IF(COUNT('Raw Inputs'!AE47,'Raw Inputs'!AJ47)=0,"",1+9*AVERAGE('Raw Inputs'!AE47,'Raw Inputs'!AJ47))</x:f>
        <x:v>8.089723320158102</x:v>
      </x:c>
      <x:c r="E17" s="236" t="str">
        <x:f>'Raw Inputs'!AO47</x:f>
        <x:v>SUE + CAR3</x:v>
      </x:c>
      <x:c r="F17" s="266" t="n">
        <x:f>'Raw Inputs'!AD47</x:f>
        <x:v>1.8332472431577391</x:v>
      </x:c>
      <x:c r="G17" s="267" t="n">
        <x:f>'Raw Inputs'!AE47</x:f>
        <x:v>0.8363636363636363</x:v>
      </x:c>
      <x:c r="H17" s="237" t="n">
        <x:f>'Raw Inputs'!AG47</x:f>
        <x:v>8</x:v>
      </x:c>
      <x:c r="I17" s="268" t="n">
        <x:f>'Raw Inputs'!AI47</x:f>
        <x:v>0.012345634954489593</x:v>
      </x:c>
      <x:c r="J17" s="267" t="n">
        <x:f>'Raw Inputs'!AJ47</x:f>
        <x:v>0.7391304347826086</x:v>
      </x:c>
      <x:c r="K17" s="269" t="n">
        <x:f>'Raw Inputs'!AK47</x:f>
        <x:v>46140</x:v>
      </x:c>
      <x:c r="L17" s="269" t="n">
        <x:f>'Raw Inputs'!AL47</x:f>
        <x:v>46140</x:v>
      </x:c>
      <x:c r="M17" s="236" t="str">
        <x:f>'Raw Inputs'!AN47</x:f>
        <x:v>8-K Item 2.02 filing date</x:v>
      </x:c>
      <x:c r="N17" s="236" t="n">
        <x:f>'Raw Inputs'!AH47</x:f>
        <x:v>64</x:v>
      </x:c>
      <x:c r="O17" s="236" t="str">
        <x:f>'Raw Inputs'!AM47</x:f>
        <x:v>2026-04-27 to 2026-04-28 to 2026-04-29</x:v>
      </x:c>
      <x:c r="P17" s="20" t="str">
        <x:f>'Raw Inputs'!CC47</x:f>
        <x:v>https://data.sec.gov/api/xbrl/companyfacts/CIK0000888491.json</x:v>
      </x:c>
      <x:c r="Q17" s="20" t="str">
        <x:f>'Raw Inputs'!CB47</x:f>
        <x:v>https://query1.finance.yahoo.com/v8/finance/chart/OHI?period1=1704067200&amp;period2=1783728000&amp;interval=1d&amp;events=div%2Csplits</x:v>
      </x:c>
    </x:row>
    <x:row r="18">
      <x:c r="A18" s="237" t="n">
        <x:f>RANK(D18,$D$5:$D$121,0)</x:f>
        <x:v>14</x:v>
      </x:c>
      <x:c r="B18" s="236" t="str">
        <x:f>'Raw Inputs'!A4</x:f>
        <x:v>ALL</x:v>
      </x:c>
      <x:c r="C18" s="236" t="str">
        <x:f>'Raw Inputs'!B4</x:f>
        <x:v>The Allstate Corp.</x:v>
      </x:c>
      <x:c r="D18" s="238" t="n">
        <x:f>IF(COUNT('Raw Inputs'!AE4,'Raw Inputs'!AJ4)=0,"",1+9*AVERAGE('Raw Inputs'!AE4,'Raw Inputs'!AJ4))</x:f>
        <x:v>7.97411067193676</x:v>
      </x:c>
      <x:c r="E18" s="236" t="str">
        <x:f>'Raw Inputs'!AO4</x:f>
        <x:v>SUE + CAR3</x:v>
      </x:c>
      <x:c r="F18" s="266" t="n">
        <x:f>'Raw Inputs'!AD4</x:f>
        <x:v>1.878577157116062</x:v>
      </x:c>
      <x:c r="G18" s="267" t="n">
        <x:f>'Raw Inputs'!AE4</x:f>
        <x:v>0.8454545454545455</x:v>
      </x:c>
      <x:c r="H18" s="237" t="n">
        <x:f>'Raw Inputs'!AG4</x:f>
        <x:v>8</x:v>
      </x:c>
      <x:c r="I18" s="268" t="n">
        <x:f>'Raw Inputs'!AI4</x:f>
        <x:v>0.00993297808465754</x:v>
      </x:c>
      <x:c r="J18" s="267" t="n">
        <x:f>'Raw Inputs'!AJ4</x:f>
        <x:v>0.7043478260869566</x:v>
      </x:c>
      <x:c r="K18" s="269" t="n">
        <x:f>'Raw Inputs'!AK4</x:f>
        <x:v>46141</x:v>
      </x:c>
      <x:c r="L18" s="269" t="n">
        <x:f>'Raw Inputs'!AL4</x:f>
        <x:v>46141</x:v>
      </x:c>
      <x:c r="M18" s="236" t="str">
        <x:f>'Raw Inputs'!AN4</x:f>
        <x:v>8-K Item 2.02 filing date</x:v>
      </x:c>
      <x:c r="N18" s="236" t="n">
        <x:f>'Raw Inputs'!AH4</x:f>
        <x:v>68</x:v>
      </x:c>
      <x:c r="O18" s="236" t="str">
        <x:f>'Raw Inputs'!AM4</x:f>
        <x:v>2026-04-28 to 2026-04-29 to 2026-04-30</x:v>
      </x:c>
      <x:c r="P18" s="20" t="str">
        <x:f>'Raw Inputs'!CC4</x:f>
        <x:v>https://data.sec.gov/api/xbrl/companyfacts/CIK0000899051.json</x:v>
      </x:c>
      <x:c r="Q18" s="20" t="str">
        <x:f>'Raw Inputs'!CB4</x:f>
        <x:v>https://query1.finance.yahoo.com/v8/finance/chart/ALL?period1=1704067200&amp;period2=1783728000&amp;interval=1d&amp;events=div%2Csplits</x:v>
      </x:c>
    </x:row>
    <x:row r="19">
      <x:c r="A19" s="237" t="n">
        <x:f>RANK(D19,$D$5:$D$121,0)</x:f>
        <x:v>15</x:v>
      </x:c>
      <x:c r="B19" s="236" t="str">
        <x:f>'Raw Inputs'!A36</x:f>
        <x:v>CME</x:v>
      </x:c>
      <x:c r="C19" s="236" t="str">
        <x:f>'Raw Inputs'!B36</x:f>
        <x:v>CME Group Inc.</x:v>
      </x:c>
      <x:c r="D19" s="238" t="n">
        <x:f>IF(COUNT('Raw Inputs'!AE36,'Raw Inputs'!AJ36)=0,"",1+9*AVERAGE('Raw Inputs'!AE36,'Raw Inputs'!AJ36))</x:f>
        <x:v>7.872727272727273</x:v>
      </x:c>
      <x:c r="E19" s="236" t="str">
        <x:f>'Raw Inputs'!AO36</x:f>
        <x:v>SUE + CAR3</x:v>
      </x:c>
      <x:c r="F19" s="266" t="n">
        <x:f>'Raw Inputs'!AD36</x:f>
        <x:v>2.2974502636081766</x:v>
      </x:c>
      <x:c r="G19" s="267" t="n">
        <x:f>'Raw Inputs'!AE36</x:f>
        <x:v>0.9272727272727272</x:v>
      </x:c>
      <x:c r="H19" s="237" t="n">
        <x:f>'Raw Inputs'!AG36</x:f>
        <x:v>8</x:v>
      </x:c>
      <x:c r="I19" s="268" t="n">
        <x:f>'Raw Inputs'!AI36</x:f>
        <x:v>-0.005751195973474732</x:v>
      </x:c>
      <x:c r="J19" s="267" t="n">
        <x:f>'Raw Inputs'!AJ36</x:f>
        <x:v>0.6</x:v>
      </x:c>
      <x:c r="K19" s="269" t="n">
        <x:f>'Raw Inputs'!AK36</x:f>
        <x:v>46134</x:v>
      </x:c>
      <x:c r="L19" s="269" t="n">
        <x:f>'Raw Inputs'!AL36</x:f>
        <x:v>46134</x:v>
      </x:c>
      <x:c r="M19" s="236" t="str">
        <x:f>'Raw Inputs'!AN36</x:f>
        <x:v>8-K Item 2.02 filing date</x:v>
      </x:c>
      <x:c r="N19" s="236" t="n">
        <x:f>'Raw Inputs'!AH36</x:f>
        <x:v>68</x:v>
      </x:c>
      <x:c r="O19" s="236" t="str">
        <x:f>'Raw Inputs'!AM36</x:f>
        <x:v>2026-04-21 to 2026-04-22 to 2026-04-23</x:v>
      </x:c>
      <x:c r="P19" s="20" t="str">
        <x:f>'Raw Inputs'!CC36</x:f>
        <x:v>https://data.sec.gov/api/xbrl/companyfacts/CIK0001156375.json</x:v>
      </x:c>
      <x:c r="Q19" s="20" t="str">
        <x:f>'Raw Inputs'!CB36</x:f>
        <x:v>https://query1.finance.yahoo.com/v8/finance/chart/CME?period1=1704067200&amp;period2=1783728000&amp;interval=1d&amp;events=div%2Csplits</x:v>
      </x:c>
    </x:row>
    <x:row r="20">
      <x:c r="A20" s="237" t="n">
        <x:f>RANK(D20,$D$5:$D$121,0)</x:f>
        <x:v>16</x:v>
      </x:c>
      <x:c r="B20" s="236" t="str">
        <x:f>'Raw Inputs'!A61</x:f>
        <x:v>VRSN</x:v>
      </x:c>
      <x:c r="C20" s="236" t="str">
        <x:f>'Raw Inputs'!B61</x:f>
        <x:v>VeriSign Inc.</x:v>
      </x:c>
      <x:c r="D20" s="238" t="n">
        <x:f>IF(COUNT('Raw Inputs'!AE61,'Raw Inputs'!AJ61)=0,"",1+9*AVERAGE('Raw Inputs'!AE61,'Raw Inputs'!AJ61))</x:f>
        <x:v>7.844268774703558</x:v>
      </x:c>
      <x:c r="E20" s="236" t="str">
        <x:f>'Raw Inputs'!AO61</x:f>
        <x:v>SUE + CAR3</x:v>
      </x:c>
      <x:c r="F20" s="266" t="n">
        <x:f>'Raw Inputs'!AD61</x:f>
        <x:v>3.176944122136661</x:v>
      </x:c>
      <x:c r="G20" s="267" t="n">
        <x:f>'Raw Inputs'!AE61</x:f>
        <x:v>0.9818181818181818</x:v>
      </x:c>
      <x:c r="H20" s="237" t="n">
        <x:f>'Raw Inputs'!AG61</x:f>
        <x:v>8</x:v>
      </x:c>
      <x:c r="I20" s="268" t="n">
        <x:f>'Raw Inputs'!AI61</x:f>
        <x:v>-0.013517323145216809</x:v>
      </x:c>
      <x:c r="J20" s="267" t="n">
        <x:f>'Raw Inputs'!AJ61</x:f>
        <x:v>0.5391304347826087</x:v>
      </x:c>
      <x:c r="K20" s="269" t="n">
        <x:f>'Raw Inputs'!AK61</x:f>
        <x:v>46135</x:v>
      </x:c>
      <x:c r="L20" s="269" t="n">
        <x:f>'Raw Inputs'!AL61</x:f>
        <x:v>46135</x:v>
      </x:c>
      <x:c r="M20" s="236" t="str">
        <x:f>'Raw Inputs'!AN61</x:f>
        <x:v>8-K Item 2.02 filing date</x:v>
      </x:c>
      <x:c r="N20" s="236" t="n">
        <x:f>'Raw Inputs'!AH61</x:f>
        <x:v>19</x:v>
      </x:c>
      <x:c r="O20" s="236" t="str">
        <x:f>'Raw Inputs'!AM61</x:f>
        <x:v>2026-04-22 to 2026-04-23 to 2026-04-24</x:v>
      </x:c>
      <x:c r="P20" s="20" t="str">
        <x:f>'Raw Inputs'!CC61</x:f>
        <x:v>https://data.sec.gov/api/xbrl/companyfacts/CIK0001014473.json</x:v>
      </x:c>
      <x:c r="Q20" s="20" t="str">
        <x:f>'Raw Inputs'!CB61</x:f>
        <x:v>https://query1.finance.yahoo.com/v8/finance/chart/VRSN?period1=1704067200&amp;period2=1783728000&amp;interval=1d&amp;events=div%2Csplits</x:v>
      </x:c>
    </x:row>
    <x:row r="21">
      <x:c r="A21" s="237" t="n">
        <x:f>RANK(D21,$D$5:$D$121,0)</x:f>
        <x:v>17</x:v>
      </x:c>
      <x:c r="B21" s="236" t="str">
        <x:f>'Raw Inputs'!A60</x:f>
        <x:v>DTM</x:v>
      </x:c>
      <x:c r="C21" s="236" t="str">
        <x:f>'Raw Inputs'!B60</x:f>
        <x:v>DT Midstream Inc.</x:v>
      </x:c>
      <x:c r="D21" s="238" t="n">
        <x:f>IF(COUNT('Raw Inputs'!AE60,'Raw Inputs'!AJ60)=0,"",1+9*AVERAGE('Raw Inputs'!AE60,'Raw Inputs'!AJ60))</x:f>
        <x:v>7.732213438735178</x:v>
      </x:c>
      <x:c r="E21" s="236" t="str">
        <x:f>'Raw Inputs'!AO60</x:f>
        <x:v>SUE + CAR3</x:v>
      </x:c>
      <x:c r="F21" s="266" t="n">
        <x:f>'Raw Inputs'!AD60</x:f>
        <x:v>0.7971490989011796</x:v>
      </x:c>
      <x:c r="G21" s="267" t="n">
        <x:f>'Raw Inputs'!AE60</x:f>
        <x:v>0.6090909090909091</x:v>
      </x:c>
      <x:c r="H21" s="237" t="n">
        <x:f>'Raw Inputs'!AG60</x:f>
        <x:v>8</x:v>
      </x:c>
      <x:c r="I21" s="268" t="n">
        <x:f>'Raw Inputs'!AI60</x:f>
        <x:v>0.05008258774987506</x:v>
      </x:c>
      <x:c r="J21" s="267" t="n">
        <x:f>'Raw Inputs'!AJ60</x:f>
        <x:v>0.8869565217391304</x:v>
      </x:c>
      <x:c r="K21" s="269" t="n">
        <x:f>'Raw Inputs'!AK60</x:f>
        <x:v>46142</x:v>
      </x:c>
      <x:c r="L21" s="269" t="n">
        <x:f>'Raw Inputs'!AL60</x:f>
        <x:v>46142</x:v>
      </x:c>
      <x:c r="M21" s="236" t="str">
        <x:f>'Raw Inputs'!AN60</x:f>
        <x:v>8-K Item 2.02 filing date</x:v>
      </x:c>
      <x:c r="N21" s="236" t="n">
        <x:f>'Raw Inputs'!AH60</x:f>
        <x:v>20</x:v>
      </x:c>
      <x:c r="O21" s="236" t="str">
        <x:f>'Raw Inputs'!AM60</x:f>
        <x:v>2026-04-29 to 2026-04-30 to 2026-05-01</x:v>
      </x:c>
      <x:c r="P21" s="20" t="str">
        <x:f>'Raw Inputs'!CC60</x:f>
        <x:v>https://data.sec.gov/api/xbrl/companyfacts/CIK0001842022.json</x:v>
      </x:c>
      <x:c r="Q21" s="20" t="str">
        <x:f>'Raw Inputs'!CB60</x:f>
        <x:v>https://query1.finance.yahoo.com/v8/finance/chart/DTM?period1=1704067200&amp;period2=1783728000&amp;interval=1d&amp;events=div%2Csplits</x:v>
      </x:c>
    </x:row>
    <x:row r="22">
      <x:c r="A22" s="237" t="n">
        <x:f>RANK(D22,$D$5:$D$121,0)</x:f>
        <x:v>18</x:v>
      </x:c>
      <x:c r="B22" s="236" t="str">
        <x:f>'Raw Inputs'!A85</x:f>
        <x:v>CACI</x:v>
      </x:c>
      <x:c r="C22" s="236" t="str">
        <x:f>'Raw Inputs'!B85</x:f>
        <x:v>CACI International Inc.</x:v>
      </x:c>
      <x:c r="D22" s="238" t="n">
        <x:f>IF(COUNT('Raw Inputs'!AE85,'Raw Inputs'!AJ85)=0,"",1+9*AVERAGE('Raw Inputs'!AE85,'Raw Inputs'!AJ85))</x:f>
        <x:v>7.68596837944664</x:v>
      </x:c>
      <x:c r="E22" s="236" t="str">
        <x:f>'Raw Inputs'!AO85</x:f>
        <x:v>SUE + CAR3</x:v>
      </x:c>
      <x:c r="F22" s="266" t="n">
        <x:f>'Raw Inputs'!AD85</x:f>
        <x:v>1.5466546605097347</x:v>
      </x:c>
      <x:c r="G22" s="267" t="n">
        <x:f>'Raw Inputs'!AE85</x:f>
        <x:v>0.7727272727272727</x:v>
      </x:c>
      <x:c r="H22" s="237" t="n">
        <x:f>'Raw Inputs'!AG85</x:f>
        <x:v>8</x:v>
      </x:c>
      <x:c r="I22" s="268" t="n">
        <x:f>'Raw Inputs'!AI85</x:f>
        <x:v>0.009998850835157835</x:v>
      </x:c>
      <x:c r="J22" s="267" t="n">
        <x:f>'Raw Inputs'!AJ85</x:f>
        <x:v>0.7130434782608696</x:v>
      </x:c>
      <x:c r="K22" s="269" t="n">
        <x:f>'Raw Inputs'!AK85</x:f>
        <x:v>46134</x:v>
      </x:c>
      <x:c r="L22" s="269" t="n">
        <x:f>'Raw Inputs'!AL85</x:f>
        <x:v>46134</x:v>
      </x:c>
      <x:c r="M22" s="236" t="str">
        <x:f>'Raw Inputs'!AN85</x:f>
        <x:v>8-K Item 2.02 filing date</x:v>
      </x:c>
      <x:c r="N22" s="236" t="n">
        <x:f>'Raw Inputs'!AH85</x:f>
        <x:v>60</x:v>
      </x:c>
      <x:c r="O22" s="236" t="str">
        <x:f>'Raw Inputs'!AM85</x:f>
        <x:v>2026-04-21 to 2026-04-22 to 2026-04-23</x:v>
      </x:c>
      <x:c r="P22" s="20" t="str">
        <x:f>'Raw Inputs'!CC85</x:f>
        <x:v>https://data.sec.gov/api/xbrl/companyfacts/CIK0000016058.json</x:v>
      </x:c>
      <x:c r="Q22" s="20" t="str">
        <x:f>'Raw Inputs'!CB85</x:f>
        <x:v>https://query1.finance.yahoo.com/v8/finance/chart/CACI?period1=1704067200&amp;period2=1783728000&amp;interval=1d&amp;events=div%2Csplits</x:v>
      </x:c>
    </x:row>
    <x:row r="23">
      <x:c r="A23" s="237" t="n">
        <x:f>RANK(D23,$D$5:$D$121,0)</x:f>
        <x:v>19</x:v>
      </x:c>
      <x:c r="B23" s="236" t="str">
        <x:f>'Raw Inputs'!A98</x:f>
        <x:v>PAYX</x:v>
      </x:c>
      <x:c r="C23" s="236" t="str">
        <x:f>'Raw Inputs'!B98</x:f>
        <x:v>Paychex Inc.</x:v>
      </x:c>
      <x:c r="D23" s="238" t="n">
        <x:f>IF(COUNT('Raw Inputs'!AE98,'Raw Inputs'!AJ98)=0,"",1+9*AVERAGE('Raw Inputs'!AE98,'Raw Inputs'!AJ98))</x:f>
        <x:v>7.547233201581028</x:v>
      </x:c>
      <x:c r="E23" s="236" t="str">
        <x:f>'Raw Inputs'!AO98</x:f>
        <x:v>SUE + CAR3</x:v>
      </x:c>
      <x:c r="F23" s="266" t="n">
        <x:f>'Raw Inputs'!AD98</x:f>
        <x:v>1.018612176863883</x:v>
      </x:c>
      <x:c r="G23" s="267" t="n">
        <x:f>'Raw Inputs'!AE98</x:f>
        <x:v>0.6636363636363637</x:v>
      </x:c>
      <x:c r="H23" s="237" t="n">
        <x:f>'Raw Inputs'!AG98</x:f>
        <x:v>8</x:v>
      </x:c>
      <x:c r="I23" s="268" t="n">
        <x:f>'Raw Inputs'!AI98</x:f>
        <x:v>0.021674055295488937</x:v>
      </x:c>
      <x:c r="J23" s="267" t="n">
        <x:f>'Raw Inputs'!AJ98</x:f>
        <x:v>0.7913043478260869</x:v>
      </x:c>
      <x:c r="K23" s="269" t="n">
        <x:f>'Raw Inputs'!AK98</x:f>
        <x:v>46197</x:v>
      </x:c>
      <x:c r="L23" s="269" t="n">
        <x:f>'Raw Inputs'!AL98</x:f>
        <x:v>46197</x:v>
      </x:c>
      <x:c r="M23" s="236" t="str">
        <x:f>'Raw Inputs'!AN98</x:f>
        <x:v>8-K Item 2.02 filing date</x:v>
      </x:c>
      <x:c r="N23" s="236" t="n">
        <x:f>'Raw Inputs'!AH98</x:f>
        <x:v>67</x:v>
      </x:c>
      <x:c r="O23" s="236" t="str">
        <x:f>'Raw Inputs'!AM98</x:f>
        <x:v>2026-06-23 to 2026-06-24 to 2026-06-25</x:v>
      </x:c>
      <x:c r="P23" s="20" t="str">
        <x:f>'Raw Inputs'!CC98</x:f>
        <x:v>https://data.sec.gov/api/xbrl/companyfacts/CIK0000723531.json</x:v>
      </x:c>
      <x:c r="Q23" s="20" t="str">
        <x:f>'Raw Inputs'!CB98</x:f>
        <x:v>https://query1.finance.yahoo.com/v8/finance/chart/PAYX?period1=1704067200&amp;period2=1783728000&amp;interval=1d&amp;events=div%2Csplits</x:v>
      </x:c>
    </x:row>
    <x:row r="24">
      <x:c r="A24" s="237" t="n">
        <x:f>RANK(D24,$D$5:$D$121,0)</x:f>
        <x:v>20</x:v>
      </x:c>
      <x:c r="B24" s="236" t="str">
        <x:f>'Raw Inputs'!A55</x:f>
        <x:v>TW</x:v>
      </x:c>
      <x:c r="C24" s="236" t="str">
        <x:f>'Raw Inputs'!B55</x:f>
        <x:v>Tradeweb Markets Inc.</x:v>
      </x:c>
      <x:c r="D24" s="238" t="n">
        <x:f>IF(COUNT('Raw Inputs'!AE55,'Raw Inputs'!AJ55)=0,"",1+9*AVERAGE('Raw Inputs'!AE55,'Raw Inputs'!AJ55))</x:f>
        <x:v>7.431620553359684</x:v>
      </x:c>
      <x:c r="E24" s="236" t="str">
        <x:f>'Raw Inputs'!AO55</x:f>
        <x:v>SUE + CAR3</x:v>
      </x:c>
      <x:c r="F24" s="266" t="n">
        <x:f>'Raw Inputs'!AD55</x:f>
        <x:v>1.022405357832953</x:v>
      </x:c>
      <x:c r="G24" s="267" t="n">
        <x:f>'Raw Inputs'!AE55</x:f>
        <x:v>0.6727272727272727</x:v>
      </x:c>
      <x:c r="H24" s="237" t="n">
        <x:f>'Raw Inputs'!AG55</x:f>
        <x:v>8</x:v>
      </x:c>
      <x:c r="I24" s="268" t="n">
        <x:f>'Raw Inputs'!AI55</x:f>
        <x:v>0.013541514733532267</x:v>
      </x:c>
      <x:c r="J24" s="267" t="n">
        <x:f>'Raw Inputs'!AJ55</x:f>
        <x:v>0.7565217391304347</x:v>
      </x:c>
      <x:c r="K24" s="269" t="n">
        <x:f>'Raw Inputs'!AK55</x:f>
        <x:v>46141</x:v>
      </x:c>
      <x:c r="L24" s="269" t="n">
        <x:f>'Raw Inputs'!AL55</x:f>
        <x:v>46141</x:v>
      </x:c>
      <x:c r="M24" s="236" t="str">
        <x:f>'Raw Inputs'!AN55</x:f>
        <x:v>8-K Item 2.02 filing date</x:v>
      </x:c>
      <x:c r="N24" s="236" t="n">
        <x:f>'Raw Inputs'!AH55</x:f>
        <x:v>28</x:v>
      </x:c>
      <x:c r="O24" s="236" t="str">
        <x:f>'Raw Inputs'!AM55</x:f>
        <x:v>2026-04-28 to 2026-04-29 to 2026-04-30</x:v>
      </x:c>
      <x:c r="P24" s="20" t="str">
        <x:f>'Raw Inputs'!CC55</x:f>
        <x:v>https://data.sec.gov/api/xbrl/companyfacts/CIK0001758730.json</x:v>
      </x:c>
      <x:c r="Q24" s="20" t="str">
        <x:f>'Raw Inputs'!CB55</x:f>
        <x:v>https://query1.finance.yahoo.com/v8/finance/chart/TW?period1=1704067200&amp;period2=1783728000&amp;interval=1d&amp;events=div%2Csplits</x:v>
      </x:c>
    </x:row>
    <x:row r="25">
      <x:c r="A25" s="237" t="n">
        <x:f>RANK(D25,$D$5:$D$121,0)</x:f>
        <x:v>21</x:v>
      </x:c>
      <x:c r="B25" s="236" t="str">
        <x:f>'Raw Inputs'!A8</x:f>
        <x:v>TRV</x:v>
      </x:c>
      <x:c r="C25" s="236" t="str">
        <x:f>'Raw Inputs'!B8</x:f>
        <x:v>The Travelers Cos. Inc.</x:v>
      </x:c>
      <x:c r="D25" s="238" t="n">
        <x:f>IF(COUNT('Raw Inputs'!AE8,'Raw Inputs'!AJ8)=0,"",1+9*AVERAGE('Raw Inputs'!AE8,'Raw Inputs'!AJ8))</x:f>
        <x:v>7.362252964426878</x:v>
      </x:c>
      <x:c r="E25" s="236" t="str">
        <x:f>'Raw Inputs'!AO8</x:f>
        <x:v>SUE + CAR3</x:v>
      </x:c>
      <x:c r="F25" s="266" t="n">
        <x:f>'Raw Inputs'!AD8</x:f>
        <x:v>2.291748410433896</x:v>
      </x:c>
      <x:c r="G25" s="267" t="n">
        <x:f>'Raw Inputs'!AE8</x:f>
        <x:v>0.9181818181818182</x:v>
      </x:c>
      <x:c r="H25" s="237" t="n">
        <x:f>'Raw Inputs'!AG8</x:f>
        <x:v>8</x:v>
      </x:c>
      <x:c r="I25" s="268" t="n">
        <x:f>'Raw Inputs'!AI8</x:f>
        <x:v>-0.018764267697488957</x:v>
      </x:c>
      <x:c r="J25" s="267" t="n">
        <x:f>'Raw Inputs'!AJ8</x:f>
        <x:v>0.4956521739130435</x:v>
      </x:c>
      <x:c r="K25" s="269" t="n">
        <x:f>'Raw Inputs'!AK8</x:f>
        <x:v>46128</x:v>
      </x:c>
      <x:c r="L25" s="269" t="n">
        <x:f>'Raw Inputs'!AL8</x:f>
        <x:v>46128</x:v>
      </x:c>
      <x:c r="M25" s="236" t="str">
        <x:f>'Raw Inputs'!AN8</x:f>
        <x:v>8-K Item 2.02 filing date</x:v>
      </x:c>
      <x:c r="N25" s="236" t="n">
        <x:f>'Raw Inputs'!AH8</x:f>
        <x:v>65</x:v>
      </x:c>
      <x:c r="O25" s="236" t="str">
        <x:f>'Raw Inputs'!AM8</x:f>
        <x:v>2026-04-15 to 2026-04-16 to 2026-04-17</x:v>
      </x:c>
      <x:c r="P25" s="20" t="str">
        <x:f>'Raw Inputs'!CC8</x:f>
        <x:v>https://data.sec.gov/api/xbrl/companyfacts/CIK0000086312.json</x:v>
      </x:c>
      <x:c r="Q25" s="20" t="str">
        <x:f>'Raw Inputs'!CB8</x:f>
        <x:v>https://query1.finance.yahoo.com/v8/finance/chart/TRV?period1=1704067200&amp;period2=1783728000&amp;interval=1d&amp;events=div%2Csplits</x:v>
      </x:c>
    </x:row>
    <x:row r="26">
      <x:c r="A26" s="237" t="n">
        <x:f>RANK(D26,$D$5:$D$121,0)</x:f>
        <x:v>22</x:v>
      </x:c>
      <x:c r="B26" s="236" t="str">
        <x:f>'Raw Inputs'!A15</x:f>
        <x:v>EG</x:v>
      </x:c>
      <x:c r="C26" s="236" t="str">
        <x:f>'Raw Inputs'!B15</x:f>
        <x:v>Everest Group Ltd.</x:v>
      </x:c>
      <x:c r="D26" s="238" t="n">
        <x:f>IF(COUNT('Raw Inputs'!AE15,'Raw Inputs'!AJ15)=0,"",1+9*AVERAGE('Raw Inputs'!AE15,'Raw Inputs'!AJ15))</x:f>
        <x:v>7.292885375494071</x:v>
      </x:c>
      <x:c r="E26" s="236" t="str">
        <x:f>'Raw Inputs'!AO15</x:f>
        <x:v>SUE + CAR3</x:v>
      </x:c>
      <x:c r="F26" s="266" t="n">
        <x:f>'Raw Inputs'!AD15</x:f>
        <x:v>0.6837858584970706</x:v>
      </x:c>
      <x:c r="G26" s="267" t="n">
        <x:f>'Raw Inputs'!AE15</x:f>
        <x:v>0.5636363636363636</x:v>
      </x:c>
      <x:c r="H26" s="237" t="n">
        <x:f>'Raw Inputs'!AG15</x:f>
        <x:v>8</x:v>
      </x:c>
      <x:c r="I26" s="268" t="n">
        <x:f>'Raw Inputs'!AI15</x:f>
        <x:v>0.03383191257818785</x:v>
      </x:c>
      <x:c r="J26" s="267" t="n">
        <x:f>'Raw Inputs'!AJ15</x:f>
        <x:v>0.8347826086956521</x:v>
      </x:c>
      <x:c r="K26" s="269" t="n">
        <x:f>'Raw Inputs'!AK15</x:f>
        <x:v>46141</x:v>
      </x:c>
      <x:c r="L26" s="269" t="n">
        <x:f>'Raw Inputs'!AL15</x:f>
        <x:v>46141</x:v>
      </x:c>
      <x:c r="M26" s="236" t="str">
        <x:f>'Raw Inputs'!AN15</x:f>
        <x:v>8-K Item 2.02 filing date</x:v>
      </x:c>
      <x:c r="N26" s="236" t="n">
        <x:f>'Raw Inputs'!AH15</x:f>
        <x:v>64</x:v>
      </x:c>
      <x:c r="O26" s="236" t="str">
        <x:f>'Raw Inputs'!AM15</x:f>
        <x:v>2026-04-28 to 2026-04-29 to 2026-04-30</x:v>
      </x:c>
      <x:c r="P26" s="20" t="str">
        <x:f>'Raw Inputs'!CC15</x:f>
        <x:v>https://data.sec.gov/api/xbrl/companyfacts/CIK0001095073.json</x:v>
      </x:c>
      <x:c r="Q26" s="20" t="str">
        <x:f>'Raw Inputs'!CB15</x:f>
        <x:v>https://query1.finance.yahoo.com/v8/finance/chart/EG?period1=1704067200&amp;period2=1783728000&amp;interval=1d&amp;events=div%2Csplits</x:v>
      </x:c>
    </x:row>
    <x:row r="27">
      <x:c r="A27" s="237" t="n">
        <x:f>RANK(D27,$D$5:$D$121,0)</x:f>
        <x:v>23</x:v>
      </x:c>
      <x:c r="B27" s="236" t="str">
        <x:f>'Raw Inputs'!A90</x:f>
        <x:v>CCC</x:v>
      </x:c>
      <x:c r="C27" s="236" t="str">
        <x:f>'Raw Inputs'!B90</x:f>
        <x:v>CCC Intelligent Solutions Holdings Inc.</x:v>
      </x:c>
      <x:c r="D27" s="238" t="n">
        <x:f>IF(COUNT('Raw Inputs'!AE90,'Raw Inputs'!AJ90)=0,"",1+9*AVERAGE('Raw Inputs'!AE90,'Raw Inputs'!AJ90))</x:f>
        <x:v>7.059881422924901</x:v>
      </x:c>
      <x:c r="E27" s="236" t="str">
        <x:f>'Raw Inputs'!AO90</x:f>
        <x:v>SUE + CAR3</x:v>
      </x:c>
      <x:c r="F27" s="266" t="n">
        <x:f>'Raw Inputs'!AD90</x:f>
        <x:v>0.1371758152921836</x:v>
      </x:c>
      <x:c r="G27" s="267" t="n">
        <x:f>'Raw Inputs'!AE90</x:f>
        <x:v>0.37272727272727274</x:v>
      </x:c>
      <x:c r="H27" s="237" t="n">
        <x:f>'Raw Inputs'!AG90</x:f>
        <x:v>8</x:v>
      </x:c>
      <x:c r="I27" s="268" t="n">
        <x:f>'Raw Inputs'!AI90</x:f>
        <x:v>0.09601167363613472</x:v>
      </x:c>
      <x:c r="J27" s="267" t="n">
        <x:f>'Raw Inputs'!AJ90</x:f>
        <x:v>0.9739130434782609</x:v>
      </x:c>
      <x:c r="K27" s="269" t="n">
        <x:f>'Raw Inputs'!AK90</x:f>
        <x:v>46142</x:v>
      </x:c>
      <x:c r="L27" s="269" t="n">
        <x:f>'Raw Inputs'!AL90</x:f>
        <x:v>46142</x:v>
      </x:c>
      <x:c r="M27" s="236" t="str">
        <x:f>'Raw Inputs'!AN90</x:f>
        <x:v>8-K Item 2.02 filing date</x:v>
      </x:c>
      <x:c r="N27" s="236" t="n">
        <x:f>'Raw Inputs'!AH90</x:f>
        <x:v>18</x:v>
      </x:c>
      <x:c r="O27" s="236" t="str">
        <x:f>'Raw Inputs'!AM90</x:f>
        <x:v>2026-04-29 to 2026-04-30 to 2026-05-01</x:v>
      </x:c>
      <x:c r="P27" s="20" t="str">
        <x:f>'Raw Inputs'!CC90</x:f>
        <x:v>https://data.sec.gov/api/xbrl/companyfacts/CIK0001818201.json</x:v>
      </x:c>
      <x:c r="Q27" s="20" t="str">
        <x:f>'Raw Inputs'!CB90</x:f>
        <x:v>https://query1.finance.yahoo.com/v8/finance/chart/CCC?period1=1704067200&amp;period2=1783728000&amp;interval=1d&amp;events=div%2Csplits</x:v>
      </x:c>
    </x:row>
    <x:row r="28">
      <x:c r="A28" s="237" t="n">
        <x:f>RANK(D28,$D$5:$D$121,0)</x:f>
        <x:v>24</x:v>
      </x:c>
      <x:c r="B28" s="236" t="str">
        <x:f>'Raw Inputs'!A41</x:f>
        <x:v>BRK-B</x:v>
      </x:c>
      <x:c r="C28" s="236" t="str">
        <x:f>'Raw Inputs'!B41</x:f>
        <x:v>Berkshire Hathaway Inc.</x:v>
      </x:c>
      <x:c r="D28" s="238" t="n">
        <x:f>IF(COUNT('Raw Inputs'!AE41,'Raw Inputs'!AJ41)=0,"",1+9*AVERAGE('Raw Inputs'!AE41,'Raw Inputs'!AJ41))</x:f>
        <x:v>7.026086956521739</x:v>
      </x:c>
      <x:c r="E28" s="236" t="str">
        <x:f>'Raw Inputs'!AO41</x:f>
        <x:v>CAR3 only</x:v>
      </x:c>
      <x:c r="F28" s="266" t="n">
        <x:f>'Raw Inputs'!AD41</x:f>
        <x:v>0</x:v>
      </x:c>
      <x:c r="G28" s="267" t="n">
        <x:f>'Raw Inputs'!AE41</x:f>
        <x:v>0</x:v>
      </x:c>
      <x:c r="H28" s="237" t="n">
        <x:f>'Raw Inputs'!AG41</x:f>
        <x:v>0</x:v>
      </x:c>
      <x:c r="I28" s="268" t="n">
        <x:f>'Raw Inputs'!AI41</x:f>
        <x:v>0.005776007089025148</x:v>
      </x:c>
      <x:c r="J28" s="267" t="n">
        <x:f>'Raw Inputs'!AJ41</x:f>
        <x:v>0.6695652173913044</x:v>
      </x:c>
      <x:c r="K28" s="269" t="n">
        <x:f>'Raw Inputs'!AK41</x:f>
        <x:v>46149</x:v>
      </x:c>
      <x:c r="L28" s="269" t="n">
        <x:f>'Raw Inputs'!AL41</x:f>
        <x:v>46149</x:v>
      </x:c>
      <x:c r="M28" s="236" t="str">
        <x:f>'Raw Inputs'!AN41</x:f>
        <x:v>8-K Item 2.02 filing date</x:v>
      </x:c>
      <x:c r="N28" s="236" t="n">
        <x:f>'Raw Inputs'!AH41</x:f>
        <x:v>3</x:v>
      </x:c>
      <x:c r="O28" s="236" t="str">
        <x:f>'Raw Inputs'!AM41</x:f>
        <x:v>2026-05-06 to 2026-05-07 to 2026-05-08</x:v>
      </x:c>
      <x:c r="P28" s="20" t="str">
        <x:f>'Raw Inputs'!CC41</x:f>
        <x:v>https://data.sec.gov/api/xbrl/companyfacts/CIK0001067983.json</x:v>
      </x:c>
      <x:c r="Q28" s="20" t="str">
        <x:f>'Raw Inputs'!CB41</x:f>
        <x:v>https://query1.finance.yahoo.com/v8/finance/chart/BRK-B?period1=1704067200&amp;period2=1783728000&amp;interval=1d&amp;events=div%2Csplits</x:v>
      </x:c>
    </x:row>
    <x:row r="29">
      <x:c r="A29" s="237" t="n">
        <x:f>RANK(D29,$D$5:$D$121,0)</x:f>
        <x:v>25</x:v>
      </x:c>
      <x:c r="B29" s="236" t="str">
        <x:f>'Raw Inputs'!A12</x:f>
        <x:v>FTI</x:v>
      </x:c>
      <x:c r="C29" s="236" t="str">
        <x:f>'Raw Inputs'!B12</x:f>
        <x:v>TechnipFMC PLC</x:v>
      </x:c>
      <x:c r="D29" s="238" t="n">
        <x:f>IF(COUNT('Raw Inputs'!AE12,'Raw Inputs'!AJ12)=0,"",1+9*AVERAGE('Raw Inputs'!AE12,'Raw Inputs'!AJ12))</x:f>
        <x:v>6.979841897233201</x:v>
      </x:c>
      <x:c r="E29" s="236" t="str">
        <x:f>'Raw Inputs'!AO12</x:f>
        <x:v>SUE + CAR3</x:v>
      </x:c>
      <x:c r="F29" s="266" t="n">
        <x:f>'Raw Inputs'!AD12</x:f>
        <x:v>1.452419148501166</x:v>
      </x:c>
      <x:c r="G29" s="267" t="n">
        <x:f>'Raw Inputs'!AE12</x:f>
        <x:v>0.7636363636363637</x:v>
      </x:c>
      <x:c r="H29" s="237" t="n">
        <x:f>'Raw Inputs'!AG12</x:f>
        <x:v>8</x:v>
      </x:c>
      <x:c r="I29" s="268" t="n">
        <x:f>'Raw Inputs'!AI12</x:f>
        <x:v>-0.008394009962877869</x:v>
      </x:c>
      <x:c r="J29" s="267" t="n">
        <x:f>'Raw Inputs'!AJ12</x:f>
        <x:v>0.5652173913043478</x:v>
      </x:c>
      <x:c r="K29" s="269" t="n">
        <x:f>'Raw Inputs'!AK12</x:f>
        <x:v>46142</x:v>
      </x:c>
      <x:c r="L29" s="269" t="n">
        <x:f>'Raw Inputs'!AL12</x:f>
        <x:v>46142</x:v>
      </x:c>
      <x:c r="M29" s="236" t="str">
        <x:f>'Raw Inputs'!AN12</x:f>
        <x:v>8-K Item 2.02 filing date</x:v>
      </x:c>
      <x:c r="N29" s="236" t="n">
        <x:f>'Raw Inputs'!AH12</x:f>
        <x:v>37</x:v>
      </x:c>
      <x:c r="O29" s="236" t="str">
        <x:f>'Raw Inputs'!AM12</x:f>
        <x:v>2026-04-29 to 2026-04-30 to 2026-05-01</x:v>
      </x:c>
      <x:c r="P29" s="20" t="str">
        <x:f>'Raw Inputs'!CC12</x:f>
        <x:v>https://data.sec.gov/api/xbrl/companyfacts/CIK0001681459.json</x:v>
      </x:c>
      <x:c r="Q29" s="20" t="str">
        <x:f>'Raw Inputs'!CB12</x:f>
        <x:v>https://query1.finance.yahoo.com/v8/finance/chart/FTI?period1=1704067200&amp;period2=1783728000&amp;interval=1d&amp;events=div%2Csplits</x:v>
      </x:c>
    </x:row>
    <x:row r="30">
      <x:c r="A30" s="237" t="n">
        <x:f>RANK(D30,$D$5:$D$121,0)</x:f>
        <x:v>26</x:v>
      </x:c>
      <x:c r="B30" s="236" t="str">
        <x:f>'Raw Inputs'!A33</x:f>
        <x:v>WM</x:v>
      </x:c>
      <x:c r="C30" s="236" t="str">
        <x:f>'Raw Inputs'!B33</x:f>
        <x:v>Waste Management Inc.</x:v>
      </x:c>
      <x:c r="D30" s="238" t="n">
        <x:f>IF(COUNT('Raw Inputs'!AE33,'Raw Inputs'!AJ33)=0,"",1+9*AVERAGE('Raw Inputs'!AE33,'Raw Inputs'!AJ33))</x:f>
        <x:v>6.953162055335969</x:v>
      </x:c>
      <x:c r="E30" s="236" t="str">
        <x:f>'Raw Inputs'!AO33</x:f>
        <x:v>SUE + CAR3</x:v>
      </x:c>
      <x:c r="F30" s="266" t="n">
        <x:f>'Raw Inputs'!AD33</x:f>
        <x:v>0.8305151019695466</x:v>
      </x:c>
      <x:c r="G30" s="267" t="n">
        <x:f>'Raw Inputs'!AE33</x:f>
        <x:v>0.6272727272727273</x:v>
      </x:c>
      <x:c r="H30" s="237" t="n">
        <x:f>'Raw Inputs'!AG33</x:f>
        <x:v>8</x:v>
      </x:c>
      <x:c r="I30" s="268" t="n">
        <x:f>'Raw Inputs'!AI33</x:f>
        <x:v>0.008819692644191135</x:v>
      </x:c>
      <x:c r="J30" s="267" t="n">
        <x:f>'Raw Inputs'!AJ33</x:f>
        <x:v>0.6956521739130435</x:v>
      </x:c>
      <x:c r="K30" s="269" t="n">
        <x:f>'Raw Inputs'!AK33</x:f>
        <x:v>46140</x:v>
      </x:c>
      <x:c r="L30" s="269" t="n">
        <x:f>'Raw Inputs'!AL33</x:f>
        <x:v>46140</x:v>
      </x:c>
      <x:c r="M30" s="236" t="str">
        <x:f>'Raw Inputs'!AN33</x:f>
        <x:v>8-K Item 2.02 filing date</x:v>
      </x:c>
      <x:c r="N30" s="236" t="n">
        <x:f>'Raw Inputs'!AH33</x:f>
        <x:v>68</x:v>
      </x:c>
      <x:c r="O30" s="236" t="str">
        <x:f>'Raw Inputs'!AM33</x:f>
        <x:v>2026-04-27 to 2026-04-28 to 2026-04-29</x:v>
      </x:c>
      <x:c r="P30" s="20" t="str">
        <x:f>'Raw Inputs'!CC33</x:f>
        <x:v>https://data.sec.gov/api/xbrl/companyfacts/CIK0000823768.json</x:v>
      </x:c>
      <x:c r="Q30" s="20" t="str">
        <x:f>'Raw Inputs'!CB33</x:f>
        <x:v>https://query1.finance.yahoo.com/v8/finance/chart/WM?period1=1704067200&amp;period2=1783728000&amp;interval=1d&amp;events=div%2Csplits</x:v>
      </x:c>
    </x:row>
    <x:row r="31">
      <x:c r="A31" s="237" t="n">
        <x:f>RANK(D31,$D$5:$D$121,0)</x:f>
        <x:v>27</x:v>
      </x:c>
      <x:c r="B31" s="236" t="str">
        <x:f>'Raw Inputs'!A57</x:f>
        <x:v>VRSK</x:v>
      </x:c>
      <x:c r="C31" s="236" t="str">
        <x:f>'Raw Inputs'!B57</x:f>
        <x:v>Verisk Analytics Inc.</x:v>
      </x:c>
      <x:c r="D31" s="238" t="n">
        <x:f>IF(COUNT('Raw Inputs'!AE57,'Raw Inputs'!AJ57)=0,"",1+9*AVERAGE('Raw Inputs'!AE57,'Raw Inputs'!AJ57))</x:f>
        <x:v>6.9122529644268775</x:v>
      </x:c>
      <x:c r="E31" s="236" t="str">
        <x:f>'Raw Inputs'!AO57</x:f>
        <x:v>SUE + CAR3</x:v>
      </x:c>
      <x:c r="F31" s="266" t="n">
        <x:f>'Raw Inputs'!AD57</x:f>
        <x:v>0.21062074147817791</x:v>
      </x:c>
      <x:c r="G31" s="267" t="n">
        <x:f>'Raw Inputs'!AE57</x:f>
        <x:v>0.41818181818181815</x:v>
      </x:c>
      <x:c r="H31" s="237" t="n">
        <x:f>'Raw Inputs'!AG57</x:f>
        <x:v>8</x:v>
      </x:c>
      <x:c r="I31" s="268" t="n">
        <x:f>'Raw Inputs'!AI57</x:f>
        <x:v>0.05091997307612095</x:v>
      </x:c>
      <x:c r="J31" s="267" t="n">
        <x:f>'Raw Inputs'!AJ57</x:f>
        <x:v>0.8956521739130435</x:v>
      </x:c>
      <x:c r="K31" s="269" t="n">
        <x:f>'Raw Inputs'!AK57</x:f>
        <x:v>46141</x:v>
      </x:c>
      <x:c r="L31" s="269" t="n">
        <x:f>'Raw Inputs'!AL57</x:f>
        <x:v>46141</x:v>
      </x:c>
      <x:c r="M31" s="236" t="str">
        <x:f>'Raw Inputs'!AN57</x:f>
        <x:v>8-K Item 2.02 filing date</x:v>
      </x:c>
      <x:c r="N31" s="236" t="n">
        <x:f>'Raw Inputs'!AH57</x:f>
        <x:v>52</x:v>
      </x:c>
      <x:c r="O31" s="236" t="str">
        <x:f>'Raw Inputs'!AM57</x:f>
        <x:v>2026-04-28 to 2026-04-29 to 2026-04-30</x:v>
      </x:c>
      <x:c r="P31" s="20" t="str">
        <x:f>'Raw Inputs'!CC57</x:f>
        <x:v>https://data.sec.gov/api/xbrl/companyfacts/CIK0001442145.json</x:v>
      </x:c>
      <x:c r="Q31" s="20" t="str">
        <x:f>'Raw Inputs'!CB57</x:f>
        <x:v>https://query1.finance.yahoo.com/v8/finance/chart/VRSK?period1=1704067200&amp;period2=1783728000&amp;interval=1d&amp;events=div%2Csplits</x:v>
      </x:c>
    </x:row>
    <x:row r="32">
      <x:c r="A32" s="237" t="n">
        <x:f>RANK(D32,$D$5:$D$121,0)</x:f>
        <x:v>28</x:v>
      </x:c>
      <x:c r="B32" s="236" t="str">
        <x:f>'Raw Inputs'!A117</x:f>
        <x:v>VNOM</x:v>
      </x:c>
      <x:c r="C32" s="236" t="str">
        <x:f>'Raw Inputs'!B117</x:f>
        <x:v>Viper Energy Inc.</x:v>
      </x:c>
      <x:c r="D32" s="238" t="n">
        <x:f>IF(COUNT('Raw Inputs'!AE117,'Raw Inputs'!AJ117)=0,"",1+9*AVERAGE('Raw Inputs'!AE117,'Raw Inputs'!AJ117))</x:f>
        <x:v>6.869565217391305</x:v>
      </x:c>
      <x:c r="E32" s="236" t="str">
        <x:f>'Raw Inputs'!AO117</x:f>
        <x:v>CAR3 only</x:v>
      </x:c>
      <x:c r="F32" s="266" t="n">
        <x:f>'Raw Inputs'!AD117</x:f>
        <x:v>0</x:v>
      </x:c>
      <x:c r="G32" s="267" t="n">
        <x:f>'Raw Inputs'!AE117</x:f>
        <x:v>0</x:v>
      </x:c>
      <x:c r="H32" s="237" t="n">
        <x:f>'Raw Inputs'!AG117</x:f>
        <x:v>0</x:v>
      </x:c>
      <x:c r="I32" s="268" t="n">
        <x:f>'Raw Inputs'!AI117</x:f>
        <x:v>0.004387927523227586</x:v>
      </x:c>
      <x:c r="J32" s="267" t="n">
        <x:f>'Raw Inputs'!AJ117</x:f>
        <x:v>0.6521739130434783</x:v>
      </x:c>
      <x:c r="K32" s="269" t="n">
        <x:f>'Raw Inputs'!AK117</x:f>
        <x:v>46146</x:v>
      </x:c>
      <x:c r="L32" s="269" t="n">
        <x:f>'Raw Inputs'!AL117</x:f>
        <x:v>46146</x:v>
      </x:c>
      <x:c r="M32" s="236" t="str">
        <x:f>'Raw Inputs'!AN117</x:f>
        <x:v>8-K Item 2.02 filing date</x:v>
      </x:c>
      <x:c r="N32" s="236" t="n">
        <x:f>'Raw Inputs'!AH117</x:f>
        <x:v>3</x:v>
      </x:c>
      <x:c r="O32" s="236" t="str">
        <x:f>'Raw Inputs'!AM117</x:f>
        <x:v>2026-05-01 to 2026-05-04 to 2026-05-05</x:v>
      </x:c>
      <x:c r="P32" s="20" t="str">
        <x:f>'Raw Inputs'!CC117</x:f>
        <x:v>https://data.sec.gov/api/xbrl/companyfacts/CIK0002074176.json</x:v>
      </x:c>
      <x:c r="Q32" s="20" t="str">
        <x:f>'Raw Inputs'!CB117</x:f>
        <x:v>https://query1.finance.yahoo.com/v8/finance/chart/VNOM?period1=1704067200&amp;period2=1783728000&amp;interval=1d&amp;events=div%2Csplits</x:v>
      </x:c>
    </x:row>
    <x:row r="33">
      <x:c r="A33" s="237" t="n">
        <x:f>RANK(D33,$D$5:$D$121,0)</x:f>
        <x:v>29</x:v>
      </x:c>
      <x:c r="B33" s="236" t="str">
        <x:f>'Raw Inputs'!A71</x:f>
        <x:v>ROP</x:v>
      </x:c>
      <x:c r="C33" s="236" t="str">
        <x:f>'Raw Inputs'!B71</x:f>
        <x:v>Roper Technologies Inc.</x:v>
      </x:c>
      <x:c r="D33" s="238" t="n">
        <x:f>IF(COUNT('Raw Inputs'!AE71,'Raw Inputs'!AJ71)=0,"",1+9*AVERAGE('Raw Inputs'!AE71,'Raw Inputs'!AJ71))</x:f>
        <x:v>6.817984189723321</x:v>
      </x:c>
      <x:c r="E33" s="236" t="str">
        <x:f>'Raw Inputs'!AO71</x:f>
        <x:v>SUE + CAR3</x:v>
      </x:c>
      <x:c r="F33" s="266" t="n">
        <x:f>'Raw Inputs'!AD71</x:f>
        <x:v>2.4573072160103107</x:v>
      </x:c>
      <x:c r="G33" s="267" t="n">
        <x:f>'Raw Inputs'!AE71</x:f>
        <x:v>0.9363636363636364</x:v>
      </x:c>
      <x:c r="H33" s="237" t="n">
        <x:f>'Raw Inputs'!AG71</x:f>
        <x:v>8</x:v>
      </x:c>
      <x:c r="I33" s="268" t="n">
        <x:f>'Raw Inputs'!AI71</x:f>
        <x:v>-0.038286455083425985</x:v>
      </x:c>
      <x:c r="J33" s="267" t="n">
        <x:f>'Raw Inputs'!AJ71</x:f>
        <x:v>0.3565217391304348</x:v>
      </x:c>
      <x:c r="K33" s="269" t="n">
        <x:f>'Raw Inputs'!AK71</x:f>
        <x:v>46135</x:v>
      </x:c>
      <x:c r="L33" s="269" t="n">
        <x:f>'Raw Inputs'!AL71</x:f>
        <x:v>46135</x:v>
      </x:c>
      <x:c r="M33" s="236" t="str">
        <x:f>'Raw Inputs'!AN71</x:f>
        <x:v>8-K Item 2.02 filing date</x:v>
      </x:c>
      <x:c r="N33" s="236" t="n">
        <x:f>'Raw Inputs'!AH71</x:f>
        <x:v>68</x:v>
      </x:c>
      <x:c r="O33" s="236" t="str">
        <x:f>'Raw Inputs'!AM71</x:f>
        <x:v>2026-04-22 to 2026-04-23 to 2026-04-24</x:v>
      </x:c>
      <x:c r="P33" s="20" t="str">
        <x:f>'Raw Inputs'!CC71</x:f>
        <x:v>https://data.sec.gov/api/xbrl/companyfacts/CIK0000882835.json</x:v>
      </x:c>
      <x:c r="Q33" s="20" t="str">
        <x:f>'Raw Inputs'!CB71</x:f>
        <x:v>https://query1.finance.yahoo.com/v8/finance/chart/ROP?period1=1704067200&amp;period2=1783728000&amp;interval=1d&amp;events=div%2Csplits</x:v>
      </x:c>
    </x:row>
    <x:row r="34">
      <x:c r="A34" s="237" t="n">
        <x:f>RANK(D34,$D$5:$D$121,0)</x:f>
        <x:v>30</x:v>
      </x:c>
      <x:c r="B34" s="236" t="str">
        <x:f>'Raw Inputs'!A27</x:f>
        <x:v>WRB</x:v>
      </x:c>
      <x:c r="C34" s="236" t="str">
        <x:f>'Raw Inputs'!B27</x:f>
        <x:v>W. R. Berkley Corp.</x:v>
      </x:c>
      <x:c r="D34" s="238" t="n">
        <x:f>IF(COUNT('Raw Inputs'!AE27,'Raw Inputs'!AJ27)=0,"",1+9*AVERAGE('Raw Inputs'!AE27,'Raw Inputs'!AJ27))</x:f>
        <x:v>6.791304347826087</x:v>
      </x:c>
      <x:c r="E34" s="236" t="str">
        <x:f>'Raw Inputs'!AO27</x:f>
        <x:v>SUE + CAR3</x:v>
      </x:c>
      <x:c r="F34" s="266" t="n">
        <x:f>'Raw Inputs'!AD27</x:f>
        <x:v>0.7641925479707952</x:v>
      </x:c>
      <x:c r="G34" s="267" t="n">
        <x:f>'Raw Inputs'!AE27</x:f>
        <x:v>0.6</x:v>
      </x:c>
      <x:c r="H34" s="237" t="n">
        <x:f>'Raw Inputs'!AG27</x:f>
        <x:v>8</x:v>
      </x:c>
      <x:c r="I34" s="268" t="n">
        <x:f>'Raw Inputs'!AI27</x:f>
        <x:v>0.008561708802055978</x:v>
      </x:c>
      <x:c r="J34" s="267" t="n">
        <x:f>'Raw Inputs'!AJ27</x:f>
        <x:v>0.6869565217391305</x:v>
      </x:c>
      <x:c r="K34" s="269" t="n">
        <x:f>'Raw Inputs'!AK27</x:f>
        <x:v>46133</x:v>
      </x:c>
      <x:c r="L34" s="269" t="n">
        <x:f>'Raw Inputs'!AL27</x:f>
        <x:v>46133</x:v>
      </x:c>
      <x:c r="M34" s="236" t="str">
        <x:f>'Raw Inputs'!AN27</x:f>
        <x:v>8-K Item 2.02 filing date</x:v>
      </x:c>
      <x:c r="N34" s="236" t="n">
        <x:f>'Raw Inputs'!AH27</x:f>
        <x:v>60</x:v>
      </x:c>
      <x:c r="O34" s="236" t="str">
        <x:f>'Raw Inputs'!AM27</x:f>
        <x:v>2026-04-20 to 2026-04-21 to 2026-04-22</x:v>
      </x:c>
      <x:c r="P34" s="20" t="str">
        <x:f>'Raw Inputs'!CC27</x:f>
        <x:v>https://data.sec.gov/api/xbrl/companyfacts/CIK0000011544.json</x:v>
      </x:c>
      <x:c r="Q34" s="20" t="str">
        <x:f>'Raw Inputs'!CB27</x:f>
        <x:v>https://query1.finance.yahoo.com/v8/finance/chart/WRB?period1=1704067200&amp;period2=1783728000&amp;interval=1d&amp;events=div%2Csplits</x:v>
      </x:c>
    </x:row>
    <x:row r="35">
      <x:c r="A35" s="237" t="n">
        <x:f>RANK(D35,$D$5:$D$121,0)</x:f>
        <x:v>31</x:v>
      </x:c>
      <x:c r="B35" s="236" t="str">
        <x:f>'Raw Inputs'!A38</x:f>
        <x:v>CB</x:v>
      </x:c>
      <x:c r="C35" s="236" t="str">
        <x:f>'Raw Inputs'!B38</x:f>
        <x:v>Chubb Ltd.</x:v>
      </x:c>
      <x:c r="D35" s="238" t="n">
        <x:f>IF(COUNT('Raw Inputs'!AE38,'Raw Inputs'!AJ38)=0,"",1+9*AVERAGE('Raw Inputs'!AE38,'Raw Inputs'!AJ38))</x:f>
        <x:v>6.787747035573123</x:v>
      </x:c>
      <x:c r="E35" s="236" t="str">
        <x:f>'Raw Inputs'!AO38</x:f>
        <x:v>SUE + CAR3</x:v>
      </x:c>
      <x:c r="F35" s="266" t="n">
        <x:f>'Raw Inputs'!AD38</x:f>
        <x:v>1.5665414412298795</x:v>
      </x:c>
      <x:c r="G35" s="267" t="n">
        <x:f>'Raw Inputs'!AE38</x:f>
        <x:v>0.7818181818181819</x:v>
      </x:c>
      <x:c r="H35" s="237" t="n">
        <x:f>'Raw Inputs'!AG38</x:f>
        <x:v>8</x:v>
      </x:c>
      <x:c r="I35" s="268" t="n">
        <x:f>'Raw Inputs'!AI38</x:f>
        <x:v>-0.018419292482057092</x:v>
      </x:c>
      <x:c r="J35" s="267" t="n">
        <x:f>'Raw Inputs'!AJ38</x:f>
        <x:v>0.5043478260869565</x:v>
      </x:c>
      <x:c r="K35" s="269" t="n">
        <x:f>'Raw Inputs'!AK38</x:f>
        <x:v>46133</x:v>
      </x:c>
      <x:c r="L35" s="269" t="n">
        <x:f>'Raw Inputs'!AL38</x:f>
        <x:v>46133</x:v>
      </x:c>
      <x:c r="M35" s="236" t="str">
        <x:f>'Raw Inputs'!AN38</x:f>
        <x:v>8-K Item 2.02 filing date</x:v>
      </x:c>
      <x:c r="N35" s="236" t="n">
        <x:f>'Raw Inputs'!AH38</x:f>
        <x:v>68</x:v>
      </x:c>
      <x:c r="O35" s="236" t="str">
        <x:f>'Raw Inputs'!AM38</x:f>
        <x:v>2026-04-20 to 2026-04-21 to 2026-04-22</x:v>
      </x:c>
      <x:c r="P35" s="20" t="str">
        <x:f>'Raw Inputs'!CC38</x:f>
        <x:v>https://data.sec.gov/api/xbrl/companyfacts/CIK0000896159.json</x:v>
      </x:c>
      <x:c r="Q35" s="20" t="str">
        <x:f>'Raw Inputs'!CB38</x:f>
        <x:v>https://query1.finance.yahoo.com/v8/finance/chart/CB?period1=1704067200&amp;period2=1783728000&amp;interval=1d&amp;events=div%2Csplits</x:v>
      </x:c>
    </x:row>
    <x:row r="36">
      <x:c r="A36" s="237" t="n">
        <x:f>RANK(D36,$D$5:$D$121,0)</x:f>
        <x:v>32</x:v>
      </x:c>
      <x:c r="B36" s="236" t="str">
        <x:f>'Raw Inputs'!A56</x:f>
        <x:v>EA</x:v>
      </x:c>
      <x:c r="C36" s="236" t="str">
        <x:f>'Raw Inputs'!B56</x:f>
        <x:v>Electronic Arts Inc.</x:v>
      </x:c>
      <x:c r="D36" s="238" t="n">
        <x:f>IF(COUNT('Raw Inputs'!AE56,'Raw Inputs'!AJ56)=0,"",1+9*AVERAGE('Raw Inputs'!AE56,'Raw Inputs'!AJ56))</x:f>
        <x:v>6.752173913043479</x:v>
      </x:c>
      <x:c r="E36" s="236" t="str">
        <x:f>'Raw Inputs'!AO56</x:f>
        <x:v>SUE + CAR3</x:v>
      </x:c>
      <x:c r="F36" s="266" t="n">
        <x:f>'Raw Inputs'!AD56</x:f>
        <x:v>1.6138594044591394</x:v>
      </x:c>
      <x:c r="G36" s="267" t="n">
        <x:f>'Raw Inputs'!AE56</x:f>
        <x:v>0.8</x:v>
      </x:c>
      <x:c r="H36" s="237" t="n">
        <x:f>'Raw Inputs'!AG56</x:f>
        <x:v>8</x:v>
      </x:c>
      <x:c r="I36" s="268" t="n">
        <x:f>'Raw Inputs'!AI56</x:f>
        <x:v>-0.024902348207135994</x:v>
      </x:c>
      <x:c r="J36" s="267" t="n">
        <x:f>'Raw Inputs'!AJ56</x:f>
        <x:v>0.4782608695652174</x:v>
      </x:c>
      <x:c r="K36" s="269" t="n">
        <x:f>'Raw Inputs'!AK56</x:f>
        <x:v>46147</x:v>
      </x:c>
      <x:c r="L36" s="269" t="n">
        <x:f>'Raw Inputs'!AL56</x:f>
        <x:v>46147</x:v>
      </x:c>
      <x:c r="M36" s="236" t="str">
        <x:f>'Raw Inputs'!AN56</x:f>
        <x:v>8-K Item 2.02 filing date</x:v>
      </x:c>
      <x:c r="N36" s="236" t="n">
        <x:f>'Raw Inputs'!AH56</x:f>
        <x:v>60</x:v>
      </x:c>
      <x:c r="O36" s="236" t="str">
        <x:f>'Raw Inputs'!AM56</x:f>
        <x:v>2026-05-04 to 2026-05-05 to 2026-05-06</x:v>
      </x:c>
      <x:c r="P36" s="20" t="str">
        <x:f>'Raw Inputs'!CC56</x:f>
        <x:v>https://data.sec.gov/api/xbrl/companyfacts/CIK0000712515.json</x:v>
      </x:c>
      <x:c r="Q36" s="20" t="str">
        <x:f>'Raw Inputs'!CB56</x:f>
        <x:v>https://query1.finance.yahoo.com/v8/finance/chart/EA?period1=1704067200&amp;period2=1783728000&amp;interval=1d&amp;events=div%2Csplits</x:v>
      </x:c>
    </x:row>
    <x:row r="37">
      <x:c r="A37" s="237" t="n">
        <x:f>RANK(D37,$D$5:$D$121,0)</x:f>
        <x:v>33</x:v>
      </x:c>
      <x:c r="B37" s="236" t="str">
        <x:f>'Raw Inputs'!A43</x:f>
        <x:v>APD</x:v>
      </x:c>
      <x:c r="C37" s="236" t="str">
        <x:f>'Raw Inputs'!B43</x:f>
        <x:v>Air Products and Chemicals Inc.</x:v>
      </x:c>
      <x:c r="D37" s="238" t="n">
        <x:f>IF(COUNT('Raw Inputs'!AE43,'Raw Inputs'!AJ43)=0,"",1+9*AVERAGE('Raw Inputs'!AE43,'Raw Inputs'!AJ43))</x:f>
        <x:v>6.750395256916995</x:v>
      </x:c>
      <x:c r="E37" s="236" t="str">
        <x:f>'Raw Inputs'!AO43</x:f>
        <x:v>SUE + CAR3</x:v>
      </x:c>
      <x:c r="F37" s="266" t="n">
        <x:f>'Raw Inputs'!AD43</x:f>
        <x:v>1.5832149512187337</x:v>
      </x:c>
      <x:c r="G37" s="267" t="n">
        <x:f>'Raw Inputs'!AE43</x:f>
        <x:v>0.7909090909090909</x:v>
      </x:c>
      <x:c r="H37" s="237" t="n">
        <x:f>'Raw Inputs'!AG43</x:f>
        <x:v>8</x:v>
      </x:c>
      <x:c r="I37" s="268" t="n">
        <x:f>'Raw Inputs'!AI43</x:f>
        <x:v>-0.020774023404031894</x:v>
      </x:c>
      <x:c r="J37" s="267" t="n">
        <x:f>'Raw Inputs'!AJ43</x:f>
        <x:v>0.48695652173913045</x:v>
      </x:c>
      <x:c r="K37" s="269" t="n">
        <x:f>'Raw Inputs'!AK43</x:f>
        <x:v>46142</x:v>
      </x:c>
      <x:c r="L37" s="269" t="n">
        <x:f>'Raw Inputs'!AL43</x:f>
        <x:v>46142</x:v>
      </x:c>
      <x:c r="M37" s="236" t="str">
        <x:f>'Raw Inputs'!AN43</x:f>
        <x:v>8-K Item 2.02 filing date</x:v>
      </x:c>
      <x:c r="N37" s="236" t="n">
        <x:f>'Raw Inputs'!AH43</x:f>
        <x:v>68</x:v>
      </x:c>
      <x:c r="O37" s="236" t="str">
        <x:f>'Raw Inputs'!AM43</x:f>
        <x:v>2026-04-29 to 2026-04-30 to 2026-05-01</x:v>
      </x:c>
      <x:c r="P37" s="20" t="str">
        <x:f>'Raw Inputs'!CC43</x:f>
        <x:v>https://data.sec.gov/api/xbrl/companyfacts/CIK0000002969.json</x:v>
      </x:c>
      <x:c r="Q37" s="20" t="str">
        <x:f>'Raw Inputs'!CB43</x:f>
        <x:v>https://query1.finance.yahoo.com/v8/finance/chart/APD?period1=1704067200&amp;period2=1783728000&amp;interval=1d&amp;events=div%2Csplits</x:v>
      </x:c>
    </x:row>
    <x:row r="38">
      <x:c r="A38" s="237" t="n">
        <x:f>RANK(D38,$D$5:$D$121,0)</x:f>
        <x:v>34</x:v>
      </x:c>
      <x:c r="B38" s="236" t="str">
        <x:f>'Raw Inputs'!A93</x:f>
        <x:v>VTR</x:v>
      </x:c>
      <x:c r="C38" s="236" t="str">
        <x:f>'Raw Inputs'!B93</x:f>
        <x:v>Ventas Inc. REIT</x:v>
      </x:c>
      <x:c r="D38" s="238" t="n">
        <x:f>IF(COUNT('Raw Inputs'!AE93,'Raw Inputs'!AJ93)=0,"",1+9*AVERAGE('Raw Inputs'!AE93,'Raw Inputs'!AJ93))</x:f>
        <x:v>6.663241106719367</x:v>
      </x:c>
      <x:c r="E38" s="236" t="str">
        <x:f>'Raw Inputs'!AO93</x:f>
        <x:v>SUE + CAR3</x:v>
      </x:c>
      <x:c r="F38" s="266" t="n">
        <x:f>'Raw Inputs'!AD93</x:f>
        <x:v>0.05931670909519414</x:v>
      </x:c>
      <x:c r="G38" s="267" t="n">
        <x:f>'Raw Inputs'!AE93</x:f>
        <x:v>0.34545454545454546</x:v>
      </x:c>
      <x:c r="H38" s="237" t="n">
        <x:f>'Raw Inputs'!AG93</x:f>
        <x:v>8</x:v>
      </x:c>
      <x:c r="I38" s="268" t="n">
        <x:f>'Raw Inputs'!AI93</x:f>
        <x:v>0.052714046235543655</x:v>
      </x:c>
      <x:c r="J38" s="267" t="n">
        <x:f>'Raw Inputs'!AJ93</x:f>
        <x:v>0.9130434782608695</x:v>
      </x:c>
      <x:c r="K38" s="269" t="n">
        <x:f>'Raw Inputs'!AK93</x:f>
        <x:v>46139</x:v>
      </x:c>
      <x:c r="L38" s="269" t="n">
        <x:f>'Raw Inputs'!AL93</x:f>
        <x:v>46139</x:v>
      </x:c>
      <x:c r="M38" s="236" t="str">
        <x:f>'Raw Inputs'!AN93</x:f>
        <x:v>8-K Item 2.02 filing date</x:v>
      </x:c>
      <x:c r="N38" s="236" t="n">
        <x:f>'Raw Inputs'!AH93</x:f>
        <x:v>68</x:v>
      </x:c>
      <x:c r="O38" s="236" t="str">
        <x:f>'Raw Inputs'!AM93</x:f>
        <x:v>2026-04-24 to 2026-04-27 to 2026-04-28</x:v>
      </x:c>
      <x:c r="P38" s="20" t="str">
        <x:f>'Raw Inputs'!CC93</x:f>
        <x:v>https://data.sec.gov/api/xbrl/companyfacts/CIK0000740260.json</x:v>
      </x:c>
      <x:c r="Q38" s="20" t="str">
        <x:f>'Raw Inputs'!CB93</x:f>
        <x:v>https://query1.finance.yahoo.com/v8/finance/chart/VTR?period1=1704067200&amp;period2=1783728000&amp;interval=1d&amp;events=div%2Csplits</x:v>
      </x:c>
    </x:row>
    <x:row r="39">
      <x:c r="A39" s="237" t="n">
        <x:f>RANK(D39,$D$5:$D$121,0)</x:f>
        <x:v>35</x:v>
      </x:c>
      <x:c r="B39" s="236" t="str">
        <x:f>'Raw Inputs'!A5</x:f>
        <x:v>APA</x:v>
      </x:c>
      <x:c r="C39" s="236" t="str">
        <x:f>'Raw Inputs'!B5</x:f>
        <x:v>APA Corp.</x:v>
      </x:c>
      <x:c r="D39" s="238" t="n">
        <x:f>IF(COUNT('Raw Inputs'!AE5,'Raw Inputs'!AJ5)=0,"",1+9*AVERAGE('Raw Inputs'!AE5,'Raw Inputs'!AJ5))</x:f>
        <x:v>6.476482213438736</x:v>
      </x:c>
      <x:c r="E39" s="236" t="str">
        <x:f>'Raw Inputs'!AO5</x:f>
        <x:v>SUE + CAR3</x:v>
      </x:c>
      <x:c r="F39" s="266" t="n">
        <x:f>'Raw Inputs'!AD5</x:f>
        <x:v>0.15452777091510062</x:v>
      </x:c>
      <x:c r="G39" s="267" t="n">
        <x:f>'Raw Inputs'!AE5</x:f>
        <x:v>0.39090909090909093</x:v>
      </x:c>
      <x:c r="H39" s="237" t="n">
        <x:f>'Raw Inputs'!AG5</x:f>
        <x:v>8</x:v>
      </x:c>
      <x:c r="I39" s="268" t="n">
        <x:f>'Raw Inputs'!AI5</x:f>
        <x:v>0.02866701236873015</x:v>
      </x:c>
      <x:c r="J39" s="267" t="n">
        <x:f>'Raw Inputs'!AJ5</x:f>
        <x:v>0.8260869565217391</x:v>
      </x:c>
      <x:c r="K39" s="269" t="n">
        <x:f>'Raw Inputs'!AK5</x:f>
        <x:v>46211</x:v>
      </x:c>
      <x:c r="L39" s="269" t="n">
        <x:f>'Raw Inputs'!AL5</x:f>
        <x:v>46211</x:v>
      </x:c>
      <x:c r="M39" s="236" t="str">
        <x:f>'Raw Inputs'!AN5</x:f>
        <x:v>8-K Item 2.02 filing date</x:v>
      </x:c>
      <x:c r="N39" s="236" t="n">
        <x:f>'Raw Inputs'!AH5</x:f>
        <x:v>21</x:v>
      </x:c>
      <x:c r="O39" s="236" t="str">
        <x:f>'Raw Inputs'!AM5</x:f>
        <x:v>2026-07-07 to 2026-07-08 to 2026-07-09</x:v>
      </x:c>
      <x:c r="P39" s="20" t="str">
        <x:f>'Raw Inputs'!CC5</x:f>
        <x:v>https://data.sec.gov/api/xbrl/companyfacts/CIK0001841666.json</x:v>
      </x:c>
      <x:c r="Q39" s="20" t="str">
        <x:f>'Raw Inputs'!CB5</x:f>
        <x:v>https://query1.finance.yahoo.com/v8/finance/chart/APA?period1=1704067200&amp;period2=1783728000&amp;interval=1d&amp;events=div%2Csplits</x:v>
      </x:c>
    </x:row>
    <x:row r="40">
      <x:c r="A40" s="237" t="n">
        <x:f>RANK(D40,$D$5:$D$121,0)</x:f>
        <x:v>36</x:v>
      </x:c>
      <x:c r="B40" s="236" t="str">
        <x:f>'Raw Inputs'!A20</x:f>
        <x:v>AIG</x:v>
      </x:c>
      <x:c r="C40" s="236" t="str">
        <x:f>'Raw Inputs'!B20</x:f>
        <x:v>American International Group Inc.</x:v>
      </x:c>
      <x:c r="D40" s="238" t="n">
        <x:f>IF(COUNT('Raw Inputs'!AE20,'Raw Inputs'!AJ20)=0,"",1+9*AVERAGE('Raw Inputs'!AE20,'Raw Inputs'!AJ20))</x:f>
        <x:v>6.465810276679842</x:v>
      </x:c>
      <x:c r="E40" s="236" t="str">
        <x:f>'Raw Inputs'!AO20</x:f>
        <x:v>SUE + CAR3</x:v>
      </x:c>
      <x:c r="F40" s="266" t="n">
        <x:f>'Raw Inputs'!AD20</x:f>
        <x:v>0.054542961793461894</x:v>
      </x:c>
      <x:c r="G40" s="267" t="n">
        <x:f>'Raw Inputs'!AE20</x:f>
        <x:v>0.33636363636363636</x:v>
      </x:c>
      <x:c r="H40" s="237" t="n">
        <x:f>'Raw Inputs'!AG20</x:f>
        <x:v>8</x:v>
      </x:c>
      <x:c r="I40" s="268" t="n">
        <x:f>'Raw Inputs'!AI20</x:f>
        <x:v>0.04850081829893138</x:v>
      </x:c>
      <x:c r="J40" s="267" t="n">
        <x:f>'Raw Inputs'!AJ20</x:f>
        <x:v>0.8782608695652174</x:v>
      </x:c>
      <x:c r="K40" s="269" t="n">
        <x:f>'Raw Inputs'!AK20</x:f>
        <x:v>46142</x:v>
      </x:c>
      <x:c r="L40" s="269" t="n">
        <x:f>'Raw Inputs'!AL20</x:f>
        <x:v>46142</x:v>
      </x:c>
      <x:c r="M40" s="236" t="str">
        <x:f>'Raw Inputs'!AN20</x:f>
        <x:v>8-K Item 2.02 filing date</x:v>
      </x:c>
      <x:c r="N40" s="236" t="n">
        <x:f>'Raw Inputs'!AH20</x:f>
        <x:v>55</x:v>
      </x:c>
      <x:c r="O40" s="236" t="str">
        <x:f>'Raw Inputs'!AM20</x:f>
        <x:v>2026-04-29 to 2026-04-30 to 2026-05-01</x:v>
      </x:c>
      <x:c r="P40" s="20" t="str">
        <x:f>'Raw Inputs'!CC20</x:f>
        <x:v>https://data.sec.gov/api/xbrl/companyfacts/CIK0000005272.json</x:v>
      </x:c>
      <x:c r="Q40" s="20" t="str">
        <x:f>'Raw Inputs'!CB20</x:f>
        <x:v>https://query1.finance.yahoo.com/v8/finance/chart/AIG?period1=1704067200&amp;period2=1783728000&amp;interval=1d&amp;events=div%2Csplits</x:v>
      </x:c>
    </x:row>
    <x:row r="41">
      <x:c r="A41" s="237" t="n">
        <x:f>RANK(D41,$D$5:$D$121,0)</x:f>
        <x:v>37</x:v>
      </x:c>
      <x:c r="B41" s="236" t="str">
        <x:f>'Raw Inputs'!A11</x:f>
        <x:v>MKTX</x:v>
      </x:c>
      <x:c r="C41" s="236" t="str">
        <x:f>'Raw Inputs'!B11</x:f>
        <x:v>MarketAxess Holdings Inc.</x:v>
      </x:c>
      <x:c r="D41" s="238" t="n">
        <x:f>IF(COUNT('Raw Inputs'!AE11,'Raw Inputs'!AJ11)=0,"",1+9*AVERAGE('Raw Inputs'!AE11,'Raw Inputs'!AJ11))</x:f>
        <x:v>6.412450592885375</x:v>
      </x:c>
      <x:c r="E41" s="236" t="str">
        <x:f>'Raw Inputs'!AO11</x:f>
        <x:v>SUE + CAR3</x:v>
      </x:c>
      <x:c r="F41" s="266" t="n">
        <x:f>'Raw Inputs'!AD11</x:f>
        <x:v>1.9401732778926166</x:v>
      </x:c>
      <x:c r="G41" s="267" t="n">
        <x:f>'Raw Inputs'!AE11</x:f>
        <x:v>0.8636363636363636</x:v>
      </x:c>
      <x:c r="H41" s="237" t="n">
        <x:f>'Raw Inputs'!AG11</x:f>
        <x:v>8</x:v>
      </x:c>
      <x:c r="I41" s="268" t="n">
        <x:f>'Raw Inputs'!AI11</x:f>
        <x:v>-0.040599912433980645</x:v>
      </x:c>
      <x:c r="J41" s="267" t="n">
        <x:f>'Raw Inputs'!AJ11</x:f>
        <x:v>0.3391304347826087</x:v>
      </x:c>
      <x:c r="K41" s="269" t="n">
        <x:f>'Raw Inputs'!AK11</x:f>
        <x:v>46149</x:v>
      </x:c>
      <x:c r="L41" s="269" t="n">
        <x:f>'Raw Inputs'!AL11</x:f>
        <x:v>46149</x:v>
      </x:c>
      <x:c r="M41" s="236" t="str">
        <x:f>'Raw Inputs'!AN11</x:f>
        <x:v>8-K Item 2.02 filing date</x:v>
      </x:c>
      <x:c r="N41" s="236" t="n">
        <x:f>'Raw Inputs'!AH11</x:f>
        <x:v>60</x:v>
      </x:c>
      <x:c r="O41" s="236" t="str">
        <x:f>'Raw Inputs'!AM11</x:f>
        <x:v>2026-05-06 to 2026-05-07 to 2026-05-08</x:v>
      </x:c>
      <x:c r="P41" s="20" t="str">
        <x:f>'Raw Inputs'!CC11</x:f>
        <x:v>https://data.sec.gov/api/xbrl/companyfacts/CIK0001278021.json</x:v>
      </x:c>
      <x:c r="Q41" s="20" t="str">
        <x:f>'Raw Inputs'!CB11</x:f>
        <x:v>https://query1.finance.yahoo.com/v8/finance/chart/MKTX?period1=1704067200&amp;period2=1783728000&amp;interval=1d&amp;events=div%2Csplits</x:v>
      </x:c>
    </x:row>
    <x:row r="42">
      <x:c r="A42" s="237" t="n">
        <x:f>RANK(D42,$D$5:$D$121,0)</x:f>
        <x:v>38</x:v>
      </x:c>
      <x:c r="B42" s="236" t="str">
        <x:f>'Raw Inputs'!A6</x:f>
        <x:v>AXS</x:v>
      </x:c>
      <x:c r="C42" s="236" t="str">
        <x:f>'Raw Inputs'!B6</x:f>
        <x:v>Axis Capital Holdings Ltd.</x:v>
      </x:c>
      <x:c r="D42" s="238" t="n">
        <x:f>IF(COUNT('Raw Inputs'!AE6,'Raw Inputs'!AJ6)=0,"",1+9*AVERAGE('Raw Inputs'!AE6,'Raw Inputs'!AJ6))</x:f>
        <x:v>6.387549407114625</x:v>
      </x:c>
      <x:c r="E42" s="236" t="str">
        <x:f>'Raw Inputs'!AO6</x:f>
        <x:v>SUE + CAR3</x:v>
      </x:c>
      <x:c r="F42" s="266" t="n">
        <x:f>'Raw Inputs'!AD6</x:f>
        <x:v>0.4957990372814416</x:v>
      </x:c>
      <x:c r="G42" s="267" t="n">
        <x:f>'Raw Inputs'!AE6</x:f>
        <x:v>0.5363636363636364</x:v>
      </x:c>
      <x:c r="H42" s="237" t="n">
        <x:f>'Raw Inputs'!AG6</x:f>
        <x:v>8</x:v>
      </x:c>
      <x:c r="I42" s="268" t="n">
        <x:f>'Raw Inputs'!AI6</x:f>
        <x:v>0.00488634844329594</x:v>
      </x:c>
      <x:c r="J42" s="267" t="n">
        <x:f>'Raw Inputs'!AJ6</x:f>
        <x:v>0.6608695652173913</x:v>
      </x:c>
      <x:c r="K42" s="269" t="n">
        <x:f>'Raw Inputs'!AK6</x:f>
        <x:v>46141</x:v>
      </x:c>
      <x:c r="L42" s="269" t="n">
        <x:f>'Raw Inputs'!AL6</x:f>
        <x:v>46141</x:v>
      </x:c>
      <x:c r="M42" s="236" t="str">
        <x:f>'Raw Inputs'!AN6</x:f>
        <x:v>8-K Item 2.02 filing date</x:v>
      </x:c>
      <x:c r="N42" s="236" t="n">
        <x:f>'Raw Inputs'!AH6</x:f>
        <x:v>64</x:v>
      </x:c>
      <x:c r="O42" s="236" t="str">
        <x:f>'Raw Inputs'!AM6</x:f>
        <x:v>2026-04-28 to 2026-04-29 to 2026-04-30</x:v>
      </x:c>
      <x:c r="P42" s="20" t="str">
        <x:f>'Raw Inputs'!CC6</x:f>
        <x:v>https://data.sec.gov/api/xbrl/companyfacts/CIK0001214816.json</x:v>
      </x:c>
      <x:c r="Q42" s="20" t="str">
        <x:f>'Raw Inputs'!CB6</x:f>
        <x:v>https://query1.finance.yahoo.com/v8/finance/chart/AXS?period1=1704067200&amp;period2=1783728000&amp;interval=1d&amp;events=div%2Csplits</x:v>
      </x:c>
    </x:row>
    <x:row r="43">
      <x:c r="A43" s="237" t="n">
        <x:f>RANK(D43,$D$5:$D$121,0)</x:f>
        <x:v>39</x:v>
      </x:c>
      <x:c r="B43" s="236" t="str">
        <x:f>'Raw Inputs'!A86</x:f>
        <x:v>ED</x:v>
      </x:c>
      <x:c r="C43" s="236" t="str">
        <x:f>'Raw Inputs'!B86</x:f>
        <x:v>Consolidated Edison Inc.</x:v>
      </x:c>
      <x:c r="D43" s="238" t="n">
        <x:f>IF(COUNT('Raw Inputs'!AE86,'Raw Inputs'!AJ86)=0,"",1+9*AVERAGE('Raw Inputs'!AE86,'Raw Inputs'!AJ86))</x:f>
        <x:v>6.335968379446641</x:v>
      </x:c>
      <x:c r="E43" s="236" t="str">
        <x:f>'Raw Inputs'!AO86</x:f>
        <x:v>SUE + CAR3</x:v>
      </x:c>
      <x:c r="F43" s="266" t="n">
        <x:f>'Raw Inputs'!AD86</x:f>
        <x:v>1.9641278382879293</x:v>
      </x:c>
      <x:c r="G43" s="267" t="n">
        <x:f>'Raw Inputs'!AE86</x:f>
        <x:v>0.8727272727272727</x:v>
      </x:c>
      <x:c r="H43" s="237" t="n">
        <x:f>'Raw Inputs'!AG86</x:f>
        <x:v>8</x:v>
      </x:c>
      <x:c r="I43" s="268" t="n">
        <x:f>'Raw Inputs'!AI86</x:f>
        <x:v>-0.042599082974779545</x:v>
      </x:c>
      <x:c r="J43" s="267" t="n">
        <x:f>'Raw Inputs'!AJ86</x:f>
        <x:v>0.3130434782608696</x:v>
      </x:c>
      <x:c r="K43" s="269" t="n">
        <x:f>'Raw Inputs'!AK86</x:f>
        <x:v>46149</x:v>
      </x:c>
      <x:c r="L43" s="269" t="n">
        <x:f>'Raw Inputs'!AL86</x:f>
        <x:v>46149</x:v>
      </x:c>
      <x:c r="M43" s="236" t="str">
        <x:f>'Raw Inputs'!AN86</x:f>
        <x:v>8-K Item 2.02 filing date</x:v>
      </x:c>
      <x:c r="N43" s="236" t="n">
        <x:f>'Raw Inputs'!AH86</x:f>
        <x:v>63</x:v>
      </x:c>
      <x:c r="O43" s="236" t="str">
        <x:f>'Raw Inputs'!AM86</x:f>
        <x:v>2026-05-06 to 2026-05-07 to 2026-05-08</x:v>
      </x:c>
      <x:c r="P43" s="20" t="str">
        <x:f>'Raw Inputs'!CC86</x:f>
        <x:v>https://data.sec.gov/api/xbrl/companyfacts/CIK0001047862.json</x:v>
      </x:c>
      <x:c r="Q43" s="20" t="str">
        <x:f>'Raw Inputs'!CB86</x:f>
        <x:v>https://query1.finance.yahoo.com/v8/finance/chart/ED?period1=1704067200&amp;period2=1783728000&amp;interval=1d&amp;events=div%2Csplits</x:v>
      </x:c>
    </x:row>
    <x:row r="44">
      <x:c r="A44" s="237" t="n">
        <x:f>RANK(D44,$D$5:$D$121,0)</x:f>
        <x:v>40</x:v>
      </x:c>
      <x:c r="B44" s="236" t="str">
        <x:f>'Raw Inputs'!A30</x:f>
        <x:v>PGR</x:v>
      </x:c>
      <x:c r="C44" s="236" t="str">
        <x:f>'Raw Inputs'!B30</x:f>
        <x:v>The Progressive Corp.</x:v>
      </x:c>
      <x:c r="D44" s="238" t="n">
        <x:f>IF(COUNT('Raw Inputs'!AE30,'Raw Inputs'!AJ30)=0,"",1+9*AVERAGE('Raw Inputs'!AE30,'Raw Inputs'!AJ30))</x:f>
        <x:v>6.188339920948617</x:v>
      </x:c>
      <x:c r="E44" s="236" t="str">
        <x:f>'Raw Inputs'!AO30</x:f>
        <x:v>SUE + CAR3</x:v>
      </x:c>
      <x:c r="F44" s="266" t="n">
        <x:f>'Raw Inputs'!AD30</x:f>
        <x:v>0.4524601707291925</x:v>
      </x:c>
      <x:c r="G44" s="267" t="n">
        <x:f>'Raw Inputs'!AE30</x:f>
        <x:v>0.5181818181818182</x:v>
      </x:c>
      <x:c r="H44" s="237" t="n">
        <x:f>'Raw Inputs'!AG30</x:f>
        <x:v>8</x:v>
      </x:c>
      <x:c r="I44" s="268" t="n">
        <x:f>'Raw Inputs'!AI30</x:f>
        <x:v>-0.0017969957970448425</x:v>
      </x:c>
      <x:c r="J44" s="267" t="n">
        <x:f>'Raw Inputs'!AJ30</x:f>
        <x:v>0.6347826086956522</x:v>
      </x:c>
      <x:c r="K44" s="269" t="n">
        <x:f>'Raw Inputs'!AK30</x:f>
        <x:v>46127</x:v>
      </x:c>
      <x:c r="L44" s="269" t="n">
        <x:f>'Raw Inputs'!AL30</x:f>
        <x:v>46127</x:v>
      </x:c>
      <x:c r="M44" s="236" t="str">
        <x:f>'Raw Inputs'!AN30</x:f>
        <x:v>8-K Item 2.02 filing date</x:v>
      </x:c>
      <x:c r="N44" s="236" t="n">
        <x:f>'Raw Inputs'!AH30</x:f>
        <x:v>68</x:v>
      </x:c>
      <x:c r="O44" s="236" t="str">
        <x:f>'Raw Inputs'!AM30</x:f>
        <x:v>2026-04-14 to 2026-04-15 to 2026-04-16</x:v>
      </x:c>
      <x:c r="P44" s="20" t="str">
        <x:f>'Raw Inputs'!CC30</x:f>
        <x:v>https://data.sec.gov/api/xbrl/companyfacts/CIK0000080661.json</x:v>
      </x:c>
      <x:c r="Q44" s="20" t="str">
        <x:f>'Raw Inputs'!CB30</x:f>
        <x:v>https://query1.finance.yahoo.com/v8/finance/chart/PGR?period1=1704067200&amp;period2=1783728000&amp;interval=1d&amp;events=div%2Csplits</x:v>
      </x:c>
    </x:row>
    <x:row r="45">
      <x:c r="A45" s="237" t="n">
        <x:f>RANK(D45,$D$5:$D$121,0)</x:f>
        <x:v>41</x:v>
      </x:c>
      <x:c r="B45" s="236" t="str">
        <x:f>'Raw Inputs'!A9</x:f>
        <x:v>CF</x:v>
      </x:c>
      <x:c r="C45" s="236" t="str">
        <x:f>'Raw Inputs'!B9</x:f>
        <x:v>CF Industries Holdings Inc.</x:v>
      </x:c>
      <x:c r="D45" s="238" t="n">
        <x:f>IF(COUNT('Raw Inputs'!AE9,'Raw Inputs'!AJ9)=0,"",1+9*AVERAGE('Raw Inputs'!AE9,'Raw Inputs'!AJ9))</x:f>
        <x:v>6.159881422924902</x:v>
      </x:c>
      <x:c r="E45" s="236" t="str">
        <x:f>'Raw Inputs'!AO9</x:f>
        <x:v>SUE + CAR3</x:v>
      </x:c>
      <x:c r="F45" s="266" t="n">
        <x:f>'Raw Inputs'!AD9</x:f>
        <x:v>2.9195226462718407</x:v>
      </x:c>
      <x:c r="G45" s="267" t="n">
        <x:f>'Raw Inputs'!AE9</x:f>
        <x:v>0.9727272727272728</x:v>
      </x:c>
      <x:c r="H45" s="237" t="n">
        <x:f>'Raw Inputs'!AG9</x:f>
        <x:v>8</x:v>
      </x:c>
      <x:c r="I45" s="268" t="n">
        <x:f>'Raw Inputs'!AI9</x:f>
        <x:v>-0.07416465619448143</x:v>
      </x:c>
      <x:c r="J45" s="267" t="n">
        <x:f>'Raw Inputs'!AJ9</x:f>
        <x:v>0.17391304347826086</x:v>
      </x:c>
      <x:c r="K45" s="269" t="n">
        <x:f>'Raw Inputs'!AK9</x:f>
        <x:v>46148</x:v>
      </x:c>
      <x:c r="L45" s="269" t="n">
        <x:f>'Raw Inputs'!AL9</x:f>
        <x:v>46148</x:v>
      </x:c>
      <x:c r="M45" s="236" t="str">
        <x:f>'Raw Inputs'!AN9</x:f>
        <x:v>8-K Item 2.02 filing date</x:v>
      </x:c>
      <x:c r="N45" s="236" t="n">
        <x:f>'Raw Inputs'!AH9</x:f>
        <x:v>68</x:v>
      </x:c>
      <x:c r="O45" s="236" t="str">
        <x:f>'Raw Inputs'!AM9</x:f>
        <x:v>2026-05-05 to 2026-05-06 to 2026-05-07</x:v>
      </x:c>
      <x:c r="P45" s="20" t="str">
        <x:f>'Raw Inputs'!CC9</x:f>
        <x:v>https://data.sec.gov/api/xbrl/companyfacts/CIK0001324404.json</x:v>
      </x:c>
      <x:c r="Q45" s="20" t="str">
        <x:f>'Raw Inputs'!CB9</x:f>
        <x:v>https://query1.finance.yahoo.com/v8/finance/chart/CF?period1=1704067200&amp;period2=1783728000&amp;interval=1d&amp;events=div%2Csplits</x:v>
      </x:c>
    </x:row>
    <x:row r="46">
      <x:c r="A46" s="237" t="n">
        <x:f>RANK(D46,$D$5:$D$121,0)</x:f>
        <x:v>42</x:v>
      </x:c>
      <x:c r="B46" s="236" t="str">
        <x:f>'Raw Inputs'!A92</x:f>
        <x:v>LIN</x:v>
      </x:c>
      <x:c r="C46" s="236" t="str">
        <x:f>'Raw Inputs'!B92</x:f>
        <x:v>Linde PLC</x:v>
      </x:c>
      <x:c r="D46" s="238" t="n">
        <x:f>IF(COUNT('Raw Inputs'!AE92,'Raw Inputs'!AJ92)=0,"",1+9*AVERAGE('Raw Inputs'!AE92,'Raw Inputs'!AJ92))</x:f>
        <x:v>6.1527667984189724</x:v>
      </x:c>
      <x:c r="E46" s="236" t="str">
        <x:f>'Raw Inputs'!AO92</x:f>
        <x:v>SUE + CAR3</x:v>
      </x:c>
      <x:c r="F46" s="266" t="n">
        <x:f>'Raw Inputs'!AD92</x:f>
        <x:v>1.3417720371931041</x:v>
      </x:c>
      <x:c r="G46" s="267" t="n">
        <x:f>'Raw Inputs'!AE92</x:f>
        <x:v>0.7363636363636363</x:v>
      </x:c>
      <x:c r="H46" s="237" t="n">
        <x:f>'Raw Inputs'!AG92</x:f>
        <x:v>8</x:v>
      </x:c>
      <x:c r="I46" s="268" t="n">
        <x:f>'Raw Inputs'!AI92</x:f>
        <x:v>-0.032619077098128835</x:v>
      </x:c>
      <x:c r="J46" s="267" t="n">
        <x:f>'Raw Inputs'!AJ92</x:f>
        <x:v>0.40869565217391307</x:v>
      </x:c>
      <x:c r="K46" s="269" t="n">
        <x:f>'Raw Inputs'!AK92</x:f>
        <x:v>46143</x:v>
      </x:c>
      <x:c r="L46" s="269" t="n">
        <x:f>'Raw Inputs'!AL92</x:f>
        <x:v>46143</x:v>
      </x:c>
      <x:c r="M46" s="236" t="str">
        <x:f>'Raw Inputs'!AN92</x:f>
        <x:v>8-K Item 2.02 filing date</x:v>
      </x:c>
      <x:c r="N46" s="236" t="n">
        <x:f>'Raw Inputs'!AH92</x:f>
        <x:v>32</x:v>
      </x:c>
      <x:c r="O46" s="236" t="str">
        <x:f>'Raw Inputs'!AM92</x:f>
        <x:v>2026-04-30 to 2026-05-01 to 2026-05-04</x:v>
      </x:c>
      <x:c r="P46" s="20" t="str">
        <x:f>'Raw Inputs'!CC92</x:f>
        <x:v>https://data.sec.gov/api/xbrl/companyfacts/CIK0001707925.json</x:v>
      </x:c>
      <x:c r="Q46" s="20" t="str">
        <x:f>'Raw Inputs'!CB92</x:f>
        <x:v>https://query1.finance.yahoo.com/v8/finance/chart/LIN?period1=1704067200&amp;period2=1783728000&amp;interval=1d&amp;events=div%2Csplits</x:v>
      </x:c>
    </x:row>
    <x:row r="47">
      <x:c r="A47" s="237" t="n">
        <x:f>RANK(D47,$D$5:$D$121,0)</x:f>
        <x:v>43</x:v>
      </x:c>
      <x:c r="B47" s="236" t="str">
        <x:f>'Raw Inputs'!A112</x:f>
        <x:v>CMS</x:v>
      </x:c>
      <x:c r="C47" s="236" t="str">
        <x:f>'Raw Inputs'!B112</x:f>
        <x:v>CMS Energy Corp.</x:v>
      </x:c>
      <x:c r="D47" s="238" t="n">
        <x:f>IF(COUNT('Raw Inputs'!AE112,'Raw Inputs'!AJ112)=0,"",1+9*AVERAGE('Raw Inputs'!AE112,'Raw Inputs'!AJ112))</x:f>
        <x:v>6.129644268774704</x:v>
      </x:c>
      <x:c r="E47" s="236" t="str">
        <x:f>'Raw Inputs'!AO112</x:f>
        <x:v>SUE + CAR3</x:v>
      </x:c>
      <x:c r="F47" s="266" t="n">
        <x:f>'Raw Inputs'!AD112</x:f>
        <x:v>0.8018405475172774</x:v>
      </x:c>
      <x:c r="G47" s="267" t="n">
        <x:f>'Raw Inputs'!AE112</x:f>
        <x:v>0.6181818181818182</x:v>
      </x:c>
      <x:c r="H47" s="237" t="n">
        <x:f>'Raw Inputs'!AG112</x:f>
        <x:v>8</x:v>
      </x:c>
      <x:c r="I47" s="268" t="n">
        <x:f>'Raw Inputs'!AI112</x:f>
        <x:v>-0.01504416250342877</x:v>
      </x:c>
      <x:c r="J47" s="267" t="n">
        <x:f>'Raw Inputs'!AJ112</x:f>
        <x:v>0.5217391304347826</x:v>
      </x:c>
      <x:c r="K47" s="269" t="n">
        <x:f>'Raw Inputs'!AK112</x:f>
        <x:v>46140</x:v>
      </x:c>
      <x:c r="L47" s="269" t="n">
        <x:f>'Raw Inputs'!AL112</x:f>
        <x:v>46140</x:v>
      </x:c>
      <x:c r="M47" s="236" t="str">
        <x:f>'Raw Inputs'!AN112</x:f>
        <x:v>8-K Item 2.02 filing date</x:v>
      </x:c>
      <x:c r="N47" s="236" t="n">
        <x:f>'Raw Inputs'!AH112</x:f>
        <x:v>64</x:v>
      </x:c>
      <x:c r="O47" s="236" t="str">
        <x:f>'Raw Inputs'!AM112</x:f>
        <x:v>2026-04-27 to 2026-04-28 to 2026-04-29</x:v>
      </x:c>
      <x:c r="P47" s="20" t="str">
        <x:f>'Raw Inputs'!CC112</x:f>
        <x:v>https://data.sec.gov/api/xbrl/companyfacts/CIK0000811156.json</x:v>
      </x:c>
      <x:c r="Q47" s="20" t="str">
        <x:f>'Raw Inputs'!CB112</x:f>
        <x:v>https://query1.finance.yahoo.com/v8/finance/chart/CMS?period1=1704067200&amp;period2=1783728000&amp;interval=1d&amp;events=div%2Csplits</x:v>
      </x:c>
    </x:row>
    <x:row r="48">
      <x:c r="A48" s="237" t="n">
        <x:f>RANK(D48,$D$5:$D$121,0)</x:f>
        <x:v>43</x:v>
      </x:c>
      <x:c r="B48" s="236" t="str">
        <x:f>'Raw Inputs'!A101</x:f>
        <x:v>PM</x:v>
      </x:c>
      <x:c r="C48" s="236" t="str">
        <x:f>'Raw Inputs'!B101</x:f>
        <x:v>Philip Morris International Inc.</x:v>
      </x:c>
      <x:c r="D48" s="238" t="n">
        <x:f>IF(COUNT('Raw Inputs'!AE101,'Raw Inputs'!AJ101)=0,"",1+9*AVERAGE('Raw Inputs'!AE101,'Raw Inputs'!AJ101))</x:f>
        <x:v>6.129644268774704</x:v>
      </x:c>
      <x:c r="E48" s="236" t="str">
        <x:f>'Raw Inputs'!AO101</x:f>
        <x:v>SUE + CAR3</x:v>
      </x:c>
      <x:c r="F48" s="266" t="n">
        <x:f>'Raw Inputs'!AD101</x:f>
        <x:v>-0.16246391061675003</x:v>
      </x:c>
      <x:c r="G48" s="267" t="n">
        <x:f>'Raw Inputs'!AE101</x:f>
        <x:v>0.21818181818181817</x:v>
      </x:c>
      <x:c r="H48" s="237" t="n">
        <x:f>'Raw Inputs'!AG101</x:f>
        <x:v>8</x:v>
      </x:c>
      <x:c r="I48" s="268" t="n">
        <x:f>'Raw Inputs'!AI101</x:f>
        <x:v>0.07558190322896596</x:v>
      </x:c>
      <x:c r="J48" s="267" t="n">
        <x:f>'Raw Inputs'!AJ101</x:f>
        <x:v>0.9217391304347826</x:v>
      </x:c>
      <x:c r="K48" s="269" t="n">
        <x:f>'Raw Inputs'!AK101</x:f>
        <x:v>46134</x:v>
      </x:c>
      <x:c r="L48" s="269" t="n">
        <x:f>'Raw Inputs'!AL101</x:f>
        <x:v>46134</x:v>
      </x:c>
      <x:c r="M48" s="236" t="str">
        <x:f>'Raw Inputs'!AN101</x:f>
        <x:v>8-K Item 2.02 filing date</x:v>
      </x:c>
      <x:c r="N48" s="236" t="n">
        <x:f>'Raw Inputs'!AH101</x:f>
        <x:v>68</x:v>
      </x:c>
      <x:c r="O48" s="236" t="str">
        <x:f>'Raw Inputs'!AM101</x:f>
        <x:v>2026-04-21 to 2026-04-22 to 2026-04-23</x:v>
      </x:c>
      <x:c r="P48" s="20" t="str">
        <x:f>'Raw Inputs'!CC101</x:f>
        <x:v>https://data.sec.gov/api/xbrl/companyfacts/CIK0001413329.json</x:v>
      </x:c>
      <x:c r="Q48" s="20" t="str">
        <x:f>'Raw Inputs'!CB101</x:f>
        <x:v>https://query1.finance.yahoo.com/v8/finance/chart/PM?period1=1704067200&amp;period2=1783728000&amp;interval=1d&amp;events=div%2Csplits</x:v>
      </x:c>
    </x:row>
    <x:row r="49">
      <x:c r="A49" s="237" t="n">
        <x:f>RANK(D49,$D$5:$D$121,0)</x:f>
        <x:v>45</x:v>
      </x:c>
      <x:c r="B49" s="236" t="str">
        <x:f>'Raw Inputs'!A10</x:f>
        <x:v>AFL</x:v>
      </x:c>
      <x:c r="C49" s="236" t="str">
        <x:f>'Raw Inputs'!B10</x:f>
        <x:v>Aflac Inc.</x:v>
      </x:c>
      <x:c r="D49" s="238" t="n">
        <x:f>IF(COUNT('Raw Inputs'!AE10,'Raw Inputs'!AJ10)=0,"",1+9*AVERAGE('Raw Inputs'!AE10,'Raw Inputs'!AJ10))</x:f>
        <x:v>6.124308300395256</x:v>
      </x:c>
      <x:c r="E49" s="236" t="str">
        <x:f>'Raw Inputs'!AO10</x:f>
        <x:v>SUE + CAR3</x:v>
      </x:c>
      <x:c r="F49" s="266" t="n">
        <x:f>'Raw Inputs'!AD10</x:f>
        <x:v>0.7569664940270584</x:v>
      </x:c>
      <x:c r="G49" s="267" t="n">
        <x:f>'Raw Inputs'!AE10</x:f>
        <x:v>0.5909090909090909</x:v>
      </x:c>
      <x:c r="H49" s="237" t="n">
        <x:f>'Raw Inputs'!AG10</x:f>
        <x:v>8</x:v>
      </x:c>
      <x:c r="I49" s="268" t="n">
        <x:f>'Raw Inputs'!AI10</x:f>
        <x:v>-0.013254459332687096</x:v>
      </x:c>
      <x:c r="J49" s="267" t="n">
        <x:f>'Raw Inputs'!AJ10</x:f>
        <x:v>0.5478260869565217</x:v>
      </x:c>
      <x:c r="K49" s="269" t="n">
        <x:f>'Raw Inputs'!AK10</x:f>
        <x:v>46141</x:v>
      </x:c>
      <x:c r="L49" s="269" t="n">
        <x:f>'Raw Inputs'!AL10</x:f>
        <x:v>46141</x:v>
      </x:c>
      <x:c r="M49" s="236" t="str">
        <x:f>'Raw Inputs'!AN10</x:f>
        <x:v>8-K Item 2.02 filing date</x:v>
      </x:c>
      <x:c r="N49" s="236" t="n">
        <x:f>'Raw Inputs'!AH10</x:f>
        <x:v>68</x:v>
      </x:c>
      <x:c r="O49" s="236" t="str">
        <x:f>'Raw Inputs'!AM10</x:f>
        <x:v>2026-04-28 to 2026-04-29 to 2026-04-30</x:v>
      </x:c>
      <x:c r="P49" s="20" t="str">
        <x:f>'Raw Inputs'!CC10</x:f>
        <x:v>https://data.sec.gov/api/xbrl/companyfacts/CIK0000004977.json</x:v>
      </x:c>
      <x:c r="Q49" s="20" t="str">
        <x:f>'Raw Inputs'!CB10</x:f>
        <x:v>https://query1.finance.yahoo.com/v8/finance/chart/AFL?period1=1704067200&amp;period2=1783728000&amp;interval=1d&amp;events=div%2Csplits</x:v>
      </x:c>
    </x:row>
    <x:row r="50">
      <x:c r="A50" s="237" t="n">
        <x:f>RANK(D50,$D$5:$D$121,0)</x:f>
        <x:v>45</x:v>
      </x:c>
      <x:c r="B50" s="236" t="str">
        <x:f>'Raw Inputs'!A40</x:f>
        <x:v>REGN</x:v>
      </x:c>
      <x:c r="C50" s="236" t="str">
        <x:f>'Raw Inputs'!B40</x:f>
        <x:v>Regeneron Pharmaceuticals Inc.</x:v>
      </x:c>
      <x:c r="D50" s="238" t="n">
        <x:f>IF(COUNT('Raw Inputs'!AE40,'Raw Inputs'!AJ40)=0,"",1+9*AVERAGE('Raw Inputs'!AE40,'Raw Inputs'!AJ40))</x:f>
        <x:v>6.124308300395256</x:v>
      </x:c>
      <x:c r="E50" s="236" t="str">
        <x:f>'Raw Inputs'!AO40</x:f>
        <x:v>SUE + CAR3</x:v>
      </x:c>
      <x:c r="F50" s="266" t="n">
        <x:f>'Raw Inputs'!AD40</x:f>
        <x:v>-0.282311885428445</x:v>
      </x:c>
      <x:c r="G50" s="267" t="n">
        <x:f>'Raw Inputs'!AE40</x:f>
        <x:v>0.19090909090909092</x:v>
      </x:c>
      <x:c r="H50" s="237" t="n">
        <x:f>'Raw Inputs'!AG40</x:f>
        <x:v>8</x:v>
      </x:c>
      <x:c r="I50" s="268" t="n">
        <x:f>'Raw Inputs'!AI40</x:f>
        <x:v>0.08017484516657292</x:v>
      </x:c>
      <x:c r="J50" s="267" t="n">
        <x:f>'Raw Inputs'!AJ40</x:f>
        <x:v>0.9478260869565217</x:v>
      </x:c>
      <x:c r="K50" s="269" t="n">
        <x:f>'Raw Inputs'!AK40</x:f>
        <x:v>46209</x:v>
      </x:c>
      <x:c r="L50" s="269" t="n">
        <x:f>'Raw Inputs'!AL40</x:f>
        <x:v>46209</x:v>
      </x:c>
      <x:c r="M50" s="236" t="str">
        <x:f>'Raw Inputs'!AN40</x:f>
        <x:v>8-K Item 2.02 filing date</x:v>
      </x:c>
      <x:c r="N50" s="236" t="n">
        <x:f>'Raw Inputs'!AH40</x:f>
        <x:v>60</x:v>
      </x:c>
      <x:c r="O50" s="236" t="str">
        <x:f>'Raw Inputs'!AM40</x:f>
        <x:v>2026-07-02 to 2026-07-06 to 2026-07-07</x:v>
      </x:c>
      <x:c r="P50" s="20" t="str">
        <x:f>'Raw Inputs'!CC40</x:f>
        <x:v>https://data.sec.gov/api/xbrl/companyfacts/CIK0000872589.json</x:v>
      </x:c>
      <x:c r="Q50" s="20" t="str">
        <x:f>'Raw Inputs'!CB40</x:f>
        <x:v>https://query1.finance.yahoo.com/v8/finance/chart/REGN?period1=1704067200&amp;period2=1783728000&amp;interval=1d&amp;events=div%2Csplits</x:v>
      </x:c>
    </x:row>
    <x:row r="51">
      <x:c r="A51" s="237" t="n">
        <x:f>RANK(D51,$D$5:$D$121,0)</x:f>
        <x:v>47</x:v>
      </x:c>
      <x:c r="B51" s="236" t="str">
        <x:f>'Raw Inputs'!A18</x:f>
        <x:v>SFM</x:v>
      </x:c>
      <x:c r="C51" s="236" t="str">
        <x:f>'Raw Inputs'!B18</x:f>
        <x:v>Sprouts Farmers Market Inc.</x:v>
      </x:c>
      <x:c r="D51" s="238" t="n">
        <x:f>IF(COUNT('Raw Inputs'!AE18,'Raw Inputs'!AJ18)=0,"",1+9*AVERAGE('Raw Inputs'!AE18,'Raw Inputs'!AJ18))</x:f>
        <x:v>6.113636363636363</x:v>
      </x:c>
      <x:c r="E51" s="236" t="str">
        <x:f>'Raw Inputs'!AO18</x:f>
        <x:v>SUE + CAR3</x:v>
      </x:c>
      <x:c r="F51" s="266" t="n">
        <x:f>'Raw Inputs'!AD18</x:f>
        <x:v>-0.43843868131797886</x:v>
      </x:c>
      <x:c r="G51" s="267" t="n">
        <x:f>'Raw Inputs'!AE18</x:f>
        <x:v>0.13636363636363635</x:v>
      </x:c>
      <x:c r="H51" s="237" t="n">
        <x:f>'Raw Inputs'!AG18</x:f>
        <x:v>8</x:v>
      </x:c>
      <x:c r="I51" s="268" t="n">
        <x:f>'Raw Inputs'!AI18</x:f>
        <x:v>0.13918740135471142</x:v>
      </x:c>
      <x:c r="J51" s="267" t="n">
        <x:f>'Raw Inputs'!AJ18</x:f>
        <x:v>1</x:v>
      </x:c>
      <x:c r="K51" s="269" t="n">
        <x:f>'Raw Inputs'!AK18</x:f>
        <x:v>46141</x:v>
      </x:c>
      <x:c r="L51" s="269" t="n">
        <x:f>'Raw Inputs'!AL18</x:f>
        <x:v>46141</x:v>
      </x:c>
      <x:c r="M51" s="236" t="str">
        <x:f>'Raw Inputs'!AN18</x:f>
        <x:v>8-K Item 2.02 filing date</x:v>
      </x:c>
      <x:c r="N51" s="236" t="n">
        <x:f>'Raw Inputs'!AH18</x:f>
        <x:v>52</x:v>
      </x:c>
      <x:c r="O51" s="236" t="str">
        <x:f>'Raw Inputs'!AM18</x:f>
        <x:v>2026-04-28 to 2026-04-29 to 2026-04-30</x:v>
      </x:c>
      <x:c r="P51" s="20" t="str">
        <x:f>'Raw Inputs'!CC18</x:f>
        <x:v>https://data.sec.gov/api/xbrl/companyfacts/CIK0001575515.json</x:v>
      </x:c>
      <x:c r="Q51" s="20" t="str">
        <x:f>'Raw Inputs'!CB18</x:f>
        <x:v>https://query1.finance.yahoo.com/v8/finance/chart/SFM?period1=1704067200&amp;period2=1783728000&amp;interval=1d&amp;events=div%2Csplits</x:v>
      </x:c>
    </x:row>
    <x:row r="52">
      <x:c r="A52" s="237" t="n">
        <x:f>RANK(D52,$D$5:$D$121,0)</x:f>
        <x:v>48</x:v>
      </x:c>
      <x:c r="B52" s="236" t="str">
        <x:f>'Raw Inputs'!A103</x:f>
        <x:v>PCG</x:v>
      </x:c>
      <x:c r="C52" s="236" t="str">
        <x:f>'Raw Inputs'!B103</x:f>
        <x:v>PG&amp;E Corp.</x:v>
      </x:c>
      <x:c r="D52" s="238" t="n">
        <x:f>IF(COUNT('Raw Inputs'!AE103,'Raw Inputs'!AJ103)=0,"",1+9*AVERAGE('Raw Inputs'!AE103,'Raw Inputs'!AJ103))</x:f>
        <x:v>6.072727272727273</x:v>
      </x:c>
      <x:c r="E52" s="236" t="str">
        <x:f>'Raw Inputs'!AO103</x:f>
        <x:v>SUE + CAR3</x:v>
      </x:c>
      <x:c r="F52" s="266" t="n">
        <x:f>'Raw Inputs'!AD103</x:f>
        <x:v>1.226692542862568</x:v>
      </x:c>
      <x:c r="G52" s="267" t="n">
        <x:f>'Raw Inputs'!AE103</x:f>
        <x:v>0.7272727272727273</x:v>
      </x:c>
      <x:c r="H52" s="237" t="n">
        <x:f>'Raw Inputs'!AG103</x:f>
        <x:v>8</x:v>
      </x:c>
      <x:c r="I52" s="268" t="n">
        <x:f>'Raw Inputs'!AI103</x:f>
        <x:v>-0.03402952464147102</x:v>
      </x:c>
      <x:c r="J52" s="267" t="n">
        <x:f>'Raw Inputs'!AJ103</x:f>
        <x:v>0.4</x:v>
      </x:c>
      <x:c r="K52" s="269" t="n">
        <x:f>'Raw Inputs'!AK103</x:f>
        <x:v>46135</x:v>
      </x:c>
      <x:c r="L52" s="269" t="n">
        <x:f>'Raw Inputs'!AL103</x:f>
        <x:v>46135</x:v>
      </x:c>
      <x:c r="M52" s="236" t="str">
        <x:f>'Raw Inputs'!AN103</x:f>
        <x:v>8-K Item 2.02 filing date</x:v>
      </x:c>
      <x:c r="N52" s="236" t="n">
        <x:f>'Raw Inputs'!AH103</x:f>
        <x:v>68</x:v>
      </x:c>
      <x:c r="O52" s="236" t="str">
        <x:f>'Raw Inputs'!AM103</x:f>
        <x:v>2026-04-22 to 2026-04-23 to 2026-04-24</x:v>
      </x:c>
      <x:c r="P52" s="20" t="str">
        <x:f>'Raw Inputs'!CC103</x:f>
        <x:v>https://data.sec.gov/api/xbrl/companyfacts/CIK0001004980.json</x:v>
      </x:c>
      <x:c r="Q52" s="20" t="str">
        <x:f>'Raw Inputs'!CB103</x:f>
        <x:v>https://query1.finance.yahoo.com/v8/finance/chart/PCG?period1=1704067200&amp;period2=1783728000&amp;interval=1d&amp;events=div%2Csplits</x:v>
      </x:c>
    </x:row>
    <x:row r="53">
      <x:c r="A53" s="237" t="n">
        <x:f>RANK(D53,$D$5:$D$121,0)</x:f>
        <x:v>49</x:v>
      </x:c>
      <x:c r="B53" s="236" t="str">
        <x:f>'Raw Inputs'!A16</x:f>
        <x:v>HIG</x:v>
      </x:c>
      <x:c r="C53" s="236" t="str">
        <x:f>'Raw Inputs'!B16</x:f>
        <x:v>The Hartford Insurance Group Inc.</x:v>
      </x:c>
      <x:c r="D53" s="238" t="n">
        <x:f>IF(COUNT('Raw Inputs'!AE16,'Raw Inputs'!AJ16)=0,"",1+9*AVERAGE('Raw Inputs'!AE16,'Raw Inputs'!AJ16))</x:f>
        <x:v>6.053162055335968</x:v>
      </x:c>
      <x:c r="E53" s="236" t="str">
        <x:f>'Raw Inputs'!AO16</x:f>
        <x:v>SUE + CAR3</x:v>
      </x:c>
      <x:c r="F53" s="266" t="n">
        <x:f>'Raw Inputs'!AD16</x:f>
        <x:v>1.7817914942319666</x:v>
      </x:c>
      <x:c r="G53" s="267" t="n">
        <x:f>'Raw Inputs'!AE16</x:f>
        <x:v>0.8272727272727273</x:v>
      </x:c>
      <x:c r="H53" s="237" t="n">
        <x:f>'Raw Inputs'!AG16</x:f>
        <x:v>8</x:v>
      </x:c>
      <x:c r="I53" s="268" t="n">
        <x:f>'Raw Inputs'!AI16</x:f>
        <x:v>-0.04567934414659691</x:v>
      </x:c>
      <x:c r="J53" s="267" t="n">
        <x:f>'Raw Inputs'!AJ16</x:f>
        <x:v>0.2956521739130435</x:v>
      </x:c>
      <x:c r="K53" s="269" t="n">
        <x:f>'Raw Inputs'!AK16</x:f>
        <x:v>46135</x:v>
      </x:c>
      <x:c r="L53" s="269" t="n">
        <x:f>'Raw Inputs'!AL16</x:f>
        <x:v>46135</x:v>
      </x:c>
      <x:c r="M53" s="236" t="str">
        <x:f>'Raw Inputs'!AN16</x:f>
        <x:v>8-K Item 2.02 filing date</x:v>
      </x:c>
      <x:c r="N53" s="236" t="n">
        <x:f>'Raw Inputs'!AH16</x:f>
        <x:v>68</x:v>
      </x:c>
      <x:c r="O53" s="236" t="str">
        <x:f>'Raw Inputs'!AM16</x:f>
        <x:v>2026-04-22 to 2026-04-23 to 2026-04-24</x:v>
      </x:c>
      <x:c r="P53" s="20" t="str">
        <x:f>'Raw Inputs'!CC16</x:f>
        <x:v>https://data.sec.gov/api/xbrl/companyfacts/CIK0000874766.json</x:v>
      </x:c>
      <x:c r="Q53" s="20" t="str">
        <x:f>'Raw Inputs'!CB16</x:f>
        <x:v>https://query1.finance.yahoo.com/v8/finance/chart/HIG?period1=1704067200&amp;period2=1783728000&amp;interval=1d&amp;events=div%2Csplits</x:v>
      </x:c>
    </x:row>
    <x:row r="54">
      <x:c r="A54" s="237" t="n">
        <x:f>RANK(D54,$D$5:$D$121,0)</x:f>
        <x:v>50</x:v>
      </x:c>
      <x:c r="B54" s="236" t="str">
        <x:f>'Raw Inputs'!A95</x:f>
        <x:v>ADC</x:v>
      </x:c>
      <x:c r="C54" s="236" t="str">
        <x:f>'Raw Inputs'!B95</x:f>
        <x:v>Agree Realty Corp. REIT</x:v>
      </x:c>
      <x:c r="D54" s="238" t="n">
        <x:f>IF(COUNT('Raw Inputs'!AE95,'Raw Inputs'!AJ95)=0,"",1+9*AVERAGE('Raw Inputs'!AE95,'Raw Inputs'!AJ95))</x:f>
        <x:v>5.914426877470356</x:v>
      </x:c>
      <x:c r="E54" s="236" t="str">
        <x:f>'Raw Inputs'!AO95</x:f>
        <x:v>SUE + CAR3</x:v>
      </x:c>
      <x:c r="F54" s="266" t="n">
        <x:f>'Raw Inputs'!AD95</x:f>
        <x:v>1.1966126114619173</x:v>
      </x:c>
      <x:c r="G54" s="267" t="n">
        <x:f>'Raw Inputs'!AE95</x:f>
        <x:v>0.7181818181818181</x:v>
      </x:c>
      <x:c r="H54" s="237" t="n">
        <x:f>'Raw Inputs'!AG95</x:f>
        <x:v>8</x:v>
      </x:c>
      <x:c r="I54" s="268" t="n">
        <x:f>'Raw Inputs'!AI95</x:f>
        <x:v>-0.037347591513247735</x:v>
      </x:c>
      <x:c r="J54" s="267" t="n">
        <x:f>'Raw Inputs'!AJ95</x:f>
        <x:v>0.3739130434782609</x:v>
      </x:c>
      <x:c r="K54" s="269" t="n">
        <x:f>'Raw Inputs'!AK95</x:f>
        <x:v>46133</x:v>
      </x:c>
      <x:c r="L54" s="269" t="n">
        <x:f>'Raw Inputs'!AL95</x:f>
        <x:v>46133</x:v>
      </x:c>
      <x:c r="M54" s="236" t="str">
        <x:f>'Raw Inputs'!AN95</x:f>
        <x:v>8-K Item 2.02 filing date</x:v>
      </x:c>
      <x:c r="N54" s="236" t="n">
        <x:f>'Raw Inputs'!AH95</x:f>
        <x:v>60</x:v>
      </x:c>
      <x:c r="O54" s="236" t="str">
        <x:f>'Raw Inputs'!AM95</x:f>
        <x:v>2026-04-20 to 2026-04-21 to 2026-04-22</x:v>
      </x:c>
      <x:c r="P54" s="20" t="str">
        <x:f>'Raw Inputs'!CC95</x:f>
        <x:v>https://data.sec.gov/api/xbrl/companyfacts/CIK0000917251.json</x:v>
      </x:c>
      <x:c r="Q54" s="20" t="str">
        <x:f>'Raw Inputs'!CB95</x:f>
        <x:v>https://query1.finance.yahoo.com/v8/finance/chart/ADC?period1=1704067200&amp;period2=1783728000&amp;interval=1d&amp;events=div%2Csplits</x:v>
      </x:c>
    </x:row>
    <x:row r="55">
      <x:c r="A55" s="237" t="n">
        <x:f>RANK(D55,$D$5:$D$121,0)</x:f>
        <x:v>51</x:v>
      </x:c>
      <x:c r="B55" s="236" t="str">
        <x:f>'Raw Inputs'!A96</x:f>
        <x:v>RSG</x:v>
      </x:c>
      <x:c r="C55" s="236" t="str">
        <x:f>'Raw Inputs'!B96</x:f>
        <x:v>Republic Services Inc.</x:v>
      </x:c>
      <x:c r="D55" s="238" t="n">
        <x:f>IF(COUNT('Raw Inputs'!AE96,'Raw Inputs'!AJ96)=0,"",1+9*AVERAGE('Raw Inputs'!AE96,'Raw Inputs'!AJ96))</x:f>
        <x:v>5.910869565217391</x:v>
      </x:c>
      <x:c r="E55" s="236" t="str">
        <x:f>'Raw Inputs'!AO96</x:f>
        <x:v>SUE + CAR3</x:v>
      </x:c>
      <x:c r="F55" s="266" t="n">
        <x:f>'Raw Inputs'!AD96</x:f>
        <x:v>1.1324498876734463</x:v>
      </x:c>
      <x:c r="G55" s="267" t="n">
        <x:f>'Raw Inputs'!AE96</x:f>
        <x:v>0.7</x:v>
      </x:c>
      <x:c r="H55" s="237" t="n">
        <x:f>'Raw Inputs'!AG96</x:f>
        <x:v>8</x:v>
      </x:c>
      <x:c r="I55" s="268" t="n">
        <x:f>'Raw Inputs'!AI96</x:f>
        <x:v>-0.03529502728139622</x:v>
      </x:c>
      <x:c r="J55" s="267" t="n">
        <x:f>'Raw Inputs'!AJ96</x:f>
        <x:v>0.391304347826087</x:v>
      </x:c>
      <x:c r="K55" s="269" t="n">
        <x:f>'Raw Inputs'!AK96</x:f>
        <x:v>46149</x:v>
      </x:c>
      <x:c r="L55" s="269" t="n">
        <x:f>'Raw Inputs'!AL96</x:f>
        <x:v>46149</x:v>
      </x:c>
      <x:c r="M55" s="236" t="str">
        <x:f>'Raw Inputs'!AN96</x:f>
        <x:v>8-K Item 2.02 filing date</x:v>
      </x:c>
      <x:c r="N55" s="236" t="n">
        <x:f>'Raw Inputs'!AH96</x:f>
        <x:v>67</x:v>
      </x:c>
      <x:c r="O55" s="236" t="str">
        <x:f>'Raw Inputs'!AM96</x:f>
        <x:v>2026-05-06 to 2026-05-07 to 2026-05-08</x:v>
      </x:c>
      <x:c r="P55" s="20" t="str">
        <x:f>'Raw Inputs'!CC96</x:f>
        <x:v>https://data.sec.gov/api/xbrl/companyfacts/CIK0001060391.json</x:v>
      </x:c>
      <x:c r="Q55" s="20" t="str">
        <x:f>'Raw Inputs'!CB96</x:f>
        <x:v>https://query1.finance.yahoo.com/v8/finance/chart/RSG?period1=1704067200&amp;period2=1783728000&amp;interval=1d&amp;events=div%2Csplits</x:v>
      </x:c>
    </x:row>
    <x:row r="56">
      <x:c r="A56" s="237" t="n">
        <x:f>RANK(D56,$D$5:$D$121,0)</x:f>
        <x:v>52</x:v>
      </x:c>
      <x:c r="B56" s="236" t="str">
        <x:f>'Raw Inputs'!A44</x:f>
        <x:v>LYB</x:v>
      </x:c>
      <x:c r="C56" s="236" t="str">
        <x:f>'Raw Inputs'!B44</x:f>
        <x:v>LyondellBasell Industries NV</x:v>
      </x:c>
      <x:c r="D56" s="238" t="n">
        <x:f>IF(COUNT('Raw Inputs'!AE44,'Raw Inputs'!AJ44)=0,"",1+9*AVERAGE('Raw Inputs'!AE44,'Raw Inputs'!AJ44))</x:f>
        <x:v>5.9055335968379445</x:v>
      </x:c>
      <x:c r="E56" s="236" t="str">
        <x:f>'Raw Inputs'!AO44</x:f>
        <x:v>SUE + CAR3</x:v>
      </x:c>
      <x:c r="F56" s="266" t="n">
        <x:f>'Raw Inputs'!AD44</x:f>
        <x:v>-0.08305195255839669</x:v>
      </x:c>
      <x:c r="G56" s="267" t="n">
        <x:f>'Raw Inputs'!AE44</x:f>
        <x:v>0.2727272727272727</x:v>
      </x:c>
      <x:c r="H56" s="237" t="n">
        <x:f>'Raw Inputs'!AG44</x:f>
        <x:v>8</x:v>
      </x:c>
      <x:c r="I56" s="268" t="n">
        <x:f>'Raw Inputs'!AI44</x:f>
        <x:v>0.02632089155972661</x:v>
      </x:c>
      <x:c r="J56" s="267" t="n">
        <x:f>'Raw Inputs'!AJ44</x:f>
        <x:v>0.8173913043478261</x:v>
      </x:c>
      <x:c r="K56" s="269" t="n">
        <x:f>'Raw Inputs'!AK44</x:f>
        <x:v>46143</x:v>
      </x:c>
      <x:c r="L56" s="269" t="n">
        <x:f>'Raw Inputs'!AL44</x:f>
        <x:v>46143</x:v>
      </x:c>
      <x:c r="M56" s="236" t="str">
        <x:f>'Raw Inputs'!AN44</x:f>
        <x:v>8-K Item 2.02 filing date</x:v>
      </x:c>
      <x:c r="N56" s="236" t="n">
        <x:f>'Raw Inputs'!AH44</x:f>
        <x:v>56</x:v>
      </x:c>
      <x:c r="O56" s="236" t="str">
        <x:f>'Raw Inputs'!AM44</x:f>
        <x:v>2026-04-30 to 2026-05-01 to 2026-05-04</x:v>
      </x:c>
      <x:c r="P56" s="20" t="str">
        <x:f>'Raw Inputs'!CC44</x:f>
        <x:v>https://data.sec.gov/api/xbrl/companyfacts/CIK0001489393.json</x:v>
      </x:c>
      <x:c r="Q56" s="20" t="str">
        <x:f>'Raw Inputs'!CB44</x:f>
        <x:v>https://query1.finance.yahoo.com/v8/finance/chart/LYB?period1=1704067200&amp;period2=1783728000&amp;interval=1d&amp;events=div%2Csplits</x:v>
      </x:c>
    </x:row>
    <x:row r="57">
      <x:c r="A57" s="237" t="n">
        <x:f>RANK(D57,$D$5:$D$121,0)</x:f>
        <x:v>53</x:v>
      </x:c>
      <x:c r="B57" s="236" t="str">
        <x:f>'Raw Inputs'!A46</x:f>
        <x:v>SIGI</x:v>
      </x:c>
      <x:c r="C57" s="236" t="str">
        <x:f>'Raw Inputs'!B46</x:f>
        <x:v>Selective Insurance Group Inc.</x:v>
      </x:c>
      <x:c r="D57" s="238" t="n">
        <x:f>IF(COUNT('Raw Inputs'!AE46,'Raw Inputs'!AJ46)=0,"",1+9*AVERAGE('Raw Inputs'!AE46,'Raw Inputs'!AJ46))</x:f>
        <x:v>5.900197628458498</x:v>
      </x:c>
      <x:c r="E57" s="236" t="str">
        <x:f>'Raw Inputs'!AO46</x:f>
        <x:v>SUE + CAR3</x:v>
      </x:c>
      <x:c r="F57" s="266" t="n">
        <x:f>'Raw Inputs'!AD46</x:f>
        <x:v>-0.14149780317085583</x:v>
      </x:c>
      <x:c r="G57" s="267" t="n">
        <x:f>'Raw Inputs'!AE46</x:f>
        <x:v>0.24545454545454545</x:v>
      </x:c>
      <x:c r="H57" s="237" t="n">
        <x:f>'Raw Inputs'!AG46</x:f>
        <x:v>8</x:v>
      </x:c>
      <x:c r="I57" s="268" t="n">
        <x:f>'Raw Inputs'!AI46</x:f>
        <x:v>0.036010155494633156</x:v>
      </x:c>
      <x:c r="J57" s="267" t="n">
        <x:f>'Raw Inputs'!AJ46</x:f>
        <x:v>0.8434782608695652</x:v>
      </x:c>
      <x:c r="K57" s="269" t="n">
        <x:f>'Raw Inputs'!AK46</x:f>
        <x:v>46134</x:v>
      </x:c>
      <x:c r="L57" s="269" t="n">
        <x:f>'Raw Inputs'!AL46</x:f>
        <x:v>46134</x:v>
      </x:c>
      <x:c r="M57" s="236" t="str">
        <x:f>'Raw Inputs'!AN46</x:f>
        <x:v>8-K Item 2.02 filing date</x:v>
      </x:c>
      <x:c r="N57" s="236" t="n">
        <x:f>'Raw Inputs'!AH46</x:f>
        <x:v>64</x:v>
      </x:c>
      <x:c r="O57" s="236" t="str">
        <x:f>'Raw Inputs'!AM46</x:f>
        <x:v>2026-04-21 to 2026-04-22 to 2026-04-23</x:v>
      </x:c>
      <x:c r="P57" s="20" t="str">
        <x:f>'Raw Inputs'!CC46</x:f>
        <x:v>https://data.sec.gov/api/xbrl/companyfacts/CIK0000230557.json</x:v>
      </x:c>
      <x:c r="Q57" s="20" t="str">
        <x:f>'Raw Inputs'!CB46</x:f>
        <x:v>https://query1.finance.yahoo.com/v8/finance/chart/SIGI?period1=1704067200&amp;period2=1783728000&amp;interval=1d&amp;events=div%2Csplits</x:v>
      </x:c>
    </x:row>
    <x:row r="58">
      <x:c r="A58" s="237" t="n">
        <x:f>RANK(D58,$D$5:$D$121,0)</x:f>
        <x:v>54</x:v>
      </x:c>
      <x:c r="B58" s="236" t="str">
        <x:f>'Raw Inputs'!A53</x:f>
        <x:v>FE</x:v>
      </x:c>
      <x:c r="C58" s="236" t="str">
        <x:f>'Raw Inputs'!B53</x:f>
        <x:v>FirstEnergy Corp.</x:v>
      </x:c>
      <x:c r="D58" s="238" t="n">
        <x:f>IF(COUNT('Raw Inputs'!AE53,'Raw Inputs'!AJ53)=0,"",1+9*AVERAGE('Raw Inputs'!AE53,'Raw Inputs'!AJ53))</x:f>
        <x:v>5.784584980237154</x:v>
      </x:c>
      <x:c r="E58" s="236" t="str">
        <x:f>'Raw Inputs'!AO53</x:f>
        <x:v>SUE + CAR3</x:v>
      </x:c>
      <x:c r="F58" s="266" t="n">
        <x:f>'Raw Inputs'!AD53</x:f>
        <x:v>0.2738717860329872</x:v>
      </x:c>
      <x:c r="G58" s="267" t="n">
        <x:f>'Raw Inputs'!AE53</x:f>
        <x:v>0.45454545454545453</x:v>
      </x:c>
      <x:c r="H58" s="237" t="n">
        <x:f>'Raw Inputs'!AG53</x:f>
        <x:v>8</x:v>
      </x:c>
      <x:c r="I58" s="268" t="n">
        <x:f>'Raw Inputs'!AI53</x:f>
        <x:v>-0.004245559884983319</x:v>
      </x:c>
      <x:c r="J58" s="267" t="n">
        <x:f>'Raw Inputs'!AJ53</x:f>
        <x:v>0.6086956521739131</x:v>
      </x:c>
      <x:c r="K58" s="269" t="n">
        <x:f>'Raw Inputs'!AK53</x:f>
        <x:v>46140</x:v>
      </x:c>
      <x:c r="L58" s="269" t="n">
        <x:f>'Raw Inputs'!AL53</x:f>
        <x:v>46140</x:v>
      </x:c>
      <x:c r="M58" s="236" t="str">
        <x:f>'Raw Inputs'!AN53</x:f>
        <x:v>8-K Item 2.02 filing date</x:v>
      </x:c>
      <x:c r="N58" s="236" t="n">
        <x:f>'Raw Inputs'!AH53</x:f>
        <x:v>67</x:v>
      </x:c>
      <x:c r="O58" s="236" t="str">
        <x:f>'Raw Inputs'!AM53</x:f>
        <x:v>2026-04-27 to 2026-04-28 to 2026-04-29</x:v>
      </x:c>
      <x:c r="P58" s="20" t="str">
        <x:f>'Raw Inputs'!CC53</x:f>
        <x:v>https://data.sec.gov/api/xbrl/companyfacts/CIK0001031296.json</x:v>
      </x:c>
      <x:c r="Q58" s="20" t="str">
        <x:f>'Raw Inputs'!CB53</x:f>
        <x:v>https://query1.finance.yahoo.com/v8/finance/chart/FE?period1=1704067200&amp;period2=1783728000&amp;interval=1d&amp;events=div%2Csplits</x:v>
      </x:c>
    </x:row>
    <x:row r="59">
      <x:c r="A59" s="237" t="n">
        <x:f>RANK(D59,$D$5:$D$121,0)</x:f>
        <x:v>55</x:v>
      </x:c>
      <x:c r="B59" s="236" t="str">
        <x:f>'Raw Inputs'!A74</x:f>
        <x:v>ENSG</x:v>
      </x:c>
      <x:c r="C59" s="236" t="str">
        <x:f>'Raw Inputs'!B74</x:f>
        <x:v>The Ensign Group Inc.</x:v>
      </x:c>
      <x:c r="D59" s="238" t="n">
        <x:f>IF(COUNT('Raw Inputs'!AE74,'Raw Inputs'!AJ74)=0,"",1+9*AVERAGE('Raw Inputs'!AE74,'Raw Inputs'!AJ74))</x:f>
        <x:v>5.752569169960475</x:v>
      </x:c>
      <x:c r="E59" s="236" t="str">
        <x:f>'Raw Inputs'!AO74</x:f>
        <x:v>SUE + CAR3</x:v>
      </x:c>
      <x:c r="F59" s="266" t="n">
        <x:f>'Raw Inputs'!AD74</x:f>
        <x:v>1.0693860252329956</x:v>
      </x:c>
      <x:c r="G59" s="267" t="n">
        <x:f>'Raw Inputs'!AE74</x:f>
        <x:v>0.6909090909090909</x:v>
      </x:c>
      <x:c r="H59" s="237" t="n">
        <x:f>'Raw Inputs'!AG74</x:f>
        <x:v>8</x:v>
      </x:c>
      <x:c r="I59" s="268" t="n">
        <x:f>'Raw Inputs'!AI74</x:f>
        <x:v>-0.037715470891761416</x:v>
      </x:c>
      <x:c r="J59" s="267" t="n">
        <x:f>'Raw Inputs'!AJ74</x:f>
        <x:v>0.3652173913043478</x:v>
      </x:c>
      <x:c r="K59" s="269" t="n">
        <x:f>'Raw Inputs'!AK74</x:f>
        <x:v>46142</x:v>
      </x:c>
      <x:c r="L59" s="269" t="n">
        <x:f>'Raw Inputs'!AL74</x:f>
        <x:v>46142</x:v>
      </x:c>
      <x:c r="M59" s="236" t="str">
        <x:f>'Raw Inputs'!AN74</x:f>
        <x:v>8-K Item 2.02 filing date</x:v>
      </x:c>
      <x:c r="N59" s="236" t="n">
        <x:f>'Raw Inputs'!AH74</x:f>
        <x:v>60</x:v>
      </x:c>
      <x:c r="O59" s="236" t="str">
        <x:f>'Raw Inputs'!AM74</x:f>
        <x:v>2026-04-29 to 2026-04-30 to 2026-05-01</x:v>
      </x:c>
      <x:c r="P59" s="20" t="str">
        <x:f>'Raw Inputs'!CC74</x:f>
        <x:v>https://data.sec.gov/api/xbrl/companyfacts/CIK0001125376.json</x:v>
      </x:c>
      <x:c r="Q59" s="20" t="str">
        <x:f>'Raw Inputs'!CB74</x:f>
        <x:v>https://query1.finance.yahoo.com/v8/finance/chart/ENSG?period1=1704067200&amp;period2=1783728000&amp;interval=1d&amp;events=div%2Csplits</x:v>
      </x:c>
    </x:row>
    <x:row r="60">
      <x:c r="A60" s="237" t="n">
        <x:f>RANK(D60,$D$5:$D$121,0)</x:f>
        <x:v>56</x:v>
      </x:c>
      <x:c r="B60" s="236" t="str">
        <x:f>'Raw Inputs'!A68</x:f>
        <x:v>CTVA</x:v>
      </x:c>
      <x:c r="C60" s="236" t="str">
        <x:f>'Raw Inputs'!B68</x:f>
        <x:v>Corteva Inc.</x:v>
      </x:c>
      <x:c r="D60" s="238" t="n">
        <x:f>IF(COUNT('Raw Inputs'!AE68,'Raw Inputs'!AJ68)=0,"",1+9*AVERAGE('Raw Inputs'!AE68,'Raw Inputs'!AJ68))</x:f>
        <x:v>5.747233201581027</x:v>
      </x:c>
      <x:c r="E60" s="236" t="str">
        <x:f>'Raw Inputs'!AO68</x:f>
        <x:v>SUE + CAR3</x:v>
      </x:c>
      <x:c r="F60" s="266" t="n">
        <x:f>'Raw Inputs'!AD68</x:f>
        <x:v>0.27705425792376637</x:v>
      </x:c>
      <x:c r="G60" s="267" t="n">
        <x:f>'Raw Inputs'!AE68</x:f>
        <x:v>0.4636363636363636</x:v>
      </x:c>
      <x:c r="H60" s="237" t="n">
        <x:f>'Raw Inputs'!AG68</x:f>
        <x:v>8</x:v>
      </x:c>
      <x:c r="I60" s="268" t="n">
        <x:f>'Raw Inputs'!AI68</x:f>
        <x:v>-0.006402256864545097</x:v>
      </x:c>
      <x:c r="J60" s="267" t="n">
        <x:f>'Raw Inputs'!AJ68</x:f>
        <x:v>0.591304347826087</x:v>
      </x:c>
      <x:c r="K60" s="269" t="n">
        <x:f>'Raw Inputs'!AK68</x:f>
        <x:v>46147</x:v>
      </x:c>
      <x:c r="L60" s="269" t="n">
        <x:f>'Raw Inputs'!AL68</x:f>
        <x:v>46147</x:v>
      </x:c>
      <x:c r="M60" s="236" t="str">
        <x:f>'Raw Inputs'!AN68</x:f>
        <x:v>8-K Item 2.02 filing date</x:v>
      </x:c>
      <x:c r="N60" s="236" t="n">
        <x:f>'Raw Inputs'!AH68</x:f>
        <x:v>28</x:v>
      </x:c>
      <x:c r="O60" s="236" t="str">
        <x:f>'Raw Inputs'!AM68</x:f>
        <x:v>2026-05-04 to 2026-05-05 to 2026-05-06</x:v>
      </x:c>
      <x:c r="P60" s="20" t="str">
        <x:f>'Raw Inputs'!CC68</x:f>
        <x:v>https://data.sec.gov/api/xbrl/companyfacts/CIK0001755672.json</x:v>
      </x:c>
      <x:c r="Q60" s="20" t="str">
        <x:f>'Raw Inputs'!CB68</x:f>
        <x:v>https://query1.finance.yahoo.com/v8/finance/chart/CTVA?period1=1704067200&amp;period2=1783728000&amp;interval=1d&amp;events=div%2Csplits</x:v>
      </x:c>
    </x:row>
    <x:row r="61">
      <x:c r="A61" s="237" t="n">
        <x:f>RANK(D61,$D$5:$D$121,0)</x:f>
        <x:v>57</x:v>
      </x:c>
      <x:c r="B61" s="236" t="str">
        <x:f>'Raw Inputs'!A64</x:f>
        <x:v>SO</x:v>
      </x:c>
      <x:c r="C61" s="236" t="str">
        <x:f>'Raw Inputs'!B64</x:f>
        <x:v>The Southern Co.</x:v>
      </x:c>
      <x:c r="D61" s="238" t="n">
        <x:f>IF(COUNT('Raw Inputs'!AE64,'Raw Inputs'!AJ64)=0,"",1+9*AVERAGE('Raw Inputs'!AE64,'Raw Inputs'!AJ64))</x:f>
        <x:v>5.677865612648222</x:v>
      </x:c>
      <x:c r="E61" s="236" t="str">
        <x:f>'Raw Inputs'!AO64</x:f>
        <x:v>SUE + CAR3</x:v>
      </x:c>
      <x:c r="F61" s="266" t="n">
        <x:f>'Raw Inputs'!AD64</x:f>
        <x:v>0</x:v>
      </x:c>
      <x:c r="G61" s="267" t="n">
        <x:f>'Raw Inputs'!AE64</x:f>
        <x:v>0.3090909090909091</x:v>
      </x:c>
      <x:c r="H61" s="237" t="n">
        <x:f>'Raw Inputs'!AG64</x:f>
        <x:v>8</x:v>
      </x:c>
      <x:c r="I61" s="268" t="n">
        <x:f>'Raw Inputs'!AI64</x:f>
        <x:v>0.01141229594619586</x:v>
      </x:c>
      <x:c r="J61" s="267" t="n">
        <x:f>'Raw Inputs'!AJ64</x:f>
        <x:v>0.7304347826086957</x:v>
      </x:c>
      <x:c r="K61" s="269" t="n">
        <x:f>'Raw Inputs'!AK64</x:f>
        <x:v>46142</x:v>
      </x:c>
      <x:c r="L61" s="269" t="n">
        <x:f>'Raw Inputs'!AL64</x:f>
        <x:v>46142</x:v>
      </x:c>
      <x:c r="M61" s="236" t="str">
        <x:f>'Raw Inputs'!AN64</x:f>
        <x:v>8-K Item 2.02 filing date</x:v>
      </x:c>
      <x:c r="N61" s="236" t="n">
        <x:f>'Raw Inputs'!AH64</x:f>
        <x:v>61</x:v>
      </x:c>
      <x:c r="O61" s="236" t="str">
        <x:f>'Raw Inputs'!AM64</x:f>
        <x:v>2026-04-29 to 2026-04-30 to 2026-05-01</x:v>
      </x:c>
      <x:c r="P61" s="20" t="str">
        <x:f>'Raw Inputs'!CC64</x:f>
        <x:v>https://data.sec.gov/api/xbrl/companyfacts/CIK0000092122.json</x:v>
      </x:c>
      <x:c r="Q61" s="20" t="str">
        <x:f>'Raw Inputs'!CB64</x:f>
        <x:v>https://query1.finance.yahoo.com/v8/finance/chart/SO?period1=1704067200&amp;period2=1783728000&amp;interval=1d&amp;events=div%2Csplits</x:v>
      </x:c>
    </x:row>
    <x:row r="62">
      <x:c r="A62" s="237" t="n">
        <x:f>RANK(D62,$D$5:$D$121,0)</x:f>
        <x:v>58</x:v>
      </x:c>
      <x:c r="B62" s="236" t="str">
        <x:f>'Raw Inputs'!A70</x:f>
        <x:v>TYL</x:v>
      </x:c>
      <x:c r="C62" s="236" t="str">
        <x:f>'Raw Inputs'!B70</x:f>
        <x:v>Tyler Technologies Inc.</x:v>
      </x:c>
      <x:c r="D62" s="238" t="n">
        <x:f>IF(COUNT('Raw Inputs'!AE70,'Raw Inputs'!AJ70)=0,"",1+9*AVERAGE('Raw Inputs'!AE70,'Raw Inputs'!AJ70))</x:f>
        <x:v>5.647628458498024</x:v>
      </x:c>
      <x:c r="E62" s="236" t="str">
        <x:f>'Raw Inputs'!AO70</x:f>
        <x:v>SUE + CAR3</x:v>
      </x:c>
      <x:c r="F62" s="266" t="n">
        <x:f>'Raw Inputs'!AD70</x:f>
        <x:v>0.07531672722791506</x:v>
      </x:c>
      <x:c r="G62" s="267" t="n">
        <x:f>'Raw Inputs'!AE70</x:f>
        <x:v>0.35454545454545455</x:v>
      </x:c>
      <x:c r="H62" s="237" t="n">
        <x:f>'Raw Inputs'!AG70</x:f>
        <x:v>8</x:v>
      </x:c>
      <x:c r="I62" s="268" t="n">
        <x:f>'Raw Inputs'!AI70</x:f>
        <x:v>0.007687817390317209</x:v>
      </x:c>
      <x:c r="J62" s="267" t="n">
        <x:f>'Raw Inputs'!AJ70</x:f>
        <x:v>0.6782608695652174</x:v>
      </x:c>
      <x:c r="K62" s="269" t="n">
        <x:f>'Raw Inputs'!AK70</x:f>
        <x:v>46141</x:v>
      </x:c>
      <x:c r="L62" s="269" t="n">
        <x:f>'Raw Inputs'!AL70</x:f>
        <x:v>46141</x:v>
      </x:c>
      <x:c r="M62" s="236" t="str">
        <x:f>'Raw Inputs'!AN70</x:f>
        <x:v>8-K Item 2.02 filing date</x:v>
      </x:c>
      <x:c r="N62" s="236" t="n">
        <x:f>'Raw Inputs'!AH70</x:f>
        <x:v>60</x:v>
      </x:c>
      <x:c r="O62" s="236" t="str">
        <x:f>'Raw Inputs'!AM70</x:f>
        <x:v>2026-04-28 to 2026-04-29 to 2026-04-30</x:v>
      </x:c>
      <x:c r="P62" s="20" t="str">
        <x:f>'Raw Inputs'!CC70</x:f>
        <x:v>https://data.sec.gov/api/xbrl/companyfacts/CIK0000860731.json</x:v>
      </x:c>
      <x:c r="Q62" s="20" t="str">
        <x:f>'Raw Inputs'!CB70</x:f>
        <x:v>https://query1.finance.yahoo.com/v8/finance/chart/TYL?period1=1704067200&amp;period2=1783728000&amp;interval=1d&amp;events=div%2Csplits</x:v>
      </x:c>
    </x:row>
    <x:row r="63">
      <x:c r="A63" s="237" t="n">
        <x:f>RANK(D63,$D$5:$D$121,0)</x:f>
        <x:v>59</x:v>
      </x:c>
      <x:c r="B63" s="236" t="str">
        <x:f>'Raw Inputs'!A76</x:f>
        <x:v>TMUS</x:v>
      </x:c>
      <x:c r="C63" s="236" t="str">
        <x:f>'Raw Inputs'!B76</x:f>
        <x:v>T-Mobile US Inc.</x:v>
      </x:c>
      <x:c r="D63" s="238" t="n">
        <x:f>IF(COUNT('Raw Inputs'!AE76,'Raw Inputs'!AJ76)=0,"",1+9*AVERAGE('Raw Inputs'!AE76,'Raw Inputs'!AJ76))</x:f>
        <x:v>5.642292490118577</x:v>
      </x:c>
      <x:c r="E63" s="236" t="str">
        <x:f>'Raw Inputs'!AO76</x:f>
        <x:v>SUE + CAR3</x:v>
      </x:c>
      <x:c r="F63" s="266" t="n">
        <x:f>'Raw Inputs'!AD76</x:f>
        <x:v>-0.5434237564249013</x:v>
      </x:c>
      <x:c r="G63" s="267" t="n">
        <x:f>'Raw Inputs'!AE76</x:f>
        <x:v>0.12727272727272726</x:v>
      </x:c>
      <x:c r="H63" s="237" t="n">
        <x:f>'Raw Inputs'!AG76</x:f>
        <x:v>8</x:v>
      </x:c>
      <x:c r="I63" s="268" t="n">
        <x:f>'Raw Inputs'!AI76</x:f>
        <x:v>0.05112505987039362</x:v>
      </x:c>
      <x:c r="J63" s="267" t="n">
        <x:f>'Raw Inputs'!AJ76</x:f>
        <x:v>0.9043478260869565</x:v>
      </x:c>
      <x:c r="K63" s="269" t="n">
        <x:f>'Raw Inputs'!AK76</x:f>
        <x:v>46140</x:v>
      </x:c>
      <x:c r="L63" s="269" t="n">
        <x:f>'Raw Inputs'!AL76</x:f>
        <x:v>46140</x:v>
      </x:c>
      <x:c r="M63" s="236" t="str">
        <x:f>'Raw Inputs'!AN76</x:f>
        <x:v>8-K Item 2.02 filing date</x:v>
      </x:c>
      <x:c r="N63" s="236" t="n">
        <x:f>'Raw Inputs'!AH76</x:f>
        <x:v>62</x:v>
      </x:c>
      <x:c r="O63" s="236" t="str">
        <x:f>'Raw Inputs'!AM76</x:f>
        <x:v>2026-04-27 to 2026-04-28 to 2026-04-29</x:v>
      </x:c>
      <x:c r="P63" s="20" t="str">
        <x:f>'Raw Inputs'!CC76</x:f>
        <x:v>https://data.sec.gov/api/xbrl/companyfacts/CIK0001283699.json</x:v>
      </x:c>
      <x:c r="Q63" s="20" t="str">
        <x:f>'Raw Inputs'!CB76</x:f>
        <x:v>https://query1.finance.yahoo.com/v8/finance/chart/TMUS?period1=1704067200&amp;period2=1783728000&amp;interval=1d&amp;events=div%2Csplits</x:v>
      </x:c>
    </x:row>
    <x:row r="64">
      <x:c r="A64" s="237" t="n">
        <x:f>RANK(D64,$D$5:$D$121,0)</x:f>
        <x:v>60</x:v>
      </x:c>
      <x:c r="B64" s="236" t="str">
        <x:f>'Raw Inputs'!A78</x:f>
        <x:v>T</x:v>
      </x:c>
      <x:c r="C64" s="236" t="str">
        <x:f>'Raw Inputs'!B78</x:f>
        <x:v>AT&amp;T Inc.</x:v>
      </x:c>
      <x:c r="D64" s="238" t="n">
        <x:f>IF(COUNT('Raw Inputs'!AE78,'Raw Inputs'!AJ78)=0,"",1+9*AVERAGE('Raw Inputs'!AE78,'Raw Inputs'!AJ78))</x:f>
        <x:v>5.628063241106719</x:v>
      </x:c>
      <x:c r="E64" s="236" t="str">
        <x:f>'Raw Inputs'!AO78</x:f>
        <x:v>SUE + CAR3</x:v>
      </x:c>
      <x:c r="F64" s="266" t="n">
        <x:f>'Raw Inputs'!AD78</x:f>
        <x:v>-0.13195138314049734</x:v>
      </x:c>
      <x:c r="G64" s="267" t="n">
        <x:f>'Raw Inputs'!AE78</x:f>
        <x:v>0.2545454545454545</x:v>
      </x:c>
      <x:c r="H64" s="237" t="n">
        <x:f>'Raw Inputs'!AG78</x:f>
        <x:v>8</x:v>
      </x:c>
      <x:c r="I64" s="268" t="n">
        <x:f>'Raw Inputs'!AI78</x:f>
        <x:v>0.0177476273242958</x:v>
      </x:c>
      <x:c r="J64" s="267" t="n">
        <x:f>'Raw Inputs'!AJ78</x:f>
        <x:v>0.7739130434782608</x:v>
      </x:c>
      <x:c r="K64" s="269" t="n">
        <x:f>'Raw Inputs'!AK78</x:f>
        <x:v>46134</x:v>
      </x:c>
      <x:c r="L64" s="269" t="n">
        <x:f>'Raw Inputs'!AL78</x:f>
        <x:v>46134</x:v>
      </x:c>
      <x:c r="M64" s="236" t="str">
        <x:f>'Raw Inputs'!AN78</x:f>
        <x:v>8-K Item 2.02 filing date</x:v>
      </x:c>
      <x:c r="N64" s="236" t="n">
        <x:f>'Raw Inputs'!AH78</x:f>
        <x:v>65</x:v>
      </x:c>
      <x:c r="O64" s="236" t="str">
        <x:f>'Raw Inputs'!AM78</x:f>
        <x:v>2026-04-21 to 2026-04-22 to 2026-04-23</x:v>
      </x:c>
      <x:c r="P64" s="20" t="str">
        <x:f>'Raw Inputs'!CC78</x:f>
        <x:v>https://data.sec.gov/api/xbrl/companyfacts/CIK0000732717.json</x:v>
      </x:c>
      <x:c r="Q64" s="20" t="str">
        <x:f>'Raw Inputs'!CB78</x:f>
        <x:v>https://query1.finance.yahoo.com/v8/finance/chart/T?period1=1704067200&amp;period2=1783728000&amp;interval=1d&amp;events=div%2Csplits</x:v>
      </x:c>
    </x:row>
    <x:row r="65">
      <x:c r="A65" s="237" t="n">
        <x:f>RANK(D65,$D$5:$D$121,0)</x:f>
        <x:v>61</x:v>
      </x:c>
      <x:c r="B65" s="236" t="str">
        <x:f>'Raw Inputs'!A106</x:f>
        <x:v>CNP</x:v>
      </x:c>
      <x:c r="C65" s="236" t="str">
        <x:f>'Raw Inputs'!B106</x:f>
        <x:v>Centerpoint Energy Inc.</x:v>
      </x:c>
      <x:c r="D65" s="238" t="n">
        <x:f>IF(COUNT('Raw Inputs'!AE106,'Raw Inputs'!AJ106)=0,"",1+9*AVERAGE('Raw Inputs'!AE106,'Raw Inputs'!AJ106))</x:f>
        <x:v>5.626284584980238</x:v>
      </x:c>
      <x:c r="E65" s="236" t="str">
        <x:f>'Raw Inputs'!AO106</x:f>
        <x:v>SUE + CAR3</x:v>
      </x:c>
      <x:c r="F65" s="266" t="n">
        <x:f>'Raw Inputs'!AD106</x:f>
        <x:v>0.26909811055347105</x:v>
      </x:c>
      <x:c r="G65" s="267" t="n">
        <x:f>'Raw Inputs'!AE106</x:f>
        <x:v>0.44545454545454544</x:v>
      </x:c>
      <x:c r="H65" s="237" t="n">
        <x:f>'Raw Inputs'!AG106</x:f>
        <x:v>8</x:v>
      </x:c>
      <x:c r="I65" s="268" t="n">
        <x:f>'Raw Inputs'!AI106</x:f>
        <x:v>-0.006459754663839634</x:v>
      </x:c>
      <x:c r="J65" s="267" t="n">
        <x:f>'Raw Inputs'!AJ106</x:f>
        <x:v>0.5826086956521739</x:v>
      </x:c>
      <x:c r="K65" s="269" t="n">
        <x:f>'Raw Inputs'!AK106</x:f>
        <x:v>46135</x:v>
      </x:c>
      <x:c r="L65" s="269" t="n">
        <x:f>'Raw Inputs'!AL106</x:f>
        <x:v>46135</x:v>
      </x:c>
      <x:c r="M65" s="236" t="str">
        <x:f>'Raw Inputs'!AN106</x:f>
        <x:v>8-K Item 2.02 filing date</x:v>
      </x:c>
      <x:c r="N65" s="236" t="n">
        <x:f>'Raw Inputs'!AH106</x:f>
        <x:v>68</x:v>
      </x:c>
      <x:c r="O65" s="236" t="str">
        <x:f>'Raw Inputs'!AM106</x:f>
        <x:v>2026-04-22 to 2026-04-23 to 2026-04-24</x:v>
      </x:c>
      <x:c r="P65" s="20" t="str">
        <x:f>'Raw Inputs'!CC106</x:f>
        <x:v>https://data.sec.gov/api/xbrl/companyfacts/CIK0001130310.json</x:v>
      </x:c>
      <x:c r="Q65" s="20" t="str">
        <x:f>'Raw Inputs'!CB106</x:f>
        <x:v>https://query1.finance.yahoo.com/v8/finance/chart/CNP?period1=1704067200&amp;period2=1783728000&amp;interval=1d&amp;events=div%2Csplits</x:v>
      </x:c>
    </x:row>
    <x:row r="66">
      <x:c r="A66" s="237" t="n">
        <x:f>RANK(D66,$D$5:$D$121,0)</x:f>
        <x:v>62</x:v>
      </x:c>
      <x:c r="B66" s="236" t="str">
        <x:f>'Raw Inputs'!A22</x:f>
        <x:v>ACGL</x:v>
      </x:c>
      <x:c r="C66" s="236" t="str">
        <x:f>'Raw Inputs'!B22</x:f>
        <x:v>Arch Capital Group Ltd.</x:v>
      </x:c>
      <x:c r="D66" s="238" t="n">
        <x:f>IF(COUNT('Raw Inputs'!AE22,'Raw Inputs'!AJ22)=0,"",1+9*AVERAGE('Raw Inputs'!AE22,'Raw Inputs'!AJ22))</x:f>
        <x:v>5.613833992094861</x:v>
      </x:c>
      <x:c r="E66" s="236" t="str">
        <x:f>'Raw Inputs'!AO22</x:f>
        <x:v>SUE + CAR3</x:v>
      </x:c>
      <x:c r="F66" s="266" t="n">
        <x:f>'Raw Inputs'!AD22</x:f>
        <x:v>0.7355765766054893</x:v>
      </x:c>
      <x:c r="G66" s="267" t="n">
        <x:f>'Raw Inputs'!AE22</x:f>
        <x:v>0.5818181818181818</x:v>
      </x:c>
      <x:c r="H66" s="237" t="n">
        <x:f>'Raw Inputs'!AG22</x:f>
        <x:v>8</x:v>
      </x:c>
      <x:c r="I66" s="268" t="n">
        <x:f>'Raw Inputs'!AI22</x:f>
        <x:v>-0.03045828363859171</x:v>
      </x:c>
      <x:c r="J66" s="267" t="n">
        <x:f>'Raw Inputs'!AJ22</x:f>
        <x:v>0.4434782608695652</x:v>
      </x:c>
      <x:c r="K66" s="269" t="n">
        <x:f>'Raw Inputs'!AK22</x:f>
        <x:v>46140</x:v>
      </x:c>
      <x:c r="L66" s="269" t="n">
        <x:f>'Raw Inputs'!AL22</x:f>
        <x:v>46140</x:v>
      </x:c>
      <x:c r="M66" s="236" t="str">
        <x:f>'Raw Inputs'!AN22</x:f>
        <x:v>8-K Item 2.02 filing date</x:v>
      </x:c>
      <x:c r="N66" s="236" t="n">
        <x:f>'Raw Inputs'!AH22</x:f>
        <x:v>61</x:v>
      </x:c>
      <x:c r="O66" s="236" t="str">
        <x:f>'Raw Inputs'!AM22</x:f>
        <x:v>2026-04-27 to 2026-04-28 to 2026-04-29</x:v>
      </x:c>
      <x:c r="P66" s="20" t="str">
        <x:f>'Raw Inputs'!CC22</x:f>
        <x:v>https://data.sec.gov/api/xbrl/companyfacts/CIK0000947484.json</x:v>
      </x:c>
      <x:c r="Q66" s="20" t="str">
        <x:f>'Raw Inputs'!CB22</x:f>
        <x:v>https://query1.finance.yahoo.com/v8/finance/chart/ACGL?period1=1704067200&amp;period2=1783728000&amp;interval=1d&amp;events=div%2Csplits</x:v>
      </x:c>
    </x:row>
    <x:row r="67">
      <x:c r="A67" s="237" t="n">
        <x:f>RANK(D67,$D$5:$D$121,0)</x:f>
        <x:v>63</x:v>
      </x:c>
      <x:c r="B67" s="236" t="str">
        <x:f>'Raw Inputs'!A84</x:f>
        <x:v>SBRA</x:v>
      </x:c>
      <x:c r="C67" s="236" t="str">
        <x:f>'Raw Inputs'!B84</x:f>
        <x:v>Sabra Health Care REIT Inc.</x:v>
      </x:c>
      <x:c r="D67" s="238" t="n">
        <x:f>IF(COUNT('Raw Inputs'!AE84,'Raw Inputs'!AJ84)=0,"",1+9*AVERAGE('Raw Inputs'!AE84,'Raw Inputs'!AJ84))</x:f>
        <x:v>5.551581027667984</x:v>
      </x:c>
      <x:c r="E67" s="236" t="str">
        <x:f>'Raw Inputs'!AO84</x:f>
        <x:v>SUE + CAR3</x:v>
      </x:c>
      <x:c r="F67" s="266" t="n">
        <x:f>'Raw Inputs'!AD84</x:f>
        <x:v>-0.09262691656222148</x:v>
      </x:c>
      <x:c r="G67" s="267" t="n">
        <x:f>'Raw Inputs'!AE84</x:f>
        <x:v>0.2636363636363636</x:v>
      </x:c>
      <x:c r="H67" s="237" t="n">
        <x:f>'Raw Inputs'!AG84</x:f>
        <x:v>8</x:v>
      </x:c>
      <x:c r="I67" s="268" t="n">
        <x:f>'Raw Inputs'!AI84</x:f>
        <x:v>0.013526487930324516</x:v>
      </x:c>
      <x:c r="J67" s="267" t="n">
        <x:f>'Raw Inputs'!AJ84</x:f>
        <x:v>0.7478260869565218</x:v>
      </x:c>
      <x:c r="K67" s="269" t="n">
        <x:f>'Raw Inputs'!AK84</x:f>
        <x:v>46141</x:v>
      </x:c>
      <x:c r="L67" s="269" t="n">
        <x:f>'Raw Inputs'!AL84</x:f>
        <x:v>46141</x:v>
      </x:c>
      <x:c r="M67" s="236" t="str">
        <x:f>'Raw Inputs'!AN84</x:f>
        <x:v>8-K Item 2.02 filing date</x:v>
      </x:c>
      <x:c r="N67" s="236" t="n">
        <x:f>'Raw Inputs'!AH84</x:f>
        <x:v>60</x:v>
      </x:c>
      <x:c r="O67" s="236" t="str">
        <x:f>'Raw Inputs'!AM84</x:f>
        <x:v>2026-04-28 to 2026-04-29 to 2026-04-30</x:v>
      </x:c>
      <x:c r="P67" s="20" t="str">
        <x:f>'Raw Inputs'!CC84</x:f>
        <x:v>https://data.sec.gov/api/xbrl/companyfacts/CIK0001492298.json</x:v>
      </x:c>
      <x:c r="Q67" s="20" t="str">
        <x:f>'Raw Inputs'!CB84</x:f>
        <x:v>https://query1.finance.yahoo.com/v8/finance/chart/SBRA?period1=1704067200&amp;period2=1783728000&amp;interval=1d&amp;events=div%2Csplits</x:v>
      </x:c>
    </x:row>
    <x:row r="68">
      <x:c r="A68" s="237" t="n">
        <x:f>RANK(D68,$D$5:$D$121,0)</x:f>
        <x:v>64</x:v>
      </x:c>
      <x:c r="B68" s="236" t="str">
        <x:f>'Raw Inputs'!A113</x:f>
        <x:v>ORLY</x:v>
      </x:c>
      <x:c r="C68" s="236" t="str">
        <x:f>'Raw Inputs'!B113</x:f>
        <x:v>O'Reilly Automotive Inc.</x:v>
      </x:c>
      <x:c r="D68" s="238" t="n">
        <x:f>IF(COUNT('Raw Inputs'!AE113,'Raw Inputs'!AJ113)=0,"",1+9*AVERAGE('Raw Inputs'!AE113,'Raw Inputs'!AJ113))</x:f>
        <x:v>5.432411067193676</x:v>
      </x:c>
      <x:c r="E68" s="236" t="str">
        <x:f>'Raw Inputs'!AO113</x:f>
        <x:v>SUE + CAR3</x:v>
      </x:c>
      <x:c r="F68" s="266" t="n">
        <x:f>'Raw Inputs'!AD113</x:f>
        <x:v>-1.6430665702632727</x:v>
      </x:c>
      <x:c r="G68" s="267" t="n">
        <x:f>'Raw Inputs'!AE113</x:f>
        <x:v>0.05454545454545454</x:v>
      </x:c>
      <x:c r="H68" s="237" t="n">
        <x:f>'Raw Inputs'!AG113</x:f>
        <x:v>8</x:v>
      </x:c>
      <x:c r="I68" s="268" t="n">
        <x:f>'Raw Inputs'!AI113</x:f>
        <x:v>0.07630032734755587</x:v>
      </x:c>
      <x:c r="J68" s="267" t="n">
        <x:f>'Raw Inputs'!AJ113</x:f>
        <x:v>0.9304347826086956</x:v>
      </x:c>
      <x:c r="K68" s="269" t="n">
        <x:f>'Raw Inputs'!AK113</x:f>
        <x:v>46141</x:v>
      </x:c>
      <x:c r="L68" s="269" t="n">
        <x:f>'Raw Inputs'!AL113</x:f>
        <x:v>46141</x:v>
      </x:c>
      <x:c r="M68" s="236" t="str">
        <x:f>'Raw Inputs'!AN113</x:f>
        <x:v>8-K Item 2.02 filing date</x:v>
      </x:c>
      <x:c r="N68" s="236" t="n">
        <x:f>'Raw Inputs'!AH113</x:f>
        <x:v>64</x:v>
      </x:c>
      <x:c r="O68" s="236" t="str">
        <x:f>'Raw Inputs'!AM113</x:f>
        <x:v>2026-04-28 to 2026-04-29 to 2026-04-30</x:v>
      </x:c>
      <x:c r="P68" s="20" t="str">
        <x:f>'Raw Inputs'!CC113</x:f>
        <x:v>https://data.sec.gov/api/xbrl/companyfacts/CIK0000898173.json</x:v>
      </x:c>
      <x:c r="Q68" s="20" t="str">
        <x:f>'Raw Inputs'!CB113</x:f>
        <x:v>https://query1.finance.yahoo.com/v8/finance/chart/ORLY?period1=1704067200&amp;period2=1783728000&amp;interval=1d&amp;events=div%2Csplits</x:v>
      </x:c>
    </x:row>
    <x:row r="69">
      <x:c r="A69" s="237" t="n">
        <x:f>RANK(D69,$D$5:$D$121,0)</x:f>
        <x:v>65</x:v>
      </x:c>
      <x:c r="B69" s="236" t="str">
        <x:f>'Raw Inputs'!A37</x:f>
        <x:v>BF-B</x:v>
      </x:c>
      <x:c r="C69" s="236" t="str">
        <x:f>'Raw Inputs'!B37</x:f>
        <x:v>Brown-Forman Corp.</x:v>
      </x:c>
      <x:c r="D69" s="238" t="n">
        <x:f>IF(COUNT('Raw Inputs'!AE37,'Raw Inputs'!AJ37)=0,"",1+9*AVERAGE('Raw Inputs'!AE37,'Raw Inputs'!AJ37))</x:f>
        <x:v>5.430632411067194</x:v>
      </x:c>
      <x:c r="E69" s="236" t="str">
        <x:f>'Raw Inputs'!AO37</x:f>
        <x:v>SUE + CAR3</x:v>
      </x:c>
      <x:c r="F69" s="266" t="n">
        <x:f>'Raw Inputs'!AD37</x:f>
        <x:v>-1.908367451616937</x:v>
      </x:c>
      <x:c r="G69" s="267" t="n">
        <x:f>'Raw Inputs'!AE37</x:f>
        <x:v>0.045454545454545456</x:v>
      </x:c>
      <x:c r="H69" s="237" t="n">
        <x:f>'Raw Inputs'!AG37</x:f>
        <x:v>8</x:v>
      </x:c>
      <x:c r="I69" s="268" t="n">
        <x:f>'Raw Inputs'!AI37</x:f>
        <x:v>0.0779145536473681</x:v>
      </x:c>
      <x:c r="J69" s="267" t="n">
        <x:f>'Raw Inputs'!AJ37</x:f>
        <x:v>0.9391304347826087</x:v>
      </x:c>
      <x:c r="K69" s="269" t="n">
        <x:f>'Raw Inputs'!AK37</x:f>
        <x:v>46177</x:v>
      </x:c>
      <x:c r="L69" s="269" t="n">
        <x:f>'Raw Inputs'!AL37</x:f>
        <x:v>46177</x:v>
      </x:c>
      <x:c r="M69" s="236" t="str">
        <x:f>'Raw Inputs'!AN37</x:f>
        <x:v>8-K Item 2.02 filing date</x:v>
      </x:c>
      <x:c r="N69" s="236" t="n">
        <x:f>'Raw Inputs'!AH37</x:f>
        <x:v>64</x:v>
      </x:c>
      <x:c r="O69" s="236" t="str">
        <x:f>'Raw Inputs'!AM37</x:f>
        <x:v>2026-06-03 to 2026-06-04 to 2026-06-05</x:v>
      </x:c>
      <x:c r="P69" s="20" t="str">
        <x:f>'Raw Inputs'!CC37</x:f>
        <x:v>https://data.sec.gov/api/xbrl/companyfacts/CIK0000014693.json</x:v>
      </x:c>
      <x:c r="Q69" s="20" t="str">
        <x:f>'Raw Inputs'!CB37</x:f>
        <x:v>https://query1.finance.yahoo.com/v8/finance/chart/BF-B?period1=1704067200&amp;period2=1783728000&amp;interval=1d&amp;events=div%2Csplits</x:v>
      </x:c>
    </x:row>
    <x:row r="70">
      <x:c r="A70" s="237" t="n">
        <x:f>RANK(D70,$D$5:$D$121,0)</x:f>
        <x:v>66</x:v>
      </x:c>
      <x:c r="B70" s="236" t="str">
        <x:f>'Raw Inputs'!A24</x:f>
        <x:v>VZ</x:v>
      </x:c>
      <x:c r="C70" s="236" t="str">
        <x:f>'Raw Inputs'!B24</x:f>
        <x:v>Verizon Communications Inc.</x:v>
      </x:c>
      <x:c r="D70" s="238" t="n">
        <x:f>IF(COUNT('Raw Inputs'!AE24,'Raw Inputs'!AJ24)=0,"",1+9*AVERAGE('Raw Inputs'!AE24,'Raw Inputs'!AJ24))</x:f>
        <x:v>5.368379446640316</x:v>
      </x:c>
      <x:c r="E70" s="236" t="str">
        <x:f>'Raw Inputs'!AO24</x:f>
        <x:v>SUE + CAR3</x:v>
      </x:c>
      <x:c r="F70" s="266" t="n">
        <x:f>'Raw Inputs'!AD24</x:f>
        <x:v>0.05432005624844739</x:v>
      </x:c>
      <x:c r="G70" s="267" t="n">
        <x:f>'Raw Inputs'!AE24</x:f>
        <x:v>0.32727272727272727</x:v>
      </x:c>
      <x:c r="H70" s="237" t="n">
        <x:f>'Raw Inputs'!AG24</x:f>
        <x:v>8</x:v>
      </x:c>
      <x:c r="I70" s="268" t="n">
        <x:f>'Raw Inputs'!AI24</x:f>
        <x:v>-0.0016987853535996855</x:v>
      </x:c>
      <x:c r="J70" s="267" t="n">
        <x:f>'Raw Inputs'!AJ24</x:f>
        <x:v>0.6434782608695652</x:v>
      </x:c>
      <x:c r="K70" s="269" t="n">
        <x:f>'Raw Inputs'!AK24</x:f>
        <x:v>46139</x:v>
      </x:c>
      <x:c r="L70" s="269" t="n">
        <x:f>'Raw Inputs'!AL24</x:f>
        <x:v>46139</x:v>
      </x:c>
      <x:c r="M70" s="236" t="str">
        <x:f>'Raw Inputs'!AN24</x:f>
        <x:v>8-K Item 2.02 filing date</x:v>
      </x:c>
      <x:c r="N70" s="236" t="n">
        <x:f>'Raw Inputs'!AH24</x:f>
        <x:v>68</x:v>
      </x:c>
      <x:c r="O70" s="236" t="str">
        <x:f>'Raw Inputs'!AM24</x:f>
        <x:v>2026-04-24 to 2026-04-27 to 2026-04-28</x:v>
      </x:c>
      <x:c r="P70" s="20" t="str">
        <x:f>'Raw Inputs'!CC24</x:f>
        <x:v>https://data.sec.gov/api/xbrl/companyfacts/CIK0000732712.json</x:v>
      </x:c>
      <x:c r="Q70" s="20" t="str">
        <x:f>'Raw Inputs'!CB24</x:f>
        <x:v>https://query1.finance.yahoo.com/v8/finance/chart/VZ?period1=1704067200&amp;period2=1783728000&amp;interval=1d&amp;events=div%2Csplits</x:v>
      </x:c>
    </x:row>
    <x:row r="71">
      <x:c r="A71" s="237" t="n">
        <x:f>RANK(D71,$D$5:$D$121,0)</x:f>
        <x:v>67</x:v>
      </x:c>
      <x:c r="B71" s="236" t="str">
        <x:f>'Raw Inputs'!A7</x:f>
        <x:v>RNR</x:v>
      </x:c>
      <x:c r="C71" s="236" t="str">
        <x:f>'Raw Inputs'!B7</x:f>
        <x:v>RenaissanceRe Holdings Ltd.</x:v>
      </x:c>
      <x:c r="D71" s="238" t="n">
        <x:f>IF(COUNT('Raw Inputs'!AE7,'Raw Inputs'!AJ7)=0,"",1+9*AVERAGE('Raw Inputs'!AE7,'Raw Inputs'!AJ7))</x:f>
        <x:v>5.345256916996047</x:v>
      </x:c>
      <x:c r="E71" s="236" t="str">
        <x:f>'Raw Inputs'!AO7</x:f>
        <x:v>SUE + CAR3</x:v>
      </x:c>
      <x:c r="F71" s="266" t="n">
        <x:f>'Raw Inputs'!AD7</x:f>
        <x:v>0.18855197441787488</x:v>
      </x:c>
      <x:c r="G71" s="267" t="n">
        <x:f>'Raw Inputs'!AE7</x:f>
        <x:v>0.4090909090909091</x:v>
      </x:c>
      <x:c r="H71" s="237" t="n">
        <x:f>'Raw Inputs'!AG7</x:f>
        <x:v>8</x:v>
      </x:c>
      <x:c r="I71" s="268" t="n">
        <x:f>'Raw Inputs'!AI7</x:f>
        <x:v>-0.012879479104107472</x:v>
      </x:c>
      <x:c r="J71" s="267" t="n">
        <x:f>'Raw Inputs'!AJ7</x:f>
        <x:v>0.5565217391304348</x:v>
      </x:c>
      <x:c r="K71" s="269" t="n">
        <x:f>'Raw Inputs'!AK7</x:f>
        <x:v>46140</x:v>
      </x:c>
      <x:c r="L71" s="269" t="n">
        <x:f>'Raw Inputs'!AL7</x:f>
        <x:v>46140</x:v>
      </x:c>
      <x:c r="M71" s="236" t="str">
        <x:f>'Raw Inputs'!AN7</x:f>
        <x:v>8-K Item 2.02 filing date</x:v>
      </x:c>
      <x:c r="N71" s="236" t="n">
        <x:f>'Raw Inputs'!AH7</x:f>
        <x:v>64</x:v>
      </x:c>
      <x:c r="O71" s="236" t="str">
        <x:f>'Raw Inputs'!AM7</x:f>
        <x:v>2026-04-27 to 2026-04-28 to 2026-04-29</x:v>
      </x:c>
      <x:c r="P71" s="20" t="str">
        <x:f>'Raw Inputs'!CC7</x:f>
        <x:v>https://data.sec.gov/api/xbrl/companyfacts/CIK0000913144.json</x:v>
      </x:c>
      <x:c r="Q71" s="20" t="str">
        <x:f>'Raw Inputs'!CB7</x:f>
        <x:v>https://query1.finance.yahoo.com/v8/finance/chart/RNR?period1=1704067200&amp;period2=1783728000&amp;interval=1d&amp;events=div%2Csplits</x:v>
      </x:c>
    </x:row>
    <x:row r="72">
      <x:c r="A72" s="237" t="n">
        <x:f>RANK(D72,$D$5:$D$121,0)</x:f>
        <x:v>68</x:v>
      </x:c>
      <x:c r="B72" s="236" t="str">
        <x:f>'Raw Inputs'!A39</x:f>
        <x:v>LHX</x:v>
      </x:c>
      <x:c r="C72" s="236" t="str">
        <x:f>'Raw Inputs'!B39</x:f>
        <x:v>L3Harris Technologies Inc.</x:v>
      </x:c>
      <x:c r="D72" s="238" t="n">
        <x:f>IF(COUNT('Raw Inputs'!AE39,'Raw Inputs'!AJ39)=0,"",1+9*AVERAGE('Raw Inputs'!AE39,'Raw Inputs'!AJ39))</x:f>
        <x:v>5.3203557312252965</x:v>
      </x:c>
      <x:c r="E72" s="236" t="str">
        <x:f>'Raw Inputs'!AO39</x:f>
        <x:v>SUE + CAR3</x:v>
      </x:c>
      <x:c r="F72" s="266" t="n">
        <x:f>'Raw Inputs'!AD39</x:f>
        <x:v>1.0526270730902947</x:v>
      </x:c>
      <x:c r="G72" s="267" t="n">
        <x:f>'Raw Inputs'!AE39</x:f>
        <x:v>0.6818181818181818</x:v>
      </x:c>
      <x:c r="H72" s="237" t="n">
        <x:f>'Raw Inputs'!AG39</x:f>
        <x:v>8</x:v>
      </x:c>
      <x:c r="I72" s="268" t="n">
        <x:f>'Raw Inputs'!AI39</x:f>
        <x:v>-0.04902766358467381</x:v>
      </x:c>
      <x:c r="J72" s="267" t="n">
        <x:f>'Raw Inputs'!AJ39</x:f>
        <x:v>0.2782608695652174</x:v>
      </x:c>
      <x:c r="K72" s="269" t="n">
        <x:f>'Raw Inputs'!AK39</x:f>
        <x:v>46142</x:v>
      </x:c>
      <x:c r="L72" s="269" t="n">
        <x:f>'Raw Inputs'!AL39</x:f>
        <x:v>46142</x:v>
      </x:c>
      <x:c r="M72" s="236" t="str">
        <x:f>'Raw Inputs'!AN39</x:f>
        <x:v>8-K Item 2.02 filing date</x:v>
      </x:c>
      <x:c r="N72" s="236" t="n">
        <x:f>'Raw Inputs'!AH39</x:f>
        <x:v>65</x:v>
      </x:c>
      <x:c r="O72" s="236" t="str">
        <x:f>'Raw Inputs'!AM39</x:f>
        <x:v>2026-04-29 to 2026-04-30 to 2026-05-01</x:v>
      </x:c>
      <x:c r="P72" s="20" t="str">
        <x:f>'Raw Inputs'!CC39</x:f>
        <x:v>https://data.sec.gov/api/xbrl/companyfacts/CIK0000202058.json</x:v>
      </x:c>
      <x:c r="Q72" s="20" t="str">
        <x:f>'Raw Inputs'!CB39</x:f>
        <x:v>https://query1.finance.yahoo.com/v8/finance/chart/LHX?period1=1704067200&amp;period2=1783728000&amp;interval=1d&amp;events=div%2Csplits</x:v>
      </x:c>
    </x:row>
    <x:row r="73">
      <x:c r="A73" s="237" t="n">
        <x:f>RANK(D73,$D$5:$D$121,0)</x:f>
        <x:v>69</x:v>
      </x:c>
      <x:c r="B73" s="236" t="str">
        <x:f>'Raw Inputs'!A23</x:f>
        <x:v>DOX</x:v>
      </x:c>
      <x:c r="C73" s="236" t="str">
        <x:f>'Raw Inputs'!B23</x:f>
        <x:v>Amdocs Ltd.</x:v>
      </x:c>
      <x:c r="D73" s="238" t="n">
        <x:f>IF(COUNT('Raw Inputs'!AE23,'Raw Inputs'!AJ23)=0,"",1+9*AVERAGE('Raw Inputs'!AE23,'Raw Inputs'!AJ23))</x:f>
        <x:v>5.22608695652174</x:v>
      </x:c>
      <x:c r="E73" s="236" t="str">
        <x:f>'Raw Inputs'!AO23</x:f>
        <x:v>CAR3 only</x:v>
      </x:c>
      <x:c r="F73" s="266" t="n">
        <x:f>'Raw Inputs'!AD23</x:f>
        <x:v>0</x:v>
      </x:c>
      <x:c r="G73" s="267" t="n">
        <x:f>'Raw Inputs'!AE23</x:f>
        <x:v>0</x:v>
      </x:c>
      <x:c r="H73" s="237" t="n">
        <x:f>'Raw Inputs'!AG23</x:f>
        <x:v>0</x:v>
      </x:c>
      <x:c r="I73" s="268" t="n">
        <x:f>'Raw Inputs'!AI23</x:f>
        <x:v>-0.02883340213227048</x:v>
      </x:c>
      <x:c r="J73" s="267" t="n">
        <x:f>'Raw Inputs'!AJ23</x:f>
        <x:v>0.46956521739130436</x:v>
      </x:c>
      <x:c r="K73" s="269" t="n">
        <x:f>'Raw Inputs'!AK23</x:f>
        <x:v>46168</x:v>
      </x:c>
      <x:c r="L73" s="269" t="n">
        <x:f>'Raw Inputs'!AL23</x:f>
        <x:v>46168</x:v>
      </x:c>
      <x:c r="M73" s="236" t="str">
        <x:f>'Raw Inputs'!AN23</x:f>
        <x:v>latest recent 6-K filing date fallback</x:v>
      </x:c>
      <x:c r="N73" s="236" t="n">
        <x:f>'Raw Inputs'!AH23</x:f>
        <x:v>0</x:v>
      </x:c>
      <x:c r="O73" s="236" t="str">
        <x:f>'Raw Inputs'!AM23</x:f>
        <x:v>2026-05-22 to 2026-05-26 to 2026-05-27</x:v>
      </x:c>
      <x:c r="P73" s="20" t="str">
        <x:f>'Raw Inputs'!CC23</x:f>
        <x:v>https://data.sec.gov/api/xbrl/companyfacts/CIK0001062579.json</x:v>
      </x:c>
      <x:c r="Q73" s="20" t="str">
        <x:f>'Raw Inputs'!CB23</x:f>
        <x:v>https://query1.finance.yahoo.com/v8/finance/chart/DOX?period1=1704067200&amp;period2=1783728000&amp;interval=1d&amp;events=div%2Csplits</x:v>
      </x:c>
    </x:row>
    <x:row r="74">
      <x:c r="A74" s="237" t="n">
        <x:f>RANK(D74,$D$5:$D$121,0)</x:f>
        <x:v>70</x:v>
      </x:c>
      <x:c r="B74" s="236" t="str">
        <x:f>'Raw Inputs'!A72</x:f>
        <x:v>VRTX</x:v>
      </x:c>
      <x:c r="C74" s="236" t="str">
        <x:f>'Raw Inputs'!B72</x:f>
        <x:v>Vertex Pharmaceuticals Inc.</x:v>
      </x:c>
      <x:c r="D74" s="238" t="n">
        <x:f>IF(COUNT('Raw Inputs'!AE72,'Raw Inputs'!AJ72)=0,"",1+9*AVERAGE('Raw Inputs'!AE72,'Raw Inputs'!AJ72))</x:f>
        <x:v>5.1869565217391305</x:v>
      </x:c>
      <x:c r="E74" s="236" t="str">
        <x:f>'Raw Inputs'!AO72</x:f>
        <x:v>SUE + CAR3</x:v>
      </x:c>
      <x:c r="F74" s="266" t="n">
        <x:f>'Raw Inputs'!AD72</x:f>
        <x:v>0.1618653284724367</x:v>
      </x:c>
      <x:c r="G74" s="267" t="n">
        <x:f>'Raw Inputs'!AE72</x:f>
        <x:v>0.4</x:v>
      </x:c>
      <x:c r="H74" s="237" t="n">
        <x:f>'Raw Inputs'!AG72</x:f>
        <x:v>8</x:v>
      </x:c>
      <x:c r="I74" s="268" t="n">
        <x:f>'Raw Inputs'!AI72</x:f>
        <x:v>-0.014829472702145075</x:v>
      </x:c>
      <x:c r="J74" s="267" t="n">
        <x:f>'Raw Inputs'!AJ72</x:f>
        <x:v>0.5304347826086957</x:v>
      </x:c>
      <x:c r="K74" s="269" t="n">
        <x:f>'Raw Inputs'!AK72</x:f>
        <x:v>46146</x:v>
      </x:c>
      <x:c r="L74" s="269" t="n">
        <x:f>'Raw Inputs'!AL72</x:f>
        <x:v>46146</x:v>
      </x:c>
      <x:c r="M74" s="236" t="str">
        <x:f>'Raw Inputs'!AN72</x:f>
        <x:v>8-K Item 2.02 filing date</x:v>
      </x:c>
      <x:c r="N74" s="236" t="n">
        <x:f>'Raw Inputs'!AH72</x:f>
        <x:v>65</x:v>
      </x:c>
      <x:c r="O74" s="236" t="str">
        <x:f>'Raw Inputs'!AM72</x:f>
        <x:v>2026-05-01 to 2026-05-04 to 2026-05-05</x:v>
      </x:c>
      <x:c r="P74" s="20" t="str">
        <x:f>'Raw Inputs'!CC72</x:f>
        <x:v>https://data.sec.gov/api/xbrl/companyfacts/CIK0000875320.json</x:v>
      </x:c>
      <x:c r="Q74" s="20" t="str">
        <x:f>'Raw Inputs'!CB72</x:f>
        <x:v>https://query1.finance.yahoo.com/v8/finance/chart/VRTX?period1=1704067200&amp;period2=1783728000&amp;interval=1d&amp;events=div%2Csplits</x:v>
      </x:c>
    </x:row>
    <x:row r="75">
      <x:c r="A75" s="237" t="n">
        <x:f>RANK(D75,$D$5:$D$121,0)</x:f>
        <x:v>71</x:v>
      </x:c>
      <x:c r="B75" s="236" t="str">
        <x:f>'Raw Inputs'!A65</x:f>
        <x:v>COR</x:v>
      </x:c>
      <x:c r="C75" s="236" t="str">
        <x:f>'Raw Inputs'!B65</x:f>
        <x:v>Cencora Inc.</x:v>
      </x:c>
      <x:c r="D75" s="238" t="n">
        <x:f>IF(COUNT('Raw Inputs'!AE65,'Raw Inputs'!AJ65)=0,"",1+9*AVERAGE('Raw Inputs'!AE65,'Raw Inputs'!AJ65))</x:f>
        <x:v>5.130039525691699</x:v>
      </x:c>
      <x:c r="E75" s="236" t="str">
        <x:f>'Raw Inputs'!AO65</x:f>
        <x:v>SUE + CAR3</x:v>
      </x:c>
      <x:c r="F75" s="266" t="n">
        <x:f>'Raw Inputs'!AD65</x:f>
        <x:v>2.257918304003779</x:v>
      </x:c>
      <x:c r="G75" s="267" t="n">
        <x:f>'Raw Inputs'!AE65</x:f>
        <x:v>0.9090909090909091</x:v>
      </x:c>
      <x:c r="H75" s="237" t="n">
        <x:f>'Raw Inputs'!AG65</x:f>
        <x:v>8</x:v>
      </x:c>
      <x:c r="I75" s="268" t="n">
        <x:f>'Raw Inputs'!AI65</x:f>
        <x:v>-0.17240991506197578</x:v>
      </x:c>
      <x:c r="J75" s="267" t="n">
        <x:f>'Raw Inputs'!AJ65</x:f>
        <x:v>0.008695652173913044</x:v>
      </x:c>
      <x:c r="K75" s="269" t="n">
        <x:f>'Raw Inputs'!AK65</x:f>
        <x:v>46148</x:v>
      </x:c>
      <x:c r="L75" s="269" t="n">
        <x:f>'Raw Inputs'!AL65</x:f>
        <x:v>46148</x:v>
      </x:c>
      <x:c r="M75" s="236" t="str">
        <x:f>'Raw Inputs'!AN65</x:f>
        <x:v>8-K Item 2.02 filing date</x:v>
      </x:c>
      <x:c r="N75" s="236" t="n">
        <x:f>'Raw Inputs'!AH65</x:f>
        <x:v>68</x:v>
      </x:c>
      <x:c r="O75" s="236" t="str">
        <x:f>'Raw Inputs'!AM65</x:f>
        <x:v>2026-05-05 to 2026-05-06 to 2026-05-07</x:v>
      </x:c>
      <x:c r="P75" s="20" t="str">
        <x:f>'Raw Inputs'!CC65</x:f>
        <x:v>https://data.sec.gov/api/xbrl/companyfacts/CIK0001140859.json</x:v>
      </x:c>
      <x:c r="Q75" s="20" t="str">
        <x:f>'Raw Inputs'!CB65</x:f>
        <x:v>https://query1.finance.yahoo.com/v8/finance/chart/COR?period1=1704067200&amp;period2=1783728000&amp;interval=1d&amp;events=div%2Csplits</x:v>
      </x:c>
    </x:row>
    <x:row r="76">
      <x:c r="A76" s="237" t="n">
        <x:f>RANK(D76,$D$5:$D$121,0)</x:f>
        <x:v>72</x:v>
      </x:c>
      <x:c r="B76" s="236" t="str">
        <x:f>'Raw Inputs'!A111</x:f>
        <x:v>MCD</x:v>
      </x:c>
      <x:c r="C76" s="236" t="str">
        <x:f>'Raw Inputs'!B111</x:f>
        <x:v>McDonald's Corp.</x:v>
      </x:c>
      <x:c r="D76" s="238" t="n">
        <x:f>IF(COUNT('Raw Inputs'!AE111,'Raw Inputs'!AJ111)=0,"",1+9*AVERAGE('Raw Inputs'!AE111,'Raw Inputs'!AJ111))</x:f>
        <x:v>5.037549407114624</x:v>
      </x:c>
      <x:c r="E76" s="236" t="str">
        <x:f>'Raw Inputs'!AO111</x:f>
        <x:v>SUE + CAR3</x:v>
      </x:c>
      <x:c r="F76" s="266" t="n">
        <x:f>'Raw Inputs'!AD111</x:f>
        <x:v>0.8427292439896904</x:v>
      </x:c>
      <x:c r="G76" s="267" t="n">
        <x:f>'Raw Inputs'!AE111</x:f>
        <x:v>0.6363636363636364</x:v>
      </x:c>
      <x:c r="H76" s="237" t="n">
        <x:f>'Raw Inputs'!AG111</x:f>
        <x:v>8</x:v>
      </x:c>
      <x:c r="I76" s="268" t="n">
        <x:f>'Raw Inputs'!AI111</x:f>
        <x:v>-0.049649709206094905</x:v>
      </x:c>
      <x:c r="J76" s="267" t="n">
        <x:f>'Raw Inputs'!AJ111</x:f>
        <x:v>0.2608695652173913</x:v>
      </x:c>
      <x:c r="K76" s="269" t="n">
        <x:f>'Raw Inputs'!AK111</x:f>
        <x:v>46149</x:v>
      </x:c>
      <x:c r="L76" s="269" t="n">
        <x:f>'Raw Inputs'!AL111</x:f>
        <x:v>46149</x:v>
      </x:c>
      <x:c r="M76" s="236" t="str">
        <x:f>'Raw Inputs'!AN111</x:f>
        <x:v>8-K Item 2.02 filing date</x:v>
      </x:c>
      <x:c r="N76" s="236" t="n">
        <x:f>'Raw Inputs'!AH111</x:f>
        <x:v>68</x:v>
      </x:c>
      <x:c r="O76" s="236" t="str">
        <x:f>'Raw Inputs'!AM111</x:f>
        <x:v>2026-05-06 to 2026-05-07 to 2026-05-08</x:v>
      </x:c>
      <x:c r="P76" s="20" t="str">
        <x:f>'Raw Inputs'!CC111</x:f>
        <x:v>https://data.sec.gov/api/xbrl/companyfacts/CIK0000063908.json</x:v>
      </x:c>
      <x:c r="Q76" s="20" t="str">
        <x:f>'Raw Inputs'!CB111</x:f>
        <x:v>https://query1.finance.yahoo.com/v8/finance/chart/MCD?period1=1704067200&amp;period2=1783728000&amp;interval=1d&amp;events=div%2Csplits</x:v>
      </x:c>
    </x:row>
    <x:row r="77">
      <x:c r="A77" s="237" t="n">
        <x:f>RANK(D77,$D$5:$D$121,0)</x:f>
        <x:v>73</x:v>
      </x:c>
      <x:c r="B77" s="236" t="str">
        <x:f>'Raw Inputs'!A28</x:f>
        <x:v>GILD</x:v>
      </x:c>
      <x:c r="C77" s="236" t="str">
        <x:f>'Raw Inputs'!B28</x:f>
        <x:v>Gilead Sciences Inc.</x:v>
      </x:c>
      <x:c r="D77" s="238" t="n">
        <x:f>IF(COUNT('Raw Inputs'!AE28,'Raw Inputs'!AJ28)=0,"",1+9*AVERAGE('Raw Inputs'!AE28,'Raw Inputs'!AJ28))</x:f>
        <x:v>5.005533596837944</x:v>
      </x:c>
      <x:c r="E77" s="236" t="str">
        <x:f>'Raw Inputs'!AO28</x:f>
        <x:v>SUE + CAR3</x:v>
      </x:c>
      <x:c r="F77" s="266" t="n">
        <x:f>'Raw Inputs'!AD28</x:f>
        <x:v>0.3691621578803101</x:v>
      </x:c>
      <x:c r="G77" s="267" t="n">
        <x:f>'Raw Inputs'!AE28</x:f>
        <x:v>0.4727272727272727</x:v>
      </x:c>
      <x:c r="H77" s="237" t="n">
        <x:f>'Raw Inputs'!AG28</x:f>
        <x:v>8</x:v>
      </x:c>
      <x:c r="I77" s="268" t="n">
        <x:f>'Raw Inputs'!AI28</x:f>
        <x:v>-0.03213850481748759</x:v>
      </x:c>
      <x:c r="J77" s="267" t="n">
        <x:f>'Raw Inputs'!AJ28</x:f>
        <x:v>0.41739130434782606</x:v>
      </x:c>
      <x:c r="K77" s="269" t="n">
        <x:f>'Raw Inputs'!AK28</x:f>
        <x:v>46149</x:v>
      </x:c>
      <x:c r="L77" s="269" t="n">
        <x:f>'Raw Inputs'!AL28</x:f>
        <x:v>46149</x:v>
      </x:c>
      <x:c r="M77" s="236" t="str">
        <x:f>'Raw Inputs'!AN28</x:f>
        <x:v>8-K Item 2.02 filing date</x:v>
      </x:c>
      <x:c r="N77" s="236" t="n">
        <x:f>'Raw Inputs'!AH28</x:f>
        <x:v>67</x:v>
      </x:c>
      <x:c r="O77" s="236" t="str">
        <x:f>'Raw Inputs'!AM28</x:f>
        <x:v>2026-05-06 to 2026-05-07 to 2026-05-08</x:v>
      </x:c>
      <x:c r="P77" s="20" t="str">
        <x:f>'Raw Inputs'!CC28</x:f>
        <x:v>https://data.sec.gov/api/xbrl/companyfacts/CIK0000882095.json</x:v>
      </x:c>
      <x:c r="Q77" s="20" t="str">
        <x:f>'Raw Inputs'!CB28</x:f>
        <x:v>https://query1.finance.yahoo.com/v8/finance/chart/GILD?period1=1704067200&amp;period2=1783728000&amp;interval=1d&amp;events=div%2Csplits</x:v>
      </x:c>
    </x:row>
    <x:row r="78">
      <x:c r="A78" s="237" t="n">
        <x:f>RANK(D78,$D$5:$D$121,0)</x:f>
        <x:v>74</x:v>
      </x:c>
      <x:c r="B78" s="236" t="str">
        <x:f>'Raw Inputs'!A49</x:f>
        <x:v>JKHY</x:v>
      </x:c>
      <x:c r="C78" s="236" t="str">
        <x:f>'Raw Inputs'!B49</x:f>
        <x:v>Jack Henry and Associates Inc.</x:v>
      </x:c>
      <x:c r="D78" s="238" t="n">
        <x:f>IF(COUNT('Raw Inputs'!AE49,'Raw Inputs'!AJ49)=0,"",1+9*AVERAGE('Raw Inputs'!AE49,'Raw Inputs'!AJ49))</x:f>
        <x:v>4.980632411067194</x:v>
      </x:c>
      <x:c r="E78" s="236" t="str">
        <x:f>'Raw Inputs'!AO49</x:f>
        <x:v>SUE + CAR3</x:v>
      </x:c>
      <x:c r="F78" s="266" t="n">
        <x:f>'Raw Inputs'!AD49</x:f>
        <x:v>1.3624109816294232</x:v>
      </x:c>
      <x:c r="G78" s="267" t="n">
        <x:f>'Raw Inputs'!AE49</x:f>
        <x:v>0.7454545454545455</x:v>
      </x:c>
      <x:c r="H78" s="237" t="n">
        <x:f>'Raw Inputs'!AG49</x:f>
        <x:v>8</x:v>
      </x:c>
      <x:c r="I78" s="268" t="n">
        <x:f>'Raw Inputs'!AI49</x:f>
        <x:v>-0.09236785799170655</x:v>
      </x:c>
      <x:c r="J78" s="267" t="n">
        <x:f>'Raw Inputs'!AJ49</x:f>
        <x:v>0.1391304347826087</x:v>
      </x:c>
      <x:c r="K78" s="269" t="n">
        <x:f>'Raw Inputs'!AK49</x:f>
        <x:v>46147</x:v>
      </x:c>
      <x:c r="L78" s="269" t="n">
        <x:f>'Raw Inputs'!AL49</x:f>
        <x:v>46147</x:v>
      </x:c>
      <x:c r="M78" s="236" t="str">
        <x:f>'Raw Inputs'!AN49</x:f>
        <x:v>8-K Item 2.02 filing date</x:v>
      </x:c>
      <x:c r="N78" s="236" t="n">
        <x:f>'Raw Inputs'!AH49</x:f>
        <x:v>63</x:v>
      </x:c>
      <x:c r="O78" s="236" t="str">
        <x:f>'Raw Inputs'!AM49</x:f>
        <x:v>2026-05-04 to 2026-05-05 to 2026-05-06</x:v>
      </x:c>
      <x:c r="P78" s="20" t="str">
        <x:f>'Raw Inputs'!CC49</x:f>
        <x:v>https://data.sec.gov/api/xbrl/companyfacts/CIK0000779152.json</x:v>
      </x:c>
      <x:c r="Q78" s="20" t="str">
        <x:f>'Raw Inputs'!CB49</x:f>
        <x:v>https://query1.finance.yahoo.com/v8/finance/chart/JKHY?period1=1704067200&amp;period2=1783728000&amp;interval=1d&amp;events=div%2Csplits</x:v>
      </x:c>
    </x:row>
    <x:row r="79">
      <x:c r="A79" s="237" t="n">
        <x:f>RANK(D79,$D$5:$D$121,0)</x:f>
        <x:v>75</x:v>
      </x:c>
      <x:c r="B79" s="236" t="str">
        <x:f>'Raw Inputs'!A99</x:f>
        <x:v>ABBV</x:v>
      </x:c>
      <x:c r="C79" s="236" t="str">
        <x:f>'Raw Inputs'!B99</x:f>
        <x:v>AbbVie Inc.</x:v>
      </x:c>
      <x:c r="D79" s="238" t="n">
        <x:f>IF(COUNT('Raw Inputs'!AE99,'Raw Inputs'!AJ99)=0,"",1+9*AVERAGE('Raw Inputs'!AE99,'Raw Inputs'!AJ99))</x:f>
        <x:v>4.975296442687747</x:v>
      </x:c>
      <x:c r="E79" s="236" t="str">
        <x:f>'Raw Inputs'!AO99</x:f>
        <x:v>SUE + CAR3</x:v>
      </x:c>
      <x:c r="F79" s="266" t="n">
        <x:f>'Raw Inputs'!AD99</x:f>
        <x:v>-0.6187750346526432</x:v>
      </x:c>
      <x:c r="G79" s="267" t="n">
        <x:f>'Raw Inputs'!AE99</x:f>
        <x:v>0.11818181818181818</x:v>
      </x:c>
      <x:c r="H79" s="237" t="n">
        <x:f>'Raw Inputs'!AG99</x:f>
        <x:v>8</x:v>
      </x:c>
      <x:c r="I79" s="268" t="n">
        <x:f>'Raw Inputs'!AI99</x:f>
        <x:v>0.014301746304506646</x:v>
      </x:c>
      <x:c r="J79" s="267" t="n">
        <x:f>'Raw Inputs'!AJ99</x:f>
        <x:v>0.7652173913043478</x:v>
      </x:c>
      <x:c r="K79" s="269" t="n">
        <x:f>'Raw Inputs'!AK99</x:f>
        <x:v>46209</x:v>
      </x:c>
      <x:c r="L79" s="269" t="n">
        <x:f>'Raw Inputs'!AL99</x:f>
        <x:v>46209</x:v>
      </x:c>
      <x:c r="M79" s="236" t="str">
        <x:f>'Raw Inputs'!AN99</x:f>
        <x:v>8-K Item 2.02 filing date</x:v>
      </x:c>
      <x:c r="N79" s="236" t="n">
        <x:f>'Raw Inputs'!AH99</x:f>
        <x:v>53</x:v>
      </x:c>
      <x:c r="O79" s="236" t="str">
        <x:f>'Raw Inputs'!AM99</x:f>
        <x:v>2026-07-02 to 2026-07-06 to 2026-07-07</x:v>
      </x:c>
      <x:c r="P79" s="20" t="str">
        <x:f>'Raw Inputs'!CC99</x:f>
        <x:v>https://data.sec.gov/api/xbrl/companyfacts/CIK0001551152.json</x:v>
      </x:c>
      <x:c r="Q79" s="20" t="str">
        <x:f>'Raw Inputs'!CB99</x:f>
        <x:v>https://query1.finance.yahoo.com/v8/finance/chart/ABBV?period1=1704067200&amp;period2=1783728000&amp;interval=1d&amp;events=div%2Csplits</x:v>
      </x:c>
    </x:row>
    <x:row r="80">
      <x:c r="A80" s="237" t="n">
        <x:f>RANK(D80,$D$5:$D$121,0)</x:f>
        <x:v>76</x:v>
      </x:c>
      <x:c r="B80" s="236" t="str">
        <x:f>'Raw Inputs'!A73</x:f>
        <x:v>REG</x:v>
      </x:c>
      <x:c r="C80" s="236" t="str">
        <x:f>'Raw Inputs'!B73</x:f>
        <x:v>Regency Centers Corp. REIT</x:v>
      </x:c>
      <x:c r="D80" s="238" t="n">
        <x:f>IF(COUNT('Raw Inputs'!AE73,'Raw Inputs'!AJ73)=0,"",1+9*AVERAGE('Raw Inputs'!AE73,'Raw Inputs'!AJ73))</x:f>
        <x:v>4.913043478260869</x:v>
      </x:c>
      <x:c r="E80" s="236" t="str">
        <x:f>'Raw Inputs'!AO73</x:f>
        <x:v>CAR3 only</x:v>
      </x:c>
      <x:c r="F80" s="266" t="n">
        <x:f>'Raw Inputs'!AD73</x:f>
        <x:v>0</x:v>
      </x:c>
      <x:c r="G80" s="267" t="n">
        <x:f>'Raw Inputs'!AE73</x:f>
        <x:v>0</x:v>
      </x:c>
      <x:c r="H80" s="237" t="n">
        <x:f>'Raw Inputs'!AG73</x:f>
        <x:v>0</x:v>
      </x:c>
      <x:c r="I80" s="268" t="n">
        <x:f>'Raw Inputs'!AI73</x:f>
        <x:v>-0.031100208124511752</x:v>
      </x:c>
      <x:c r="J80" s="267" t="n">
        <x:f>'Raw Inputs'!AJ73</x:f>
        <x:v>0.43478260869565216</x:v>
      </x:c>
      <x:c r="K80" s="269" t="n">
        <x:f>'Raw Inputs'!AK73</x:f>
        <x:v>46141</x:v>
      </x:c>
      <x:c r="L80" s="269" t="n">
        <x:f>'Raw Inputs'!AL73</x:f>
        <x:v>46141</x:v>
      </x:c>
      <x:c r="M80" s="236" t="str">
        <x:f>'Raw Inputs'!AN73</x:f>
        <x:v>8-K Item 2.02 filing date</x:v>
      </x:c>
      <x:c r="N80" s="236" t="n">
        <x:f>'Raw Inputs'!AH73</x:f>
        <x:v>0</x:v>
      </x:c>
      <x:c r="O80" s="236" t="str">
        <x:f>'Raw Inputs'!AM73</x:f>
        <x:v>2026-04-28 to 2026-04-29 to 2026-04-30</x:v>
      </x:c>
      <x:c r="P80" s="20" t="str">
        <x:f>'Raw Inputs'!CC73</x:f>
        <x:v>https://data.sec.gov/api/xbrl/companyfacts/CIK0000910606.json</x:v>
      </x:c>
      <x:c r="Q80" s="20" t="str">
        <x:f>'Raw Inputs'!CB73</x:f>
        <x:v>https://query1.finance.yahoo.com/v8/finance/chart/REG?period1=1704067200&amp;period2=1783728000&amp;interval=1d&amp;events=div%2Csplits</x:v>
      </x:c>
    </x:row>
    <x:row r="81">
      <x:c r="A81" s="237" t="n">
        <x:f>RANK(D81,$D$5:$D$121,0)</x:f>
        <x:v>77</x:v>
      </x:c>
      <x:c r="B81" s="236" t="str">
        <x:f>'Raw Inputs'!A108</x:f>
        <x:v>DUK</x:v>
      </x:c>
      <x:c r="C81" s="236" t="str">
        <x:f>'Raw Inputs'!B108</x:f>
        <x:v>Duke Energy Corp.</x:v>
      </x:c>
      <x:c r="D81" s="238" t="n">
        <x:f>IF(COUNT('Raw Inputs'!AE108,'Raw Inputs'!AJ108)=0,"",1+9*AVERAGE('Raw Inputs'!AE108,'Raw Inputs'!AJ108))</x:f>
        <x:v>4.738735177865612</x:v>
      </x:c>
      <x:c r="E81" s="236" t="str">
        <x:f>'Raw Inputs'!AO108</x:f>
        <x:v>SUE + CAR3</x:v>
      </x:c>
      <x:c r="F81" s="266" t="n">
        <x:f>'Raw Inputs'!AD108</x:f>
        <x:v>0.44352393019700775</x:v>
      </x:c>
      <x:c r="G81" s="267" t="n">
        <x:f>'Raw Inputs'!AE108</x:f>
        <x:v>0.509090909090909</x:v>
      </x:c>
      <x:c r="H81" s="237" t="n">
        <x:f>'Raw Inputs'!AG108</x:f>
        <x:v>8</x:v>
      </x:c>
      <x:c r="I81" s="268" t="n">
        <x:f>'Raw Inputs'!AI108</x:f>
        <x:v>-0.04237037342722516</x:v>
      </x:c>
      <x:c r="J81" s="267" t="n">
        <x:f>'Raw Inputs'!AJ108</x:f>
        <x:v>0.3217391304347826</x:v>
      </x:c>
      <x:c r="K81" s="269" t="n">
        <x:f>'Raw Inputs'!AK108</x:f>
        <x:v>46147</x:v>
      </x:c>
      <x:c r="L81" s="269" t="n">
        <x:f>'Raw Inputs'!AL108</x:f>
        <x:v>46147</x:v>
      </x:c>
      <x:c r="M81" s="236" t="str">
        <x:f>'Raw Inputs'!AN108</x:f>
        <x:v>8-K Item 2.02 filing date</x:v>
      </x:c>
      <x:c r="N81" s="236" t="n">
        <x:f>'Raw Inputs'!AH108</x:f>
        <x:v>66</x:v>
      </x:c>
      <x:c r="O81" s="236" t="str">
        <x:f>'Raw Inputs'!AM108</x:f>
        <x:v>2026-05-04 to 2026-05-05 to 2026-05-06</x:v>
      </x:c>
      <x:c r="P81" s="20" t="str">
        <x:f>'Raw Inputs'!CC108</x:f>
        <x:v>https://data.sec.gov/api/xbrl/companyfacts/CIK0001326160.json</x:v>
      </x:c>
      <x:c r="Q81" s="20" t="str">
        <x:f>'Raw Inputs'!CB108</x:f>
        <x:v>https://query1.finance.yahoo.com/v8/finance/chart/DUK?period1=1704067200&amp;period2=1783728000&amp;interval=1d&amp;events=div%2Csplits</x:v>
      </x:c>
    </x:row>
    <x:row r="82">
      <x:c r="A82" s="237" t="n">
        <x:f>RANK(D82,$D$5:$D$121,0)</x:f>
        <x:v>77</x:v>
      </x:c>
      <x:c r="B82" s="236" t="str">
        <x:f>'Raw Inputs'!A97</x:f>
        <x:v>MCK</x:v>
      </x:c>
      <x:c r="C82" s="236" t="str">
        <x:f>'Raw Inputs'!B97</x:f>
        <x:v>McKesson Corp.</x:v>
      </x:c>
      <x:c r="D82" s="238" t="n">
        <x:f>IF(COUNT('Raw Inputs'!AE97,'Raw Inputs'!AJ97)=0,"",1+9*AVERAGE('Raw Inputs'!AE97,'Raw Inputs'!AJ97))</x:f>
        <x:v>4.738735177865612</x:v>
      </x:c>
      <x:c r="E82" s="236" t="str">
        <x:f>'Raw Inputs'!AO97</x:f>
        <x:v>SUE + CAR3</x:v>
      </x:c>
      <x:c r="F82" s="266" t="n">
        <x:f>'Raw Inputs'!AD97</x:f>
        <x:v>1.1776242439054712</x:v>
      </x:c>
      <x:c r="G82" s="267" t="n">
        <x:f>'Raw Inputs'!AE97</x:f>
        <x:v>0.7090909090909091</x:v>
      </x:c>
      <x:c r="H82" s="237" t="n">
        <x:f>'Raw Inputs'!AG97</x:f>
        <x:v>8</x:v>
      </x:c>
      <x:c r="I82" s="268" t="n">
        <x:f>'Raw Inputs'!AI97</x:f>
        <x:v>-0.09787535568910455</x:v>
      </x:c>
      <x:c r="J82" s="267" t="n">
        <x:f>'Raw Inputs'!AJ97</x:f>
        <x:v>0.12173913043478261</x:v>
      </x:c>
      <x:c r="K82" s="269" t="n">
        <x:f>'Raw Inputs'!AK97</x:f>
        <x:v>46149</x:v>
      </x:c>
      <x:c r="L82" s="269" t="n">
        <x:f>'Raw Inputs'!AL97</x:f>
        <x:v>46149</x:v>
      </x:c>
      <x:c r="M82" s="236" t="str">
        <x:f>'Raw Inputs'!AN97</x:f>
        <x:v>8-K Item 2.02 filing date</x:v>
      </x:c>
      <x:c r="N82" s="236" t="n">
        <x:f>'Raw Inputs'!AH97</x:f>
        <x:v>68</x:v>
      </x:c>
      <x:c r="O82" s="236" t="str">
        <x:f>'Raw Inputs'!AM97</x:f>
        <x:v>2026-05-06 to 2026-05-07 to 2026-05-08</x:v>
      </x:c>
      <x:c r="P82" s="20" t="str">
        <x:f>'Raw Inputs'!CC97</x:f>
        <x:v>https://data.sec.gov/api/xbrl/companyfacts/CIK0000927653.json</x:v>
      </x:c>
      <x:c r="Q82" s="20" t="str">
        <x:f>'Raw Inputs'!CB97</x:f>
        <x:v>https://query1.finance.yahoo.com/v8/finance/chart/MCK?period1=1704067200&amp;period2=1783728000&amp;interval=1d&amp;events=div%2Csplits</x:v>
      </x:c>
    </x:row>
    <x:row r="83">
      <x:c r="A83" s="237" t="n">
        <x:f>RANK(D83,$D$5:$D$121,0)</x:f>
        <x:v>79</x:v>
      </x:c>
      <x:c r="B83" s="236" t="str">
        <x:f>'Raw Inputs'!A63</x:f>
        <x:v>DOW</x:v>
      </x:c>
      <x:c r="C83" s="236" t="str">
        <x:f>'Raw Inputs'!B63</x:f>
        <x:v>Dow Inc.</x:v>
      </x:c>
      <x:c r="D83" s="238" t="n">
        <x:f>IF(COUNT('Raw Inputs'!AE63,'Raw Inputs'!AJ63)=0,"",1+9*AVERAGE('Raw Inputs'!AE63,'Raw Inputs'!AJ63))</x:f>
        <x:v>4.553754940711463</x:v>
      </x:c>
      <x:c r="E83" s="236" t="str">
        <x:f>'Raw Inputs'!AO63</x:f>
        <x:v>SUE + CAR3</x:v>
      </x:c>
      <x:c r="F83" s="266" t="n">
        <x:f>'Raw Inputs'!AD63</x:f>
        <x:v>-0.35217429584183396</x:v>
      </x:c>
      <x:c r="G83" s="267" t="n">
        <x:f>'Raw Inputs'!AE63</x:f>
        <x:v>0.16363636363636364</x:v>
      </x:c>
      <x:c r="H83" s="237" t="n">
        <x:f>'Raw Inputs'!AG63</x:f>
        <x:v>8</x:v>
      </x:c>
      <x:c r="I83" s="268" t="n">
        <x:f>'Raw Inputs'!AI63</x:f>
        <x:v>-0.0028954572126315137</x:v>
      </x:c>
      <x:c r="J83" s="267" t="n">
        <x:f>'Raw Inputs'!AJ63</x:f>
        <x:v>0.6260869565217392</x:v>
      </x:c>
      <x:c r="K83" s="269" t="n">
        <x:f>'Raw Inputs'!AK63</x:f>
        <x:v>46135</x:v>
      </x:c>
      <x:c r="L83" s="269" t="n">
        <x:f>'Raw Inputs'!AL63</x:f>
        <x:v>46135</x:v>
      </x:c>
      <x:c r="M83" s="236" t="str">
        <x:f>'Raw Inputs'!AN63</x:f>
        <x:v>8-K Item 2.02 filing date</x:v>
      </x:c>
      <x:c r="N83" s="236" t="n">
        <x:f>'Raw Inputs'!AH63</x:f>
        <x:v>28</x:v>
      </x:c>
      <x:c r="O83" s="236" t="str">
        <x:f>'Raw Inputs'!AM63</x:f>
        <x:v>2026-04-22 to 2026-04-23 to 2026-04-24</x:v>
      </x:c>
      <x:c r="P83" s="20" t="str">
        <x:f>'Raw Inputs'!CC63</x:f>
        <x:v>https://data.sec.gov/api/xbrl/companyfacts/CIK0001751788.json</x:v>
      </x:c>
      <x:c r="Q83" s="20" t="str">
        <x:f>'Raw Inputs'!CB63</x:f>
        <x:v>https://query1.finance.yahoo.com/v8/finance/chart/DOW?period1=1704067200&amp;period2=1783728000&amp;interval=1d&amp;events=div%2Csplits</x:v>
      </x:c>
    </x:row>
    <x:row r="84">
      <x:c r="A84" s="237" t="n">
        <x:f>RANK(D84,$D$5:$D$121,0)</x:f>
        <x:v>80</x:v>
      </x:c>
      <x:c r="B84" s="236" t="str">
        <x:f>'Raw Inputs'!A29</x:f>
        <x:v>DG</x:v>
      </x:c>
      <x:c r="C84" s="236" t="str">
        <x:f>'Raw Inputs'!B29</x:f>
        <x:v>Dollar General Corp.</x:v>
      </x:c>
      <x:c r="D84" s="238" t="n">
        <x:f>IF(COUNT('Raw Inputs'!AE29,'Raw Inputs'!AJ29)=0,"",1+9*AVERAGE('Raw Inputs'!AE29,'Raw Inputs'!AJ29))</x:f>
        <x:v>4.500395256916995</x:v>
      </x:c>
      <x:c r="E84" s="236" t="str">
        <x:f>'Raw Inputs'!AO29</x:f>
        <x:v>SUE + CAR3</x:v>
      </x:c>
      <x:c r="F84" s="266" t="n">
        <x:f>'Raw Inputs'!AD29</x:f>
        <x:v>0.3919071616577901</x:v>
      </x:c>
      <x:c r="G84" s="267" t="n">
        <x:f>'Raw Inputs'!AE29</x:f>
        <x:v>0.4909090909090909</x:v>
      </x:c>
      <x:c r="H84" s="237" t="n">
        <x:f>'Raw Inputs'!AG29</x:f>
        <x:v>8</x:v>
      </x:c>
      <x:c r="I84" s="268" t="n">
        <x:f>'Raw Inputs'!AI29</x:f>
        <x:v>-0.04818576170959743</x:v>
      </x:c>
      <x:c r="J84" s="267" t="n">
        <x:f>'Raw Inputs'!AJ29</x:f>
        <x:v>0.28695652173913044</x:v>
      </x:c>
      <x:c r="K84" s="269" t="n">
        <x:f>'Raw Inputs'!AK29</x:f>
        <x:v>46175</x:v>
      </x:c>
      <x:c r="L84" s="269" t="n">
        <x:f>'Raw Inputs'!AL29</x:f>
        <x:v>46175</x:v>
      </x:c>
      <x:c r="M84" s="236" t="str">
        <x:f>'Raw Inputs'!AN29</x:f>
        <x:v>8-K Item 2.02 filing date</x:v>
      </x:c>
      <x:c r="N84" s="236" t="n">
        <x:f>'Raw Inputs'!AH29</x:f>
        <x:v>61</x:v>
      </x:c>
      <x:c r="O84" s="236" t="str">
        <x:f>'Raw Inputs'!AM29</x:f>
        <x:v>2026-06-01 to 2026-06-02 to 2026-06-03</x:v>
      </x:c>
      <x:c r="P84" s="20" t="str">
        <x:f>'Raw Inputs'!CC29</x:f>
        <x:v>https://data.sec.gov/api/xbrl/companyfacts/CIK0000029534.json</x:v>
      </x:c>
      <x:c r="Q84" s="20" t="str">
        <x:f>'Raw Inputs'!CB29</x:f>
        <x:v>https://query1.finance.yahoo.com/v8/finance/chart/DG?period1=1704067200&amp;period2=1783728000&amp;interval=1d&amp;events=div%2Csplits</x:v>
      </x:c>
    </x:row>
    <x:row r="85">
      <x:c r="A85" s="237" t="n">
        <x:f>RANK(D85,$D$5:$D$121,0)</x:f>
        <x:v>81</x:v>
      </x:c>
      <x:c r="B85" s="236" t="str">
        <x:f>'Raw Inputs'!A26</x:f>
        <x:v>ORI</x:v>
      </x:c>
      <x:c r="C85" s="236" t="str">
        <x:f>'Raw Inputs'!B26</x:f>
        <x:v>Old Republic International Corp.</x:v>
      </x:c>
      <x:c r="D85" s="238" t="n">
        <x:f>IF(COUNT('Raw Inputs'!AE26,'Raw Inputs'!AJ26)=0,"",1+9*AVERAGE('Raw Inputs'!AE26,'Raw Inputs'!AJ26))</x:f>
        <x:v>4.438142292490118</x:v>
      </x:c>
      <x:c r="E85" s="236" t="str">
        <x:f>'Raw Inputs'!AO26</x:f>
        <x:v>SUE + CAR3</x:v>
      </x:c>
      <x:c r="F85" s="266" t="n">
        <x:f>'Raw Inputs'!AD26</x:f>
        <x:v>0.7055477620486408</x:v>
      </x:c>
      <x:c r="G85" s="267" t="n">
        <x:f>'Raw Inputs'!AE26</x:f>
        <x:v>0.5727272727272728</x:v>
      </x:c>
      <x:c r="H85" s="237" t="n">
        <x:f>'Raw Inputs'!AG26</x:f>
        <x:v>8</x:v>
      </x:c>
      <x:c r="I85" s="268" t="n">
        <x:f>'Raw Inputs'!AI26</x:f>
        <x:v>-0.06915085854639935</x:v>
      </x:c>
      <x:c r="J85" s="267" t="n">
        <x:f>'Raw Inputs'!AJ26</x:f>
        <x:v>0.19130434782608696</x:v>
      </x:c>
      <x:c r="K85" s="269" t="n">
        <x:f>'Raw Inputs'!AK26</x:f>
        <x:v>46135</x:v>
      </x:c>
      <x:c r="L85" s="269" t="n">
        <x:f>'Raw Inputs'!AL26</x:f>
        <x:v>46135</x:v>
      </x:c>
      <x:c r="M85" s="236" t="str">
        <x:f>'Raw Inputs'!AN26</x:f>
        <x:v>8-K Item 2.02 filing date</x:v>
      </x:c>
      <x:c r="N85" s="236" t="n">
        <x:f>'Raw Inputs'!AH26</x:f>
        <x:v>64</x:v>
      </x:c>
      <x:c r="O85" s="236" t="str">
        <x:f>'Raw Inputs'!AM26</x:f>
        <x:v>2026-04-22 to 2026-04-23 to 2026-04-24</x:v>
      </x:c>
      <x:c r="P85" s="20" t="str">
        <x:f>'Raw Inputs'!CC26</x:f>
        <x:v>https://data.sec.gov/api/xbrl/companyfacts/CIK0000074260.json</x:v>
      </x:c>
      <x:c r="Q85" s="20" t="str">
        <x:f>'Raw Inputs'!CB26</x:f>
        <x:v>https://query1.finance.yahoo.com/v8/finance/chart/ORI?period1=1704067200&amp;period2=1783728000&amp;interval=1d&amp;events=div%2Csplits</x:v>
      </x:c>
    </x:row>
    <x:row r="86">
      <x:c r="A86" s="237" t="n">
        <x:f>RANK(D86,$D$5:$D$121,0)</x:f>
        <x:v>82</x:v>
      </x:c>
      <x:c r="B86" s="236" t="str">
        <x:f>'Raw Inputs'!A102</x:f>
        <x:v>BRO</x:v>
      </x:c>
      <x:c r="C86" s="236" t="str">
        <x:f>'Raw Inputs'!B102</x:f>
        <x:v>Brown &amp; Brown Inc.</x:v>
      </x:c>
      <x:c r="D86" s="238" t="n">
        <x:f>IF(COUNT('Raw Inputs'!AE102,'Raw Inputs'!AJ102)=0,"",1+9*AVERAGE('Raw Inputs'!AE102,'Raw Inputs'!AJ102))</x:f>
        <x:v>4.395454545454546</x:v>
      </x:c>
      <x:c r="E86" s="236" t="str">
        <x:f>'Raw Inputs'!AO102</x:f>
        <x:v>SUE + CAR3</x:v>
      </x:c>
      <x:c r="F86" s="266" t="n">
        <x:f>'Raw Inputs'!AD102</x:f>
        <x:v>0.656225836330903</x:v>
      </x:c>
      <x:c r="G86" s="267" t="n">
        <x:f>'Raw Inputs'!AE102</x:f>
        <x:v>0.5545454545454546</x:v>
      </x:c>
      <x:c r="H86" s="237" t="n">
        <x:f>'Raw Inputs'!AG102</x:f>
        <x:v>8</x:v>
      </x:c>
      <x:c r="I86" s="268" t="n">
        <x:f>'Raw Inputs'!AI102</x:f>
        <x:v>-0.06856366149914495</x:v>
      </x:c>
      <x:c r="J86" s="267" t="n">
        <x:f>'Raw Inputs'!AJ102</x:f>
        <x:v>0.2</x:v>
      </x:c>
      <x:c r="K86" s="269" t="n">
        <x:f>'Raw Inputs'!AK102</x:f>
        <x:v>46139</x:v>
      </x:c>
      <x:c r="L86" s="269" t="n">
        <x:f>'Raw Inputs'!AL102</x:f>
        <x:v>46139</x:v>
      </x:c>
      <x:c r="M86" s="236" t="str">
        <x:f>'Raw Inputs'!AN102</x:f>
        <x:v>8-K Item 2.02 filing date</x:v>
      </x:c>
      <x:c r="N86" s="236" t="n">
        <x:f>'Raw Inputs'!AH102</x:f>
        <x:v>63</x:v>
      </x:c>
      <x:c r="O86" s="236" t="str">
        <x:f>'Raw Inputs'!AM102</x:f>
        <x:v>2026-04-24 to 2026-04-27 to 2026-04-28</x:v>
      </x:c>
      <x:c r="P86" s="20" t="str">
        <x:f>'Raw Inputs'!CC102</x:f>
        <x:v>https://data.sec.gov/api/xbrl/companyfacts/CIK0000079282.json</x:v>
      </x:c>
      <x:c r="Q86" s="20" t="str">
        <x:f>'Raw Inputs'!CB102</x:f>
        <x:v>https://query1.finance.yahoo.com/v8/finance/chart/BRO?period1=1704067200&amp;period2=1783728000&amp;interval=1d&amp;events=div%2Csplits</x:v>
      </x:c>
    </x:row>
    <x:row r="87">
      <x:c r="A87" s="237" t="n">
        <x:f>RANK(D87,$D$5:$D$121,0)</x:f>
        <x:v>83</x:v>
      </x:c>
      <x:c r="B87" s="236" t="str">
        <x:f>'Raw Inputs'!A51</x:f>
        <x:v>INTU</x:v>
      </x:c>
      <x:c r="C87" s="236" t="str">
        <x:f>'Raw Inputs'!B51</x:f>
        <x:v>Intuit Inc.</x:v>
      </x:c>
      <x:c r="D87" s="238" t="n">
        <x:f>IF(COUNT('Raw Inputs'!AE51,'Raw Inputs'!AJ51)=0,"",1+9*AVERAGE('Raw Inputs'!AE51,'Raw Inputs'!AJ51))</x:f>
        <x:v>4.3954545454545455</x:v>
      </x:c>
      <x:c r="E87" s="236" t="str">
        <x:f>'Raw Inputs'!AO51</x:f>
        <x:v>SUE + CAR3</x:v>
      </x:c>
      <x:c r="F87" s="266" t="n">
        <x:f>'Raw Inputs'!AD51</x:f>
        <x:v>1.4404470402450316</x:v>
      </x:c>
      <x:c r="G87" s="267" t="n">
        <x:f>'Raw Inputs'!AE51</x:f>
        <x:v>0.7545454545454545</x:v>
      </x:c>
      <x:c r="H87" s="237" t="n">
        <x:f>'Raw Inputs'!AG51</x:f>
        <x:v>8</x:v>
      </x:c>
      <x:c r="I87" s="268" t="n">
        <x:f>'Raw Inputs'!AI51</x:f>
        <x:v>-0.25582310808640085</x:v>
      </x:c>
      <x:c r="J87" s="267" t="n">
        <x:f>'Raw Inputs'!AJ51</x:f>
        <x:v>0</x:v>
      </x:c>
      <x:c r="K87" s="269" t="n">
        <x:f>'Raw Inputs'!AK51</x:f>
        <x:v>46162</x:v>
      </x:c>
      <x:c r="L87" s="269" t="n">
        <x:f>'Raw Inputs'!AL51</x:f>
        <x:v>46162</x:v>
      </x:c>
      <x:c r="M87" s="236" t="str">
        <x:f>'Raw Inputs'!AN51</x:f>
        <x:v>8-K Item 2.02 filing date</x:v>
      </x:c>
      <x:c r="N87" s="236" t="n">
        <x:f>'Raw Inputs'!AH51</x:f>
        <x:v>66</x:v>
      </x:c>
      <x:c r="O87" s="236" t="str">
        <x:f>'Raw Inputs'!AM51</x:f>
        <x:v>2026-05-19 to 2026-05-20 to 2026-05-21</x:v>
      </x:c>
      <x:c r="P87" s="20" t="str">
        <x:f>'Raw Inputs'!CC51</x:f>
        <x:v>https://data.sec.gov/api/xbrl/companyfacts/CIK0000896878.json</x:v>
      </x:c>
      <x:c r="Q87" s="20" t="str">
        <x:f>'Raw Inputs'!CB51</x:f>
        <x:v>https://query1.finance.yahoo.com/v8/finance/chart/INTU?period1=1704067200&amp;period2=1783728000&amp;interval=1d&amp;events=div%2Csplits</x:v>
      </x:c>
    </x:row>
    <x:row r="88">
      <x:c r="A88" s="237" t="n">
        <x:f>RANK(D88,$D$5:$D$121,0)</x:f>
        <x:v>84</x:v>
      </x:c>
      <x:c r="B88" s="236" t="str">
        <x:f>'Raw Inputs'!A114</x:f>
        <x:v>EXC</x:v>
      </x:c>
      <x:c r="C88" s="236" t="str">
        <x:f>'Raw Inputs'!B114</x:f>
        <x:v>Exelon Corp.</x:v>
      </x:c>
      <x:c r="D88" s="238" t="n">
        <x:f>IF(COUNT('Raw Inputs'!AE114,'Raw Inputs'!AJ114)=0,"",1+9*AVERAGE('Raw Inputs'!AE114,'Raw Inputs'!AJ114))</x:f>
        <x:v>4.189130434782609</x:v>
      </x:c>
      <x:c r="E88" s="236" t="str">
        <x:f>'Raw Inputs'!AO114</x:f>
        <x:v>SUE + CAR3</x:v>
      </x:c>
      <x:c r="F88" s="266" t="n">
        <x:f>'Raw Inputs'!AD114</x:f>
        <x:v>0.4296943054687749</x:v>
      </x:c>
      <x:c r="G88" s="267" t="n">
        <x:f>'Raw Inputs'!AE114</x:f>
        <x:v>0.5</x:v>
      </x:c>
      <x:c r="H88" s="237" t="n">
        <x:f>'Raw Inputs'!AG114</x:f>
        <x:v>8</x:v>
      </x:c>
      <x:c r="I88" s="268" t="n">
        <x:f>'Raw Inputs'!AI114</x:f>
        <x:v>-0.0654518506835351</x:v>
      </x:c>
      <x:c r="J88" s="267" t="n">
        <x:f>'Raw Inputs'!AJ114</x:f>
        <x:v>0.20869565217391303</x:v>
      </x:c>
      <x:c r="K88" s="269" t="n">
        <x:f>'Raw Inputs'!AK114</x:f>
        <x:v>46148</x:v>
      </x:c>
      <x:c r="L88" s="269" t="n">
        <x:f>'Raw Inputs'!AL114</x:f>
        <x:v>46148</x:v>
      </x:c>
      <x:c r="M88" s="236" t="str">
        <x:f>'Raw Inputs'!AN114</x:f>
        <x:v>8-K Item 2.02 filing date</x:v>
      </x:c>
      <x:c r="N88" s="236" t="n">
        <x:f>'Raw Inputs'!AH114</x:f>
        <x:v>50</x:v>
      </x:c>
      <x:c r="O88" s="236" t="str">
        <x:f>'Raw Inputs'!AM114</x:f>
        <x:v>2026-05-05 to 2026-05-06 to 2026-05-07</x:v>
      </x:c>
      <x:c r="P88" s="20" t="str">
        <x:f>'Raw Inputs'!CC114</x:f>
        <x:v>https://data.sec.gov/api/xbrl/companyfacts/CIK0001109357.json</x:v>
      </x:c>
      <x:c r="Q88" s="20" t="str">
        <x:f>'Raw Inputs'!CB114</x:f>
        <x:v>https://query1.finance.yahoo.com/v8/finance/chart/EXC?period1=1704067200&amp;period2=1783728000&amp;interval=1d&amp;events=div%2Csplits</x:v>
      </x:c>
    </x:row>
    <x:row r="89">
      <x:c r="A89" s="237" t="n">
        <x:f>RANK(D89,$D$5:$D$121,0)</x:f>
        <x:v>85</x:v>
      </x:c>
      <x:c r="B89" s="236" t="str">
        <x:f>'Raw Inputs'!A77</x:f>
        <x:v>G</x:v>
      </x:c>
      <x:c r="C89" s="236" t="str">
        <x:f>'Raw Inputs'!B77</x:f>
        <x:v>Genpact Ltd.</x:v>
      </x:c>
      <x:c r="D89" s="238" t="n">
        <x:f>IF(COUNT('Raw Inputs'!AE77,'Raw Inputs'!AJ77)=0,"",1+9*AVERAGE('Raw Inputs'!AE77,'Raw Inputs'!AJ77))</x:f>
        <x:v>4.185573122529645</x:v>
      </x:c>
      <x:c r="E89" s="236" t="str">
        <x:f>'Raw Inputs'!AO77</x:f>
        <x:v>SUE + CAR3</x:v>
      </x:c>
      <x:c r="F89" s="266" t="n">
        <x:f>'Raw Inputs'!AD77</x:f>
        <x:v>0.3880823657476104</x:v>
      </x:c>
      <x:c r="G89" s="267" t="n">
        <x:f>'Raw Inputs'!AE77</x:f>
        <x:v>0.4818181818181818</x:v>
      </x:c>
      <x:c r="H89" s="237" t="n">
        <x:f>'Raw Inputs'!AG77</x:f>
        <x:v>8</x:v>
      </x:c>
      <x:c r="I89" s="268" t="n">
        <x:f>'Raw Inputs'!AI77</x:f>
        <x:v>-0.06024901981454178</x:v>
      </x:c>
      <x:c r="J89" s="267" t="n">
        <x:f>'Raw Inputs'!AJ77</x:f>
        <x:v>0.22608695652173913</x:v>
      </x:c>
      <x:c r="K89" s="269" t="n">
        <x:f>'Raw Inputs'!AK77</x:f>
        <x:v>46149</x:v>
      </x:c>
      <x:c r="L89" s="269" t="n">
        <x:f>'Raw Inputs'!AL77</x:f>
        <x:v>46149</x:v>
      </x:c>
      <x:c r="M89" s="236" t="str">
        <x:f>'Raw Inputs'!AN77</x:f>
        <x:v>8-K Item 2.02 filing date</x:v>
      </x:c>
      <x:c r="N89" s="236" t="n">
        <x:f>'Raw Inputs'!AH77</x:f>
        <x:v>64</x:v>
      </x:c>
      <x:c r="O89" s="236" t="str">
        <x:f>'Raw Inputs'!AM77</x:f>
        <x:v>2026-05-06 to 2026-05-07 to 2026-05-08</x:v>
      </x:c>
      <x:c r="P89" s="20" t="str">
        <x:f>'Raw Inputs'!CC77</x:f>
        <x:v>https://data.sec.gov/api/xbrl/companyfacts/CIK0001398659.json</x:v>
      </x:c>
      <x:c r="Q89" s="20" t="str">
        <x:f>'Raw Inputs'!CB77</x:f>
        <x:v>https://query1.finance.yahoo.com/v8/finance/chart/G?period1=1704067200&amp;period2=1783728000&amp;interval=1d&amp;events=div%2Csplits</x:v>
      </x:c>
    </x:row>
    <x:row r="90">
      <x:c r="A90" s="237" t="n">
        <x:f>RANK(D90,$D$5:$D$121,0)</x:f>
        <x:v>86</x:v>
      </x:c>
      <x:c r="B90" s="236" t="str">
        <x:f>'Raw Inputs'!A45</x:f>
        <x:v>AMGN</x:v>
      </x:c>
      <x:c r="C90" s="236" t="str">
        <x:f>'Raw Inputs'!B45</x:f>
        <x:v>Amgen Inc.</x:v>
      </x:c>
      <x:c r="D90" s="238" t="n">
        <x:f>IF(COUNT('Raw Inputs'!AE45,'Raw Inputs'!AJ45)=0,"",1+9*AVERAGE('Raw Inputs'!AE45,'Raw Inputs'!AJ45))</x:f>
        <x:v>4.123320158102767</x:v>
      </x:c>
      <x:c r="E90" s="236" t="str">
        <x:f>'Raw Inputs'!AO45</x:f>
        <x:v>SUE + CAR3</x:v>
      </x:c>
      <x:c r="F90" s="266" t="n">
        <x:f>'Raw Inputs'!AD45</x:f>
        <x:v>0.10485299430125242</x:v>
      </x:c>
      <x:c r="G90" s="267" t="n">
        <x:f>'Raw Inputs'!AE45</x:f>
        <x:v>0.36363636363636365</x:v>
      </x:c>
      <x:c r="H90" s="237" t="n">
        <x:f>'Raw Inputs'!AG45</x:f>
        <x:v>8</x:v>
      </x:c>
      <x:c r="I90" s="268" t="n">
        <x:f>'Raw Inputs'!AI45</x:f>
        <x:v>-0.04094036381045463</x:v>
      </x:c>
      <x:c r="J90" s="267" t="n">
        <x:f>'Raw Inputs'!AJ45</x:f>
        <x:v>0.33043478260869563</x:v>
      </x:c>
      <x:c r="K90" s="269" t="n">
        <x:f>'Raw Inputs'!AK45</x:f>
        <x:v>46142</x:v>
      </x:c>
      <x:c r="L90" s="269" t="n">
        <x:f>'Raw Inputs'!AL45</x:f>
        <x:v>46142</x:v>
      </x:c>
      <x:c r="M90" s="236" t="str">
        <x:f>'Raw Inputs'!AN45</x:f>
        <x:v>8-K Item 2.02 filing date</x:v>
      </x:c>
      <x:c r="N90" s="236" t="n">
        <x:f>'Raw Inputs'!AH45</x:f>
        <x:v>68</x:v>
      </x:c>
      <x:c r="O90" s="236" t="str">
        <x:f>'Raw Inputs'!AM45</x:f>
        <x:v>2026-04-29 to 2026-04-30 to 2026-05-01</x:v>
      </x:c>
      <x:c r="P90" s="20" t="str">
        <x:f>'Raw Inputs'!CC45</x:f>
        <x:v>https://data.sec.gov/api/xbrl/companyfacts/CIK0000318154.json</x:v>
      </x:c>
      <x:c r="Q90" s="20" t="str">
        <x:f>'Raw Inputs'!CB45</x:f>
        <x:v>https://query1.finance.yahoo.com/v8/finance/chart/AMGN?period1=1704067200&amp;period2=1783728000&amp;interval=1d&amp;events=div%2Csplits</x:v>
      </x:c>
    </x:row>
    <x:row r="91">
      <x:c r="A91" s="237" t="n">
        <x:f>RANK(D91,$D$5:$D$121,0)</x:f>
        <x:v>87</x:v>
      </x:c>
      <x:c r="B91" s="236" t="str">
        <x:f>'Raw Inputs'!A115</x:f>
        <x:v>AZO</x:v>
      </x:c>
      <x:c r="C91" s="236" t="str">
        <x:f>'Raw Inputs'!B115</x:f>
        <x:v>AutoZone Inc.</x:v>
      </x:c>
      <x:c r="D91" s="238" t="n">
        <x:f>IF(COUNT('Raw Inputs'!AE115,'Raw Inputs'!AJ115)=0,"",1+9*AVERAGE('Raw Inputs'!AE115,'Raw Inputs'!AJ115))</x:f>
        <x:v>4.10197628458498</x:v>
      </x:c>
      <x:c r="E91" s="236" t="str">
        <x:f>'Raw Inputs'!AO115</x:f>
        <x:v>SUE + CAR3</x:v>
      </x:c>
      <x:c r="F91" s="266" t="n">
        <x:f>'Raw Inputs'!AD115</x:f>
        <x:v>1.0047352170895942</x:v>
      </x:c>
      <x:c r="G91" s="267" t="n">
        <x:f>'Raw Inputs'!AE115</x:f>
        <x:v>0.6545454545454545</x:v>
      </x:c>
      <x:c r="H91" s="237" t="n">
        <x:f>'Raw Inputs'!AG115</x:f>
        <x:v>8</x:v>
      </x:c>
      <x:c r="I91" s="268" t="n">
        <x:f>'Raw Inputs'!AI115</x:f>
        <x:v>-0.13425012837587735</x:v>
      </x:c>
      <x:c r="J91" s="267" t="n">
        <x:f>'Raw Inputs'!AJ115</x:f>
        <x:v>0.034782608695652174</x:v>
      </x:c>
      <x:c r="K91" s="269" t="n">
        <x:f>'Raw Inputs'!AK115</x:f>
        <x:v>46168</x:v>
      </x:c>
      <x:c r="L91" s="269" t="n">
        <x:f>'Raw Inputs'!AL115</x:f>
        <x:v>46168</x:v>
      </x:c>
      <x:c r="M91" s="236" t="str">
        <x:f>'Raw Inputs'!AN115</x:f>
        <x:v>8-K Item 2.02 filing date</x:v>
      </x:c>
      <x:c r="N91" s="236" t="n">
        <x:f>'Raw Inputs'!AH115</x:f>
        <x:v>67</x:v>
      </x:c>
      <x:c r="O91" s="236" t="str">
        <x:f>'Raw Inputs'!AM115</x:f>
        <x:v>2026-05-22 to 2026-05-26 to 2026-05-27</x:v>
      </x:c>
      <x:c r="P91" s="20" t="str">
        <x:f>'Raw Inputs'!CC115</x:f>
        <x:v>https://data.sec.gov/api/xbrl/companyfacts/CIK0000866787.json</x:v>
      </x:c>
      <x:c r="Q91" s="20" t="str">
        <x:f>'Raw Inputs'!CB115</x:f>
        <x:v>https://query1.finance.yahoo.com/v8/finance/chart/AZO?period1=1704067200&amp;period2=1783728000&amp;interval=1d&amp;events=div%2Csplits</x:v>
      </x:c>
    </x:row>
    <x:row r="92">
      <x:c r="A92" s="237" t="n">
        <x:f>RANK(D92,$D$5:$D$121,0)</x:f>
        <x:v>88</x:v>
      </x:c>
      <x:c r="B92" s="236" t="str">
        <x:f>'Raw Inputs'!A21</x:f>
        <x:v>RTX</x:v>
      </x:c>
      <x:c r="C92" s="236" t="str">
        <x:f>'Raw Inputs'!B21</x:f>
        <x:v>RTX Corp.</x:v>
      </x:c>
      <x:c r="D92" s="238" t="n">
        <x:f>IF(COUNT('Raw Inputs'!AE21,'Raw Inputs'!AJ21)=0,"",1+9*AVERAGE('Raw Inputs'!AE21,'Raw Inputs'!AJ21))</x:f>
        <x:v>4.077075098814229</x:v>
      </x:c>
      <x:c r="E92" s="236" t="str">
        <x:f>'Raw Inputs'!AO21</x:f>
        <x:v>SUE + CAR3</x:v>
      </x:c>
      <x:c r="F92" s="266" t="n">
        <x:f>'Raw Inputs'!AD21</x:f>
        <x:v>0.47583517044493073</x:v>
      </x:c>
      <x:c r="G92" s="267" t="n">
        <x:f>'Raw Inputs'!AE21</x:f>
        <x:v>0.5272727272727272</x:v>
      </x:c>
      <x:c r="H92" s="237" t="n">
        <x:f>'Raw Inputs'!AG21</x:f>
        <x:v>8</x:v>
      </x:c>
      <x:c r="I92" s="268" t="n">
        <x:f>'Raw Inputs'!AI21</x:f>
        <x:v>-0.08271647220468847</x:v>
      </x:c>
      <x:c r="J92" s="267" t="n">
        <x:f>'Raw Inputs'!AJ21</x:f>
        <x:v>0.1565217391304348</x:v>
      </x:c>
      <x:c r="K92" s="269" t="n">
        <x:f>'Raw Inputs'!AK21</x:f>
        <x:v>46133</x:v>
      </x:c>
      <x:c r="L92" s="269" t="n">
        <x:f>'Raw Inputs'!AL21</x:f>
        <x:v>46133</x:v>
      </x:c>
      <x:c r="M92" s="236" t="str">
        <x:f>'Raw Inputs'!AN21</x:f>
        <x:v>8-K Item 2.02 filing date</x:v>
      </x:c>
      <x:c r="N92" s="236" t="n">
        <x:f>'Raw Inputs'!AH21</x:f>
        <x:v>68</x:v>
      </x:c>
      <x:c r="O92" s="236" t="str">
        <x:f>'Raw Inputs'!AM21</x:f>
        <x:v>2026-04-20 to 2026-04-21 to 2026-04-22</x:v>
      </x:c>
      <x:c r="P92" s="20" t="str">
        <x:f>'Raw Inputs'!CC21</x:f>
        <x:v>https://data.sec.gov/api/xbrl/companyfacts/CIK0000101829.json</x:v>
      </x:c>
      <x:c r="Q92" s="20" t="str">
        <x:f>'Raw Inputs'!CB21</x:f>
        <x:v>https://query1.finance.yahoo.com/v8/finance/chart/RTX?period1=1704067200&amp;period2=1783728000&amp;interval=1d&amp;events=div%2Csplits</x:v>
      </x:c>
    </x:row>
    <x:row r="93">
      <x:c r="A93" s="237" t="n">
        <x:f>RANK(D93,$D$5:$D$121,0)</x:f>
        <x:v>89</x:v>
      </x:c>
      <x:c r="B93" s="236" t="str">
        <x:f>'Raw Inputs'!A109</x:f>
        <x:v>EIX</x:v>
      </x:c>
      <x:c r="C93" s="236" t="str">
        <x:f>'Raw Inputs'!B109</x:f>
        <x:v>Edison International</x:v>
      </x:c>
      <x:c r="D93" s="238" t="n">
        <x:f>IF(COUNT('Raw Inputs'!AE109,'Raw Inputs'!AJ109)=0,"",1+9*AVERAGE('Raw Inputs'!AE109,'Raw Inputs'!AJ109))</x:f>
        <x:v>3.9916996047430833</x:v>
      </x:c>
      <x:c r="E93" s="236" t="str">
        <x:f>'Raw Inputs'!AO109</x:f>
        <x:v>SUE + CAR3</x:v>
      </x:c>
      <x:c r="F93" s="266" t="n">
        <x:f>'Raw Inputs'!AD109</x:f>
        <x:v>-1.123129885660584</x:v>
      </x:c>
      <x:c r="G93" s="267" t="n">
        <x:f>'Raw Inputs'!AE109</x:f>
        <x:v>0.09090909090909091</x:v>
      </x:c>
      <x:c r="H93" s="237" t="n">
        <x:f>'Raw Inputs'!AG109</x:f>
        <x:v>8</x:v>
      </x:c>
      <x:c r="I93" s="268" t="n">
        <x:f>'Raw Inputs'!AI109</x:f>
        <x:v>-0.00817507412781815</x:v>
      </x:c>
      <x:c r="J93" s="267" t="n">
        <x:f>'Raw Inputs'!AJ109</x:f>
        <x:v>0.5739130434782609</x:v>
      </x:c>
      <x:c r="K93" s="269" t="n">
        <x:f>'Raw Inputs'!AK109</x:f>
        <x:v>46140</x:v>
      </x:c>
      <x:c r="L93" s="269" t="n">
        <x:f>'Raw Inputs'!AL109</x:f>
        <x:v>46140</x:v>
      </x:c>
      <x:c r="M93" s="236" t="str">
        <x:f>'Raw Inputs'!AN109</x:f>
        <x:v>8-K Item 2.02 filing date</x:v>
      </x:c>
      <x:c r="N93" s="236" t="n">
        <x:f>'Raw Inputs'!AH109</x:f>
        <x:v>68</x:v>
      </x:c>
      <x:c r="O93" s="236" t="str">
        <x:f>'Raw Inputs'!AM109</x:f>
        <x:v>2026-04-27 to 2026-04-28 to 2026-04-29</x:v>
      </x:c>
      <x:c r="P93" s="20" t="str">
        <x:f>'Raw Inputs'!CC109</x:f>
        <x:v>https://data.sec.gov/api/xbrl/companyfacts/CIK0000827052.json</x:v>
      </x:c>
      <x:c r="Q93" s="20" t="str">
        <x:f>'Raw Inputs'!CB109</x:f>
        <x:v>https://query1.finance.yahoo.com/v8/finance/chart/EIX?period1=1704067200&amp;period2=1783728000&amp;interval=1d&amp;events=div%2Csplits</x:v>
      </x:c>
    </x:row>
    <x:row r="94">
      <x:c r="A94" s="237" t="n">
        <x:f>RANK(D94,$D$5:$D$121,0)</x:f>
        <x:v>90</x:v>
      </x:c>
      <x:c r="B94" s="236" t="str">
        <x:f>'Raw Inputs'!A82</x:f>
        <x:v>MRSH</x:v>
      </x:c>
      <x:c r="C94" s="236" t="str">
        <x:f>'Raw Inputs'!B82</x:f>
        <x:v>Marsh and McLennan Cos. Inc.</x:v>
      </x:c>
      <x:c r="D94" s="238" t="n">
        <x:f>IF(COUNT('Raw Inputs'!AE82,'Raw Inputs'!AJ82)=0,"",1+9*AVERAGE('Raw Inputs'!AE82,'Raw Inputs'!AJ82))</x:f>
        <x:v>3.9009881422924897</x:v>
      </x:c>
      <x:c r="E94" s="236" t="str">
        <x:f>'Raw Inputs'!AO82</x:f>
        <x:v>SUE + CAR3</x:v>
      </x:c>
      <x:c r="F94" s="266" t="n">
        <x:f>'Raw Inputs'!AD82</x:f>
        <x:v>-2.2152827855660653</x:v>
      </x:c>
      <x:c r="G94" s="267" t="n">
        <x:f>'Raw Inputs'!AE82</x:f>
        <x:v>0.02727272727272727</x:v>
      </x:c>
      <x:c r="H94" s="237" t="n">
        <x:f>'Raw Inputs'!AG82</x:f>
        <x:v>8</x:v>
      </x:c>
      <x:c r="I94" s="268" t="n">
        <x:f>'Raw Inputs'!AI82</x:f>
        <x:v>-0.004219687791889082</x:v>
      </x:c>
      <x:c r="J94" s="267" t="n">
        <x:f>'Raw Inputs'!AJ82</x:f>
        <x:v>0.6173913043478261</x:v>
      </x:c>
      <x:c r="K94" s="269" t="n">
        <x:f>'Raw Inputs'!AK82</x:f>
        <x:v>46128</x:v>
      </x:c>
      <x:c r="L94" s="269" t="n">
        <x:f>'Raw Inputs'!AL82</x:f>
        <x:v>46128</x:v>
      </x:c>
      <x:c r="M94" s="236" t="str">
        <x:f>'Raw Inputs'!AN82</x:f>
        <x:v>8-K Item 2.02 filing date</x:v>
      </x:c>
      <x:c r="N94" s="236" t="n">
        <x:f>'Raw Inputs'!AH82</x:f>
        <x:v>68</x:v>
      </x:c>
      <x:c r="O94" s="236" t="str">
        <x:f>'Raw Inputs'!AM82</x:f>
        <x:v>2026-04-15 to 2026-04-16 to 2026-04-17</x:v>
      </x:c>
      <x:c r="P94" s="20" t="str">
        <x:f>'Raw Inputs'!CC82</x:f>
        <x:v>https://data.sec.gov/api/xbrl/companyfacts/CIK0000062709.json</x:v>
      </x:c>
      <x:c r="Q94" s="20" t="str">
        <x:f>'Raw Inputs'!CB82</x:f>
        <x:v>https://query1.finance.yahoo.com/v8/finance/chart/MRSH?period1=1704067200&amp;period2=1783728000&amp;interval=1d&amp;events=div%2Csplits</x:v>
      </x:c>
    </x:row>
    <x:row r="95">
      <x:c r="A95" s="237" t="n">
        <x:f>RANK(D95,$D$5:$D$121,0)</x:f>
        <x:v>91</x:v>
      </x:c>
      <x:c r="B95" s="236" t="str">
        <x:f>'Raw Inputs'!A62</x:f>
        <x:v>NOC</x:v>
      </x:c>
      <x:c r="C95" s="236" t="str">
        <x:f>'Raw Inputs'!B62</x:f>
        <x:v>Northrop Grumman Corp.</x:v>
      </x:c>
      <x:c r="D95" s="238" t="n">
        <x:f>IF(COUNT('Raw Inputs'!AE62,'Raw Inputs'!AJ62)=0,"",1+9*AVERAGE('Raw Inputs'!AE62,'Raw Inputs'!AJ62))</x:f>
        <x:v>3.845849802371541</x:v>
      </x:c>
      <x:c r="E95" s="236" t="str">
        <x:f>'Raw Inputs'!AO62</x:f>
        <x:v>SUE + CAR3</x:v>
      </x:c>
      <x:c r="F95" s="266" t="n">
        <x:f>'Raw Inputs'!AD62</x:f>
        <x:v>0.6484798053454828</x:v>
      </x:c>
      <x:c r="G95" s="267" t="n">
        <x:f>'Raw Inputs'!AE62</x:f>
        <x:v>0.5454545454545454</x:v>
      </x:c>
      <x:c r="H95" s="237" t="n">
        <x:f>'Raw Inputs'!AG62</x:f>
        <x:v>8</x:v>
      </x:c>
      <x:c r="I95" s="268" t="n">
        <x:f>'Raw Inputs'!AI62</x:f>
        <x:v>-0.11946929249863858</x:v>
      </x:c>
      <x:c r="J95" s="267" t="n">
        <x:f>'Raw Inputs'!AJ62</x:f>
        <x:v>0.08695652173913043</x:v>
      </x:c>
      <x:c r="K95" s="269" t="n">
        <x:f>'Raw Inputs'!AK62</x:f>
        <x:v>46133</x:v>
      </x:c>
      <x:c r="L95" s="269" t="n">
        <x:f>'Raw Inputs'!AL62</x:f>
        <x:v>46133</x:v>
      </x:c>
      <x:c r="M95" s="236" t="str">
        <x:f>'Raw Inputs'!AN62</x:f>
        <x:v>8-K Item 2.02 filing date</x:v>
      </x:c>
      <x:c r="N95" s="236" t="n">
        <x:f>'Raw Inputs'!AH62</x:f>
        <x:v>68</x:v>
      </x:c>
      <x:c r="O95" s="236" t="str">
        <x:f>'Raw Inputs'!AM62</x:f>
        <x:v>2026-04-20 to 2026-04-21 to 2026-04-22</x:v>
      </x:c>
      <x:c r="P95" s="20" t="str">
        <x:f>'Raw Inputs'!CC62</x:f>
        <x:v>https://data.sec.gov/api/xbrl/companyfacts/CIK0001133421.json</x:v>
      </x:c>
      <x:c r="Q95" s="20" t="str">
        <x:f>'Raw Inputs'!CB62</x:f>
        <x:v>https://query1.finance.yahoo.com/v8/finance/chart/NOC?period1=1704067200&amp;period2=1783728000&amp;interval=1d&amp;events=div%2Csplits</x:v>
      </x:c>
    </x:row>
    <x:row r="96">
      <x:c r="A96" s="237" t="n">
        <x:f>RANK(D96,$D$5:$D$121,0)</x:f>
        <x:v>92</x:v>
      </x:c>
      <x:c r="B96" s="236" t="str">
        <x:f>'Raw Inputs'!A34</x:f>
        <x:v>HSY</x:v>
      </x:c>
      <x:c r="C96" s="236" t="str">
        <x:f>'Raw Inputs'!B34</x:f>
        <x:v>The Hershey Co.</x:v>
      </x:c>
      <x:c r="D96" s="238" t="n">
        <x:f>IF(COUNT('Raw Inputs'!AE34,'Raw Inputs'!AJ34)=0,"",1+9*AVERAGE('Raw Inputs'!AE34,'Raw Inputs'!AJ34))</x:f>
        <x:v>3.739130434782609</x:v>
      </x:c>
      <x:c r="E96" s="236" t="str">
        <x:f>'Raw Inputs'!AO34</x:f>
        <x:v>CAR3 only</x:v>
      </x:c>
      <x:c r="F96" s="266" t="n">
        <x:f>'Raw Inputs'!AD34</x:f>
        <x:v>0</x:v>
      </x:c>
      <x:c r="G96" s="267" t="n">
        <x:f>'Raw Inputs'!AE34</x:f>
        <x:v>0</x:v>
      </x:c>
      <x:c r="H96" s="237" t="n">
        <x:f>'Raw Inputs'!AG34</x:f>
        <x:v>0</x:v>
      </x:c>
      <x:c r="I96" s="268" t="n">
        <x:f>'Raw Inputs'!AI34</x:f>
        <x:v>-0.04305876511525675</x:v>
      </x:c>
      <x:c r="J96" s="267" t="n">
        <x:f>'Raw Inputs'!AJ34</x:f>
        <x:v>0.30434782608695654</x:v>
      </x:c>
      <x:c r="K96" s="269" t="n">
        <x:f>'Raw Inputs'!AK34</x:f>
        <x:v>46142</x:v>
      </x:c>
      <x:c r="L96" s="269" t="n">
        <x:f>'Raw Inputs'!AL34</x:f>
        <x:v>46142</x:v>
      </x:c>
      <x:c r="M96" s="236" t="str">
        <x:f>'Raw Inputs'!AN34</x:f>
        <x:v>8-K Item 2.02 filing date</x:v>
      </x:c>
      <x:c r="N96" s="236" t="n">
        <x:f>'Raw Inputs'!AH34</x:f>
        <x:v>3</x:v>
      </x:c>
      <x:c r="O96" s="236" t="str">
        <x:f>'Raw Inputs'!AM34</x:f>
        <x:v>2026-04-29 to 2026-04-30 to 2026-05-01</x:v>
      </x:c>
      <x:c r="P96" s="20" t="str">
        <x:f>'Raw Inputs'!CC34</x:f>
        <x:v>https://data.sec.gov/api/xbrl/companyfacts/CIK0000047111.json</x:v>
      </x:c>
      <x:c r="Q96" s="20" t="str">
        <x:f>'Raw Inputs'!CB34</x:f>
        <x:v>https://query1.finance.yahoo.com/v8/finance/chart/HSY?period1=1704067200&amp;period2=1783728000&amp;interval=1d&amp;events=div%2Csplits</x:v>
      </x:c>
    </x:row>
    <x:row r="97">
      <x:c r="A97" s="237" t="n">
        <x:f>RANK(D97,$D$5:$D$121,0)</x:f>
        <x:v>93</x:v>
      </x:c>
      <x:c r="B97" s="236" t="str">
        <x:f>'Raw Inputs'!A50</x:f>
        <x:v>FCN</x:v>
      </x:c>
      <x:c r="C97" s="236" t="str">
        <x:f>'Raw Inputs'!B50</x:f>
        <x:v>FTI Consulting Inc.</x:v>
      </x:c>
      <x:c r="D97" s="238" t="n">
        <x:f>IF(COUNT('Raw Inputs'!AE50,'Raw Inputs'!AJ50)=0,"",1+9*AVERAGE('Raw Inputs'!AE50,'Raw Inputs'!AJ50))</x:f>
        <x:v>3.7071146245059285</x:v>
      </x:c>
      <x:c r="E97" s="236" t="str">
        <x:f>'Raw Inputs'!AO50</x:f>
        <x:v>SUE + CAR3</x:v>
      </x:c>
      <x:c r="F97" s="266" t="n">
        <x:f>'Raw Inputs'!AD50</x:f>
        <x:v>0.26613453356318273</x:v>
      </x:c>
      <x:c r="G97" s="267" t="n">
        <x:f>'Raw Inputs'!AE50</x:f>
        <x:v>0.43636363636363634</x:v>
      </x:c>
      <x:c r="H97" s="237" t="n">
        <x:f>'Raw Inputs'!AG50</x:f>
        <x:v>8</x:v>
      </x:c>
      <x:c r="I97" s="268" t="n">
        <x:f>'Raw Inputs'!AI50</x:f>
        <x:v>-0.07470885430702989</x:v>
      </x:c>
      <x:c r="J97" s="267" t="n">
        <x:f>'Raw Inputs'!AJ50</x:f>
        <x:v>0.16521739130434782</x:v>
      </x:c>
      <x:c r="K97" s="269" t="n">
        <x:f>'Raw Inputs'!AK50</x:f>
        <x:v>46143</x:v>
      </x:c>
      <x:c r="L97" s="269" t="n">
        <x:f>'Raw Inputs'!AL50</x:f>
        <x:v>46143</x:v>
      </x:c>
      <x:c r="M97" s="236" t="str">
        <x:f>'Raw Inputs'!AN50</x:f>
        <x:v>8-K Item 2.02 filing date</x:v>
      </x:c>
      <x:c r="N97" s="236" t="n">
        <x:f>'Raw Inputs'!AH50</x:f>
        <x:v>64</x:v>
      </x:c>
      <x:c r="O97" s="236" t="str">
        <x:f>'Raw Inputs'!AM50</x:f>
        <x:v>2026-04-30 to 2026-05-01 to 2026-05-04</x:v>
      </x:c>
      <x:c r="P97" s="20" t="str">
        <x:f>'Raw Inputs'!CC50</x:f>
        <x:v>https://data.sec.gov/api/xbrl/companyfacts/CIK0000887936.json</x:v>
      </x:c>
      <x:c r="Q97" s="20" t="str">
        <x:f>'Raw Inputs'!CB50</x:f>
        <x:v>https://query1.finance.yahoo.com/v8/finance/chart/FCN?period1=1704067200&amp;period2=1783728000&amp;interval=1d&amp;events=div%2Csplits</x:v>
      </x:c>
    </x:row>
    <x:row r="98">
      <x:c r="A98" s="237" t="n">
        <x:f>RANK(D98,$D$5:$D$121,0)</x:f>
        <x:v>94</x:v>
      </x:c>
      <x:c r="B98" s="236" t="str">
        <x:f>'Raw Inputs'!A110</x:f>
        <x:v>WTRG</x:v>
      </x:c>
      <x:c r="C98" s="236" t="str">
        <x:f>'Raw Inputs'!B110</x:f>
        <x:v>Essential Utilities Inc.</x:v>
      </x:c>
      <x:c r="D98" s="238" t="n">
        <x:f>IF(COUNT('Raw Inputs'!AE110,'Raw Inputs'!AJ110)=0,"",1+9*AVERAGE('Raw Inputs'!AE110,'Raw Inputs'!AJ110))</x:f>
        <x:v>3.5950592885375494</x:v>
      </x:c>
      <x:c r="E98" s="236" t="str">
        <x:f>'Raw Inputs'!AO110</x:f>
        <x:v>SUE + CAR3</x:v>
      </x:c>
      <x:c r="F98" s="266" t="n">
        <x:f>'Raw Inputs'!AD110</x:f>
        <x:v>-1.6131118123875607</x:v>
      </x:c>
      <x:c r="G98" s="267" t="n">
        <x:f>'Raw Inputs'!AE110</x:f>
        <x:v>0.06363636363636363</x:v>
      </x:c>
      <x:c r="H98" s="237" t="n">
        <x:f>'Raw Inputs'!AG110</x:f>
        <x:v>8</x:v>
      </x:c>
      <x:c r="I98" s="268" t="n">
        <x:f>'Raw Inputs'!AI110</x:f>
        <x:v>-0.016971946666313298</x:v>
      </x:c>
      <x:c r="J98" s="267" t="n">
        <x:f>'Raw Inputs'!AJ110</x:f>
        <x:v>0.5130434782608696</x:v>
      </x:c>
      <x:c r="K98" s="269" t="n">
        <x:f>'Raw Inputs'!AK110</x:f>
        <x:v>46149</x:v>
      </x:c>
      <x:c r="L98" s="269" t="n">
        <x:f>'Raw Inputs'!AL110</x:f>
        <x:v>46149</x:v>
      </x:c>
      <x:c r="M98" s="236" t="str">
        <x:f>'Raw Inputs'!AN110</x:f>
        <x:v>8-K Item 2.02 filing date</x:v>
      </x:c>
      <x:c r="N98" s="236" t="n">
        <x:f>'Raw Inputs'!AH110</x:f>
        <x:v>63</x:v>
      </x:c>
      <x:c r="O98" s="236" t="str">
        <x:f>'Raw Inputs'!AM110</x:f>
        <x:v>2026-05-06 to 2026-05-07 to 2026-05-08</x:v>
      </x:c>
      <x:c r="P98" s="20" t="str">
        <x:f>'Raw Inputs'!CC110</x:f>
        <x:v>https://data.sec.gov/api/xbrl/companyfacts/CIK0000078128.json</x:v>
      </x:c>
      <x:c r="Q98" s="20" t="str">
        <x:f>'Raw Inputs'!CB110</x:f>
        <x:v>https://query1.finance.yahoo.com/v8/finance/chart/WTRG?period1=1704067200&amp;period2=1783728000&amp;interval=1d&amp;events=div%2Csplits</x:v>
      </x:c>
    </x:row>
    <x:row r="99">
      <x:c r="A99" s="237" t="n">
        <x:f>RANK(D99,$D$5:$D$121,0)</x:f>
        <x:v>95</x:v>
      </x:c>
      <x:c r="B99" s="236" t="str">
        <x:f>'Raw Inputs'!A104</x:f>
        <x:v>AWK</x:v>
      </x:c>
      <x:c r="C99" s="236" t="str">
        <x:f>'Raw Inputs'!B104</x:f>
        <x:v>American Water Works Co. Inc.</x:v>
      </x:c>
      <x:c r="D99" s="238" t="n">
        <x:f>IF(COUNT('Raw Inputs'!AE104,'Raw Inputs'!AJ104)=0,"",1+9*AVERAGE('Raw Inputs'!AE104,'Raw Inputs'!AJ104))</x:f>
        <x:v>3.5719367588932807</x:v>
      </x:c>
      <x:c r="E99" s="236" t="str">
        <x:f>'Raw Inputs'!AO104</x:f>
        <x:v>SUE + CAR3</x:v>
      </x:c>
      <x:c r="F99" s="266" t="n">
        <x:f>'Raw Inputs'!AD104</x:f>
        <x:v>-0.39283710065919397</x:v>
      </x:c>
      <x:c r="G99" s="267" t="n">
        <x:f>'Raw Inputs'!AE104</x:f>
        <x:v>0.14545454545454545</x:v>
      </x:c>
      <x:c r="H99" s="237" t="n">
        <x:f>'Raw Inputs'!AG104</x:f>
        <x:v>8</x:v>
      </x:c>
      <x:c r="I99" s="268" t="n">
        <x:f>'Raw Inputs'!AI104</x:f>
        <x:v>-0.03154457275119604</x:v>
      </x:c>
      <x:c r="J99" s="267" t="n">
        <x:f>'Raw Inputs'!AJ104</x:f>
        <x:v>0.4260869565217391</x:v>
      </x:c>
      <x:c r="K99" s="269" t="n">
        <x:f>'Raw Inputs'!AK104</x:f>
        <x:v>46141</x:v>
      </x:c>
      <x:c r="L99" s="269" t="n">
        <x:f>'Raw Inputs'!AL104</x:f>
        <x:v>46141</x:v>
      </x:c>
      <x:c r="M99" s="236" t="str">
        <x:f>'Raw Inputs'!AN104</x:f>
        <x:v>8-K Item 2.02 filing date</x:v>
      </x:c>
      <x:c r="N99" s="236" t="n">
        <x:f>'Raw Inputs'!AH104</x:f>
        <x:v>64</x:v>
      </x:c>
      <x:c r="O99" s="236" t="str">
        <x:f>'Raw Inputs'!AM104</x:f>
        <x:v>2026-04-28 to 2026-04-29 to 2026-04-30</x:v>
      </x:c>
      <x:c r="P99" s="20" t="str">
        <x:f>'Raw Inputs'!CC104</x:f>
        <x:v>https://data.sec.gov/api/xbrl/companyfacts/CIK0001410636.json</x:v>
      </x:c>
      <x:c r="Q99" s="20" t="str">
        <x:f>'Raw Inputs'!CB104</x:f>
        <x:v>https://query1.finance.yahoo.com/v8/finance/chart/AWK?period1=1704067200&amp;period2=1783728000&amp;interval=1d&amp;events=div%2Csplits</x:v>
      </x:c>
    </x:row>
    <x:row r="100">
      <x:c r="A100" s="237" t="n">
        <x:f>RANK(D100,$D$5:$D$121,0)</x:f>
        <x:v>96</x:v>
      </x:c>
      <x:c r="B100" s="236" t="str">
        <x:f>'Raw Inputs'!A100</x:f>
        <x:v>ELS</x:v>
      </x:c>
      <x:c r="C100" s="236" t="str">
        <x:f>'Raw Inputs'!B100</x:f>
        <x:v>Equity LifeStyle Properties Inc. REIT</x:v>
      </x:c>
      <x:c r="D100" s="238" t="n">
        <x:f>IF(COUNT('Raw Inputs'!AE100,'Raw Inputs'!AJ100)=0,"",1+9*AVERAGE('Raw Inputs'!AE100,'Raw Inputs'!AJ100))</x:f>
        <x:v>3.5399209486166012</x:v>
      </x:c>
      <x:c r="E100" s="236" t="str">
        <x:f>'Raw Inputs'!AO100</x:f>
        <x:v>SUE + CAR3</x:v>
      </x:c>
      <x:c r="F100" s="266" t="n">
        <x:f>'Raw Inputs'!AD100</x:f>
        <x:v>-0.28867513459481003</x:v>
      </x:c>
      <x:c r="G100" s="267" t="n">
        <x:f>'Raw Inputs'!AE100</x:f>
        <x:v>0.18181818181818182</x:v>
      </x:c>
      <x:c r="H100" s="237" t="n">
        <x:f>'Raw Inputs'!AG100</x:f>
        <x:v>8</x:v>
      </x:c>
      <x:c r="I100" s="268" t="n">
        <x:f>'Raw Inputs'!AI100</x:f>
        <x:v>-0.037236938495010974</x:v>
      </x:c>
      <x:c r="J100" s="267" t="n">
        <x:f>'Raw Inputs'!AJ100</x:f>
        <x:v>0.3826086956521739</x:v>
      </x:c>
      <x:c r="K100" s="269" t="n">
        <x:f>'Raw Inputs'!AK100</x:f>
        <x:v>46134</x:v>
      </x:c>
      <x:c r="L100" s="269" t="n">
        <x:f>'Raw Inputs'!AL100</x:f>
        <x:v>46134</x:v>
      </x:c>
      <x:c r="M100" s="236" t="str">
        <x:f>'Raw Inputs'!AN100</x:f>
        <x:v>8-K Item 2.02 filing date</x:v>
      </x:c>
      <x:c r="N100" s="236" t="n">
        <x:f>'Raw Inputs'!AH100</x:f>
        <x:v>63</x:v>
      </x:c>
      <x:c r="O100" s="236" t="str">
        <x:f>'Raw Inputs'!AM100</x:f>
        <x:v>2026-04-21 to 2026-04-22 to 2026-04-23</x:v>
      </x:c>
      <x:c r="P100" s="20" t="str">
        <x:f>'Raw Inputs'!CC100</x:f>
        <x:v>https://data.sec.gov/api/xbrl/companyfacts/CIK0000895417.json</x:v>
      </x:c>
      <x:c r="Q100" s="20" t="str">
        <x:f>'Raw Inputs'!CB100</x:f>
        <x:v>https://query1.finance.yahoo.com/v8/finance/chart/ELS?period1=1704067200&amp;period2=1783728000&amp;interval=1d&amp;events=div%2Csplits</x:v>
      </x:c>
    </x:row>
    <x:row r="101">
      <x:c r="A101" s="237" t="n">
        <x:f>RANK(D101,$D$5:$D$121,0)</x:f>
        <x:v>97</x:v>
      </x:c>
      <x:c r="B101" s="236" t="str">
        <x:f>'Raw Inputs'!A105</x:f>
        <x:v>JNJ</x:v>
      </x:c>
      <x:c r="C101" s="236" t="str">
        <x:f>'Raw Inputs'!B105</x:f>
        <x:v>Johnson &amp; Johnson</x:v>
      </x:c>
      <x:c r="D101" s="238" t="n">
        <x:f>IF(COUNT('Raw Inputs'!AE105,'Raw Inputs'!AJ105)=0,"",1+9*AVERAGE('Raw Inputs'!AE105,'Raw Inputs'!AJ105))</x:f>
        <x:v>3.525691699604743</x:v>
      </x:c>
      <x:c r="E101" s="236" t="str">
        <x:f>'Raw Inputs'!AO105</x:f>
        <x:v>SUE + CAR3</x:v>
      </x:c>
      <x:c r="F101" s="266" t="n">
        <x:f>'Raw Inputs'!AD105</x:f>
        <x:v>-0.6449848685877266</x:v>
      </x:c>
      <x:c r="G101" s="267" t="n">
        <x:f>'Raw Inputs'!AE105</x:f>
        <x:v>0.10909090909090909</x:v>
      </x:c>
      <x:c r="H101" s="237" t="n">
        <x:f>'Raw Inputs'!AG105</x:f>
        <x:v>8</x:v>
      </x:c>
      <x:c r="I101" s="268" t="n">
        <x:f>'Raw Inputs'!AI105</x:f>
        <x:v>-0.02917451631625978</x:v>
      </x:c>
      <x:c r="J101" s="267" t="n">
        <x:f>'Raw Inputs'!AJ105</x:f>
        <x:v>0.45217391304347826</x:v>
      </x:c>
      <x:c r="K101" s="269" t="n">
        <x:f>'Raw Inputs'!AK105</x:f>
        <x:v>46126</x:v>
      </x:c>
      <x:c r="L101" s="269" t="n">
        <x:f>'Raw Inputs'!AL105</x:f>
        <x:v>46126</x:v>
      </x:c>
      <x:c r="M101" s="236" t="str">
        <x:f>'Raw Inputs'!AN105</x:f>
        <x:v>8-K Item 2.02 filing date</x:v>
      </x:c>
      <x:c r="N101" s="236" t="n">
        <x:f>'Raw Inputs'!AH105</x:f>
        <x:v>68</x:v>
      </x:c>
      <x:c r="O101" s="236" t="str">
        <x:f>'Raw Inputs'!AM105</x:f>
        <x:v>2026-04-13 to 2026-04-14 to 2026-04-15</x:v>
      </x:c>
      <x:c r="P101" s="20" t="str">
        <x:f>'Raw Inputs'!CC105</x:f>
        <x:v>https://data.sec.gov/api/xbrl/companyfacts/CIK0000200406.json</x:v>
      </x:c>
      <x:c r="Q101" s="20" t="str">
        <x:f>'Raw Inputs'!CB105</x:f>
        <x:v>https://query1.finance.yahoo.com/v8/finance/chart/JNJ?period1=1704067200&amp;period2=1783728000&amp;interval=1d&amp;events=div%2Csplits</x:v>
      </x:c>
    </x:row>
    <x:row r="102">
      <x:c r="A102" s="237" t="n">
        <x:f>RANK(D102,$D$5:$D$121,0)</x:f>
        <x:v>98</x:v>
      </x:c>
      <x:c r="B102" s="236" t="str">
        <x:f>'Raw Inputs'!A88</x:f>
        <x:v>MOS</x:v>
      </x:c>
      <x:c r="C102" s="236" t="str">
        <x:f>'Raw Inputs'!B88</x:f>
        <x:v>The Mosaic Co.</x:v>
      </x:c>
      <x:c r="D102" s="238" t="n">
        <x:f>IF(COUNT('Raw Inputs'!AE88,'Raw Inputs'!AJ88)=0,"",1+9*AVERAGE('Raw Inputs'!AE88,'Raw Inputs'!AJ88))</x:f>
        <x:v>3.523913043478261</x:v>
      </x:c>
      <x:c r="E102" s="236" t="str">
        <x:f>'Raw Inputs'!AO88</x:f>
        <x:v>SUE + CAR3</x:v>
      </x:c>
      <x:c r="F102" s="266" t="n">
        <x:f>'Raw Inputs'!AD88</x:f>
        <x:v>-1.10146115586685</x:v>
      </x:c>
      <x:c r="G102" s="267" t="n">
        <x:f>'Raw Inputs'!AE88</x:f>
        <x:v>0.1</x:v>
      </x:c>
      <x:c r="H102" s="237" t="n">
        <x:f>'Raw Inputs'!AG88</x:f>
        <x:v>8</x:v>
      </x:c>
      <x:c r="I102" s="268" t="n">
        <x:f>'Raw Inputs'!AI88</x:f>
        <x:v>-0.02911484811781928</x:v>
      </x:c>
      <x:c r="J102" s="267" t="n">
        <x:f>'Raw Inputs'!AJ88</x:f>
        <x:v>0.4608695652173913</x:v>
      </x:c>
      <x:c r="K102" s="269" t="n">
        <x:f>'Raw Inputs'!AK88</x:f>
        <x:v>46153</x:v>
      </x:c>
      <x:c r="L102" s="269" t="n">
        <x:f>'Raw Inputs'!AL88</x:f>
        <x:v>46153</x:v>
      </x:c>
      <x:c r="M102" s="236" t="str">
        <x:f>'Raw Inputs'!AN88</x:f>
        <x:v>8-K Item 2.02 filing date</x:v>
      </x:c>
      <x:c r="N102" s="236" t="n">
        <x:f>'Raw Inputs'!AH88</x:f>
        <x:v>61</x:v>
      </x:c>
      <x:c r="O102" s="236" t="str">
        <x:f>'Raw Inputs'!AM88</x:f>
        <x:v>2026-05-08 to 2026-05-11 to 2026-05-12</x:v>
      </x:c>
      <x:c r="P102" s="20" t="str">
        <x:f>'Raw Inputs'!CC88</x:f>
        <x:v>https://data.sec.gov/api/xbrl/companyfacts/CIK0001285785.json</x:v>
      </x:c>
      <x:c r="Q102" s="20" t="str">
        <x:f>'Raw Inputs'!CB88</x:f>
        <x:v>https://query1.finance.yahoo.com/v8/finance/chart/MOS?period1=1704067200&amp;period2=1783728000&amp;interval=1d&amp;events=div%2Csplits</x:v>
      </x:c>
    </x:row>
    <x:row r="103">
      <x:c r="A103" s="237" t="n">
        <x:f>RANK(D103,$D$5:$D$121,0)</x:f>
        <x:v>99</x:v>
      </x:c>
      <x:c r="B103" s="236" t="str">
        <x:f>'Raw Inputs'!A42</x:f>
        <x:v>RLI</x:v>
      </x:c>
      <x:c r="C103" s="236" t="str">
        <x:f>'Raw Inputs'!B42</x:f>
        <x:v>RLI Corp.</x:v>
      </x:c>
      <x:c r="D103" s="238" t="n">
        <x:f>IF(COUNT('Raw Inputs'!AE42,'Raw Inputs'!AJ42)=0,"",1+9*AVERAGE('Raw Inputs'!AE42,'Raw Inputs'!AJ42))</x:f>
        <x:v>3.5221343873517785</x:v>
      </x:c>
      <x:c r="E103" s="236" t="str">
        <x:f>'Raw Inputs'!AO42</x:f>
        <x:v>SUE + CAR3</x:v>
      </x:c>
      <x:c r="F103" s="266" t="n">
        <x:f>'Raw Inputs'!AD42</x:f>
        <x:v>-0.03320326463110139</x:v>
      </x:c>
      <x:c r="G103" s="267" t="n">
        <x:f>'Raw Inputs'!AE42</x:f>
        <x:v>0.2909090909090909</x:v>
      </x:c>
      <x:c r="H103" s="237" t="n">
        <x:f>'Raw Inputs'!AG42</x:f>
        <x:v>8</x:v>
      </x:c>
      <x:c r="I103" s="268" t="n">
        <x:f>'Raw Inputs'!AI42</x:f>
        <x:v>-0.04948526494549066</x:v>
      </x:c>
      <x:c r="J103" s="267" t="n">
        <x:f>'Raw Inputs'!AJ42</x:f>
        <x:v>0.26956521739130435</x:v>
      </x:c>
      <x:c r="K103" s="269" t="n">
        <x:f>'Raw Inputs'!AK42</x:f>
        <x:v>46134</x:v>
      </x:c>
      <x:c r="L103" s="269" t="n">
        <x:f>'Raw Inputs'!AL42</x:f>
        <x:v>46134</x:v>
      </x:c>
      <x:c r="M103" s="236" t="str">
        <x:f>'Raw Inputs'!AN42</x:f>
        <x:v>8-K Item 2.02 filing date</x:v>
      </x:c>
      <x:c r="N103" s="236" t="n">
        <x:f>'Raw Inputs'!AH42</x:f>
        <x:v>60</x:v>
      </x:c>
      <x:c r="O103" s="236" t="str">
        <x:f>'Raw Inputs'!AM42</x:f>
        <x:v>2026-04-21 to 2026-04-22 to 2026-04-23</x:v>
      </x:c>
      <x:c r="P103" s="20" t="str">
        <x:f>'Raw Inputs'!CC42</x:f>
        <x:v>https://data.sec.gov/api/xbrl/companyfacts/CIK0000084246.json</x:v>
      </x:c>
      <x:c r="Q103" s="20" t="str">
        <x:f>'Raw Inputs'!CB42</x:f>
        <x:v>https://query1.finance.yahoo.com/v8/finance/chart/RLI?period1=1704067200&amp;period2=1783728000&amp;interval=1d&amp;events=div%2Csplits</x:v>
      </x:c>
    </x:row>
    <x:row r="104">
      <x:c r="A104" s="237" t="n">
        <x:f>RANK(D104,$D$5:$D$121,0)</x:f>
        <x:v>100</x:v>
      </x:c>
      <x:c r="B104" s="236" t="str">
        <x:f>'Raw Inputs'!A59</x:f>
        <x:v>DLB</x:v>
      </x:c>
      <x:c r="C104" s="236" t="str">
        <x:f>'Raw Inputs'!B59</x:f>
        <x:v>Dolby Laboratories Inc.</x:v>
      </x:c>
      <x:c r="D104" s="238" t="n">
        <x:f>IF(COUNT('Raw Inputs'!AE59,'Raw Inputs'!AJ59)=0,"",1+9*AVERAGE('Raw Inputs'!AE59,'Raw Inputs'!AJ59))</x:f>
        <x:v>3.431422924901186</x:v>
      </x:c>
      <x:c r="E104" s="236" t="str">
        <x:f>'Raw Inputs'!AO59</x:f>
        <x:v>SUE + CAR3</x:v>
      </x:c>
      <x:c r="F104" s="266" t="n">
        <x:f>'Raw Inputs'!AD59</x:f>
        <x:v>0.23499924674469322</x:v>
      </x:c>
      <x:c r="G104" s="267" t="n">
        <x:f>'Raw Inputs'!AE59</x:f>
        <x:v>0.42727272727272725</x:v>
      </x:c>
      <x:c r="H104" s="237" t="n">
        <x:f>'Raw Inputs'!AG59</x:f>
        <x:v>8</x:v>
      </x:c>
      <x:c r="I104" s="268" t="n">
        <x:f>'Raw Inputs'!AI59</x:f>
        <x:v>-0.0985840601001059</x:v>
      </x:c>
      <x:c r="J104" s="267" t="n">
        <x:f>'Raw Inputs'!AJ59</x:f>
        <x:v>0.11304347826086956</x:v>
      </x:c>
      <x:c r="K104" s="269" t="n">
        <x:f>'Raw Inputs'!AK59</x:f>
        <x:v>46142</x:v>
      </x:c>
      <x:c r="L104" s="269" t="n">
        <x:f>'Raw Inputs'!AL59</x:f>
        <x:v>46142</x:v>
      </x:c>
      <x:c r="M104" s="236" t="str">
        <x:f>'Raw Inputs'!AN59</x:f>
        <x:v>8-K Item 2.02 filing date</x:v>
      </x:c>
      <x:c r="N104" s="236" t="n">
        <x:f>'Raw Inputs'!AH59</x:f>
        <x:v>63</x:v>
      </x:c>
      <x:c r="O104" s="236" t="str">
        <x:f>'Raw Inputs'!AM59</x:f>
        <x:v>2026-04-29 to 2026-04-30 to 2026-05-01</x:v>
      </x:c>
      <x:c r="P104" s="20" t="str">
        <x:f>'Raw Inputs'!CC59</x:f>
        <x:v>https://data.sec.gov/api/xbrl/companyfacts/CIK0001308547.json</x:v>
      </x:c>
      <x:c r="Q104" s="20" t="str">
        <x:f>'Raw Inputs'!CB59</x:f>
        <x:v>https://query1.finance.yahoo.com/v8/finance/chart/DLB?period1=1704067200&amp;period2=1783728000&amp;interval=1d&amp;events=div%2Csplits</x:v>
      </x:c>
    </x:row>
    <x:row r="105">
      <x:c r="A105" s="237" t="n">
        <x:f>RANK(D105,$D$5:$D$121,0)</x:f>
        <x:v>101</x:v>
      </x:c>
      <x:c r="B105" s="236" t="str">
        <x:f>'Raw Inputs'!A83</x:f>
        <x:v>ABT</x:v>
      </x:c>
      <x:c r="C105" s="236" t="str">
        <x:f>'Raw Inputs'!B83</x:f>
        <x:v>Abbott Laboratories</x:v>
      </x:c>
      <x:c r="D105" s="238" t="n">
        <x:f>IF(COUNT('Raw Inputs'!AE83,'Raw Inputs'!AJ83)=0,"",1+9*AVERAGE('Raw Inputs'!AE83,'Raw Inputs'!AJ83))</x:f>
        <x:v>3.324703557312253</x:v>
      </x:c>
      <x:c r="E105" s="236" t="str">
        <x:f>'Raw Inputs'!AO83</x:f>
        <x:v>SUE + CAR3</x:v>
      </x:c>
      <x:c r="F105" s="266" t="n">
        <x:f>'Raw Inputs'!AD83</x:f>
        <x:v>-0.06061247063584401</x:v>
      </x:c>
      <x:c r="G105" s="267" t="n">
        <x:f>'Raw Inputs'!AE83</x:f>
        <x:v>0.2818181818181818</x:v>
      </x:c>
      <x:c r="H105" s="237" t="n">
        <x:f>'Raw Inputs'!AG83</x:f>
        <x:v>8</x:v>
      </x:c>
      <x:c r="I105" s="268" t="n">
        <x:f>'Raw Inputs'!AI83</x:f>
        <x:v>-0.05742812727260449</x:v>
      </x:c>
      <x:c r="J105" s="267" t="n">
        <x:f>'Raw Inputs'!AJ83</x:f>
        <x:v>0.23478260869565218</x:v>
      </x:c>
      <x:c r="K105" s="269" t="n">
        <x:f>'Raw Inputs'!AK83</x:f>
        <x:v>46128</x:v>
      </x:c>
      <x:c r="L105" s="269" t="n">
        <x:f>'Raw Inputs'!AL83</x:f>
        <x:v>46128</x:v>
      </x:c>
      <x:c r="M105" s="236" t="str">
        <x:f>'Raw Inputs'!AN83</x:f>
        <x:v>8-K Item 2.02 filing date</x:v>
      </x:c>
      <x:c r="N105" s="236" t="n">
        <x:f>'Raw Inputs'!AH83</x:f>
        <x:v>68</x:v>
      </x:c>
      <x:c r="O105" s="236" t="str">
        <x:f>'Raw Inputs'!AM83</x:f>
        <x:v>2026-04-15 to 2026-04-16 to 2026-04-17</x:v>
      </x:c>
      <x:c r="P105" s="20" t="str">
        <x:f>'Raw Inputs'!CC83</x:f>
        <x:v>https://data.sec.gov/api/xbrl/companyfacts/CIK0000001800.json</x:v>
      </x:c>
      <x:c r="Q105" s="20" t="str">
        <x:f>'Raw Inputs'!CB83</x:f>
        <x:v>https://query1.finance.yahoo.com/v8/finance/chart/ABT?period1=1704067200&amp;period2=1783728000&amp;interval=1d&amp;events=div%2Csplits</x:v>
      </x:c>
    </x:row>
    <x:row r="106">
      <x:c r="A106" s="237" t="n">
        <x:f>RANK(D106,$D$5:$D$121,0)</x:f>
        <x:v>102</x:v>
      </x:c>
      <x:c r="B106" s="236" t="str">
        <x:f>'Raw Inputs'!A54</x:f>
        <x:v>WTM</x:v>
      </x:c>
      <x:c r="C106" s="236" t="str">
        <x:f>'Raw Inputs'!B54</x:f>
        <x:v>White Mountains Insurance Group Ltd.</x:v>
      </x:c>
      <x:c r="D106" s="238" t="n">
        <x:f>IF(COUNT('Raw Inputs'!AE54,'Raw Inputs'!AJ54)=0,"",1+9*AVERAGE('Raw Inputs'!AE54,'Raw Inputs'!AJ54))</x:f>
        <x:v>3.1984189723320156</x:v>
      </x:c>
      <x:c r="E106" s="236" t="str">
        <x:f>'Raw Inputs'!AO54</x:f>
        <x:v>SUE + CAR3</x:v>
      </x:c>
      <x:c r="F106" s="266" t="n">
        <x:f>'Raw Inputs'!AD54</x:f>
        <x:v>-0.1606183326453313</x:v>
      </x:c>
      <x:c r="G106" s="267" t="n">
        <x:f>'Raw Inputs'!AE54</x:f>
        <x:v>0.23636363636363636</x:v>
      </x:c>
      <x:c r="H106" s="237" t="n">
        <x:f>'Raw Inputs'!AG54</x:f>
        <x:v>8</x:v>
      </x:c>
      <x:c r="I106" s="268" t="n">
        <x:f>'Raw Inputs'!AI54</x:f>
        <x:v>-0.05211918296770668</x:v>
      </x:c>
      <x:c r="J106" s="267" t="n">
        <x:f>'Raw Inputs'!AJ54</x:f>
        <x:v>0.25217391304347825</x:v>
      </x:c>
      <x:c r="K106" s="269" t="n">
        <x:f>'Raw Inputs'!AK54</x:f>
        <x:v>46148</x:v>
      </x:c>
      <x:c r="L106" s="269" t="n">
        <x:f>'Raw Inputs'!AL54</x:f>
        <x:v>46148</x:v>
      </x:c>
      <x:c r="M106" s="236" t="str">
        <x:f>'Raw Inputs'!AN54</x:f>
        <x:v>8-K Item 2.02 filing date</x:v>
      </x:c>
      <x:c r="N106" s="236" t="n">
        <x:f>'Raw Inputs'!AH54</x:f>
        <x:v>62</x:v>
      </x:c>
      <x:c r="O106" s="236" t="str">
        <x:f>'Raw Inputs'!AM54</x:f>
        <x:v>2026-05-05 to 2026-05-06 to 2026-05-07</x:v>
      </x:c>
      <x:c r="P106" s="20" t="str">
        <x:f>'Raw Inputs'!CC54</x:f>
        <x:v>https://data.sec.gov/api/xbrl/companyfacts/CIK0000776867.json</x:v>
      </x:c>
      <x:c r="Q106" s="20" t="str">
        <x:f>'Raw Inputs'!CB54</x:f>
        <x:v>https://query1.finance.yahoo.com/v8/finance/chart/WTM?period1=1704067200&amp;period2=1783728000&amp;interval=1d&amp;events=div%2Csplits</x:v>
      </x:c>
    </x:row>
    <x:row r="107">
      <x:c r="A107" s="237" t="n">
        <x:f>RANK(D107,$D$5:$D$121,0)</x:f>
        <x:v>103</x:v>
      </x:c>
      <x:c r="B107" s="236" t="str">
        <x:f>'Raw Inputs'!A67</x:f>
        <x:v>L</x:v>
      </x:c>
      <x:c r="C107" s="236" t="str">
        <x:f>'Raw Inputs'!B67</x:f>
        <x:v>Loews Corp.</x:v>
      </x:c>
      <x:c r="D107" s="238" t="n">
        <x:f>IF(COUNT('Raw Inputs'!AE67,'Raw Inputs'!AJ67)=0,"",1+9*AVERAGE('Raw Inputs'!AE67,'Raw Inputs'!AJ67))</x:f>
        <x:v>3.0009881422924902</x:v>
      </x:c>
      <x:c r="E107" s="236" t="str">
        <x:f>'Raw Inputs'!AO67</x:f>
        <x:v>SUE + CAR3</x:v>
      </x:c>
      <x:c r="F107" s="266" t="n">
        <x:f>'Raw Inputs'!AD67</x:f>
        <x:v>-0.16134683837279806</x:v>
      </x:c>
      <x:c r="G107" s="267" t="n">
        <x:f>'Raw Inputs'!AE67</x:f>
        <x:v>0.22727272727272727</x:v>
      </x:c>
      <x:c r="H107" s="237" t="n">
        <x:f>'Raw Inputs'!AG67</x:f>
        <x:v>8</x:v>
      </x:c>
      <x:c r="I107" s="268" t="n">
        <x:f>'Raw Inputs'!AI67</x:f>
        <x:v>-0.06477972851703373</x:v>
      </x:c>
      <x:c r="J107" s="267" t="n">
        <x:f>'Raw Inputs'!AJ67</x:f>
        <x:v>0.21739130434782608</x:v>
      </x:c>
      <x:c r="K107" s="269" t="n">
        <x:f>'Raw Inputs'!AK67</x:f>
        <x:v>46146</x:v>
      </x:c>
      <x:c r="L107" s="269" t="n">
        <x:f>'Raw Inputs'!AL67</x:f>
        <x:v>46146</x:v>
      </x:c>
      <x:c r="M107" s="236" t="str">
        <x:f>'Raw Inputs'!AN67</x:f>
        <x:v>8-K Item 2.02 filing date</x:v>
      </x:c>
      <x:c r="N107" s="236" t="n">
        <x:f>'Raw Inputs'!AH67</x:f>
        <x:v>59</x:v>
      </x:c>
      <x:c r="O107" s="236" t="str">
        <x:f>'Raw Inputs'!AM67</x:f>
        <x:v>2026-05-01 to 2026-05-04 to 2026-05-05</x:v>
      </x:c>
      <x:c r="P107" s="20" t="str">
        <x:f>'Raw Inputs'!CC67</x:f>
        <x:v>https://data.sec.gov/api/xbrl/companyfacts/CIK0000060086.json</x:v>
      </x:c>
      <x:c r="Q107" s="20" t="str">
        <x:f>'Raw Inputs'!CB67</x:f>
        <x:v>https://query1.finance.yahoo.com/v8/finance/chart/L?period1=1704067200&amp;period2=1783728000&amp;interval=1d&amp;events=div%2Csplits</x:v>
      </x:c>
    </x:row>
    <x:row r="108">
      <x:c r="A108" s="237" t="n">
        <x:f>RANK(D108,$D$5:$D$121,0)</x:f>
        <x:v>104</x:v>
      </x:c>
      <x:c r="B108" s="236" t="str">
        <x:f>'Raw Inputs'!A13</x:f>
        <x:v>PPC</x:v>
      </x:c>
      <x:c r="C108" s="236" t="str">
        <x:f>'Raw Inputs'!B13</x:f>
        <x:v>Pilgrim's Pride Corp.</x:v>
      </x:c>
      <x:c r="D108" s="238" t="n">
        <x:f>IF(COUNT('Raw Inputs'!AE13,'Raw Inputs'!AJ13)=0,"",1+9*AVERAGE('Raw Inputs'!AE13,'Raw Inputs'!AJ13))</x:f>
        <x:v>2.933399209486166</x:v>
      </x:c>
      <x:c r="E108" s="236" t="str">
        <x:f>'Raw Inputs'!AO13</x:f>
        <x:v>SUE + CAR3</x:v>
      </x:c>
      <x:c r="F108" s="266" t="n">
        <x:f>'Raw Inputs'!AD13</x:f>
        <x:v>-1.1835416337935336</x:v>
      </x:c>
      <x:c r="G108" s="267" t="n">
        <x:f>'Raw Inputs'!AE13</x:f>
        <x:v>0.08181818181818182</x:v>
      </x:c>
      <x:c r="H108" s="237" t="n">
        <x:f>'Raw Inputs'!AG13</x:f>
        <x:v>8</x:v>
      </x:c>
      <x:c r="I108" s="268" t="n">
        <x:f>'Raw Inputs'!AI13</x:f>
        <x:v>-0.0395689048526191</x:v>
      </x:c>
      <x:c r="J108" s="267" t="n">
        <x:f>'Raw Inputs'!AJ13</x:f>
        <x:v>0.34782608695652173</x:v>
      </x:c>
      <x:c r="K108" s="269" t="n">
        <x:f>'Raw Inputs'!AK13</x:f>
        <x:v>46142</x:v>
      </x:c>
      <x:c r="L108" s="269" t="n">
        <x:f>'Raw Inputs'!AL13</x:f>
        <x:v>46142</x:v>
      </x:c>
      <x:c r="M108" s="236" t="str">
        <x:f>'Raw Inputs'!AN13</x:f>
        <x:v>8-K Item 2.02 filing date</x:v>
      </x:c>
      <x:c r="N108" s="236" t="n">
        <x:f>'Raw Inputs'!AH13</x:f>
        <x:v>60</x:v>
      </x:c>
      <x:c r="O108" s="236" t="str">
        <x:f>'Raw Inputs'!AM13</x:f>
        <x:v>2026-04-29 to 2026-04-30 to 2026-05-01</x:v>
      </x:c>
      <x:c r="P108" s="20" t="str">
        <x:f>'Raw Inputs'!CC13</x:f>
        <x:v>https://data.sec.gov/api/xbrl/companyfacts/CIK0000802481.json</x:v>
      </x:c>
      <x:c r="Q108" s="20" t="str">
        <x:f>'Raw Inputs'!CB13</x:f>
        <x:v>https://query1.finance.yahoo.com/v8/finance/chart/PPC?period1=1704067200&amp;period2=1783728000&amp;interval=1d&amp;events=div%2Csplits</x:v>
      </x:c>
    </x:row>
    <x:row r="109">
      <x:c r="A109" s="237" t="n">
        <x:f>RANK(D109,$D$5:$D$121,0)</x:f>
        <x:v>105</x:v>
      </x:c>
      <x:c r="B109" s="236" t="str">
        <x:f>'Raw Inputs'!A89</x:f>
        <x:v>KR</x:v>
      </x:c>
      <x:c r="C109" s="236" t="str">
        <x:f>'Raw Inputs'!B89</x:f>
        <x:v>The Kroger Co.</x:v>
      </x:c>
      <x:c r="D109" s="238" t="n">
        <x:f>IF(COUNT('Raw Inputs'!AE89,'Raw Inputs'!AJ89)=0,"",1+9*AVERAGE('Raw Inputs'!AE89,'Raw Inputs'!AJ89))</x:f>
        <x:v>2.9138339920948617</x:v>
      </x:c>
      <x:c r="E109" s="236" t="str">
        <x:f>'Raw Inputs'!AO89</x:f>
        <x:v>SUE + CAR3</x:v>
      </x:c>
      <x:c r="F109" s="266" t="n">
        <x:f>'Raw Inputs'!AD89</x:f>
        <x:v>0.13772392879099501</x:v>
      </x:c>
      <x:c r="G109" s="267" t="n">
        <x:f>'Raw Inputs'!AE89</x:f>
        <x:v>0.38181818181818183</x:v>
      </x:c>
      <x:c r="H109" s="237" t="n">
        <x:f>'Raw Inputs'!AG89</x:f>
        <x:v>8</x:v>
      </x:c>
      <x:c r="I109" s="268" t="n">
        <x:f>'Raw Inputs'!AI89</x:f>
        <x:v>-0.13124114720460311</x:v>
      </x:c>
      <x:c r="J109" s="267" t="n">
        <x:f>'Raw Inputs'!AJ89</x:f>
        <x:v>0.043478260869565216</x:v>
      </x:c>
      <x:c r="K109" s="269" t="n">
        <x:f>'Raw Inputs'!AK89</x:f>
        <x:v>46191</x:v>
      </x:c>
      <x:c r="L109" s="269" t="n">
        <x:f>'Raw Inputs'!AL89</x:f>
        <x:v>46191</x:v>
      </x:c>
      <x:c r="M109" s="236" t="str">
        <x:f>'Raw Inputs'!AN89</x:f>
        <x:v>8-K Item 2.02 filing date</x:v>
      </x:c>
      <x:c r="N109" s="236" t="n">
        <x:f>'Raw Inputs'!AH89</x:f>
        <x:v>58</x:v>
      </x:c>
      <x:c r="O109" s="236" t="str">
        <x:f>'Raw Inputs'!AM89</x:f>
        <x:v>2026-06-17 to 2026-06-18 to 2026-06-22</x:v>
      </x:c>
      <x:c r="P109" s="20" t="str">
        <x:f>'Raw Inputs'!CC89</x:f>
        <x:v>https://data.sec.gov/api/xbrl/companyfacts/CIK0000056873.json</x:v>
      </x:c>
      <x:c r="Q109" s="20" t="str">
        <x:f>'Raw Inputs'!CB89</x:f>
        <x:v>https://query1.finance.yahoo.com/v8/finance/chart/KR?period1=1704067200&amp;period2=1783728000&amp;interval=1d&amp;events=div%2Csplits</x:v>
      </x:c>
    </x:row>
    <x:row r="110">
      <x:c r="A110" s="237" t="n">
        <x:f>RANK(D110,$D$5:$D$121,0)</x:f>
        <x:v>106</x:v>
      </x:c>
      <x:c r="B110" s="236" t="str">
        <x:f>'Raw Inputs'!A25</x:f>
        <x:v>CMCSA</x:v>
      </x:c>
      <x:c r="C110" s="236" t="str">
        <x:f>'Raw Inputs'!B25</x:f>
        <x:v>Comcast Corp.</x:v>
      </x:c>
      <x:c r="D110" s="238" t="n">
        <x:f>IF(COUNT('Raw Inputs'!AE25,'Raw Inputs'!AJ25)=0,"",1+9*AVERAGE('Raw Inputs'!AE25,'Raw Inputs'!AJ25))</x:f>
        <x:v>2.791106719367589</x:v>
      </x:c>
      <x:c r="E110" s="236" t="str">
        <x:f>'Raw Inputs'!AO25</x:f>
        <x:v>SUE + CAR3</x:v>
      </x:c>
      <x:c r="F110" s="266" t="n">
        <x:f>'Raw Inputs'!AD25</x:f>
        <x:v>-0.37908576674008687</x:v>
      </x:c>
      <x:c r="G110" s="267" t="n">
        <x:f>'Raw Inputs'!AE25</x:f>
        <x:v>0.15454545454545454</x:v>
      </x:c>
      <x:c r="H110" s="237" t="n">
        <x:f>'Raw Inputs'!AG25</x:f>
        <x:v>8</x:v>
      </x:c>
      <x:c r="I110" s="268" t="n">
        <x:f>'Raw Inputs'!AI25</x:f>
        <x:v>-0.0527516914252647</x:v>
      </x:c>
      <x:c r="J110" s="267" t="n">
        <x:f>'Raw Inputs'!AJ25</x:f>
        <x:v>0.24347826086956523</x:v>
      </x:c>
      <x:c r="K110" s="269" t="n">
        <x:f>'Raw Inputs'!AK25</x:f>
        <x:v>46135</x:v>
      </x:c>
      <x:c r="L110" s="269" t="n">
        <x:f>'Raw Inputs'!AL25</x:f>
        <x:v>46135</x:v>
      </x:c>
      <x:c r="M110" s="236" t="str">
        <x:f>'Raw Inputs'!AN25</x:f>
        <x:v>8-K Item 2.02 filing date</x:v>
      </x:c>
      <x:c r="N110" s="236" t="n">
        <x:f>'Raw Inputs'!AH25</x:f>
        <x:v>68</x:v>
      </x:c>
      <x:c r="O110" s="236" t="str">
        <x:f>'Raw Inputs'!AM25</x:f>
        <x:v>2026-04-22 to 2026-04-23 to 2026-04-24</x:v>
      </x:c>
      <x:c r="P110" s="20" t="str">
        <x:f>'Raw Inputs'!CC25</x:f>
        <x:v>https://data.sec.gov/api/xbrl/companyfacts/CIK0001166691.json</x:v>
      </x:c>
      <x:c r="Q110" s="20" t="str">
        <x:f>'Raw Inputs'!CB25</x:f>
        <x:v>https://query1.finance.yahoo.com/v8/finance/chart/CMCSA?period1=1704067200&amp;period2=1783728000&amp;interval=1d&amp;events=div%2Csplits</x:v>
      </x:c>
    </x:row>
    <x:row r="111">
      <x:c r="A111" s="237" t="n">
        <x:f>RANK(D111,$D$5:$D$121,0)</x:f>
        <x:v>107</x:v>
      </x:c>
      <x:c r="B111" s="236" t="str">
        <x:f>'Raw Inputs'!A107</x:f>
        <x:v>CE</x:v>
      </x:c>
      <x:c r="C111" s="236" t="str">
        <x:f>'Raw Inputs'!B107</x:f>
        <x:v>Celanese Corp.</x:v>
      </x:c>
      <x:c r="D111" s="238" t="n">
        <x:f>IF(COUNT('Raw Inputs'!AE107,'Raw Inputs'!AJ107)=0,"",1+9*AVERAGE('Raw Inputs'!AE107,'Raw Inputs'!AJ107))</x:f>
        <x:v>2.7839920948616603</x:v>
      </x:c>
      <x:c r="E111" s="236" t="str">
        <x:f>'Raw Inputs'!AO107</x:f>
        <x:v>SUE + CAR3</x:v>
      </x:c>
      <x:c r="F111" s="266" t="n">
        <x:f>'Raw Inputs'!AD107</x:f>
        <x:v>0.04868672010884699</x:v>
      </x:c>
      <x:c r="G111" s="267" t="n">
        <x:f>'Raw Inputs'!AE107</x:f>
        <x:v>0.3181818181818182</x:v>
      </x:c>
      <x:c r="H111" s="237" t="n">
        <x:f>'Raw Inputs'!AG107</x:f>
        <x:v>8</x:v>
      </x:c>
      <x:c r="I111" s="268" t="n">
        <x:f>'Raw Inputs'!AI107</x:f>
        <x:v>-0.12159190663885777</x:v>
      </x:c>
      <x:c r="J111" s="267" t="n">
        <x:f>'Raw Inputs'!AJ107</x:f>
        <x:v>0.0782608695652174</x:v>
      </x:c>
      <x:c r="K111" s="269" t="n">
        <x:f>'Raw Inputs'!AK107</x:f>
        <x:v>46147</x:v>
      </x:c>
      <x:c r="L111" s="269" t="n">
        <x:f>'Raw Inputs'!AL107</x:f>
        <x:v>46147</x:v>
      </x:c>
      <x:c r="M111" s="236" t="str">
        <x:f>'Raw Inputs'!AN107</x:f>
        <x:v>8-K Item 2.02 filing date</x:v>
      </x:c>
      <x:c r="N111" s="236" t="n">
        <x:f>'Raw Inputs'!AH107</x:f>
        <x:v>68</x:v>
      </x:c>
      <x:c r="O111" s="236" t="str">
        <x:f>'Raw Inputs'!AM107</x:f>
        <x:v>2026-05-04 to 2026-05-05 to 2026-05-06</x:v>
      </x:c>
      <x:c r="P111" s="20" t="str">
        <x:f>'Raw Inputs'!CC107</x:f>
        <x:v>https://data.sec.gov/api/xbrl/companyfacts/CIK0001306830.json</x:v>
      </x:c>
      <x:c r="Q111" s="20" t="str">
        <x:f>'Raw Inputs'!CB107</x:f>
        <x:v>https://query1.finance.yahoo.com/v8/finance/chart/CE?period1=1704067200&amp;period2=1783728000&amp;interval=1d&amp;events=div%2Csplits</x:v>
      </x:c>
    </x:row>
    <x:row r="112">
      <x:c r="A112" s="237" t="n">
        <x:f>RANK(D112,$D$5:$D$121,0)</x:f>
        <x:v>108</x:v>
      </x:c>
      <x:c r="B112" s="236" t="str">
        <x:f>'Raw Inputs'!A52</x:f>
        <x:v>TSCO</x:v>
      </x:c>
      <x:c r="C112" s="236" t="str">
        <x:f>'Raw Inputs'!B52</x:f>
        <x:v>Tractor Supply Co.</x:v>
      </x:c>
      <x:c r="D112" s="238" t="n">
        <x:f>IF(COUNT('Raw Inputs'!AE52,'Raw Inputs'!AJ52)=0,"",1+9*AVERAGE('Raw Inputs'!AE52,'Raw Inputs'!AJ52))</x:f>
        <x:v>2.467391304347826</x:v>
      </x:c>
      <x:c r="E112" s="236" t="str">
        <x:f>'Raw Inputs'!AO52</x:f>
        <x:v>SUE + CAR3</x:v>
      </x:c>
      <x:c r="F112" s="266" t="n">
        <x:f>'Raw Inputs'!AD52</x:f>
        <x:v>-0.007351320387004242</x:v>
      </x:c>
      <x:c r="G112" s="267" t="n">
        <x:f>'Raw Inputs'!AE52</x:f>
        <x:v>0.3</x:v>
      </x:c>
      <x:c r="H112" s="237" t="n">
        <x:f>'Raw Inputs'!AG52</x:f>
        <x:v>8</x:v>
      </x:c>
      <x:c r="I112" s="268" t="n">
        <x:f>'Raw Inputs'!AI52</x:f>
        <x:v>-0.1388341672263531</x:v>
      </x:c>
      <x:c r="J112" s="267" t="n">
        <x:f>'Raw Inputs'!AJ52</x:f>
        <x:v>0.02608695652173913</x:v>
      </x:c>
      <x:c r="K112" s="269" t="n">
        <x:f>'Raw Inputs'!AK52</x:f>
        <x:v>46133</x:v>
      </x:c>
      <x:c r="L112" s="269" t="n">
        <x:f>'Raw Inputs'!AL52</x:f>
        <x:v>46133</x:v>
      </x:c>
      <x:c r="M112" s="236" t="str">
        <x:f>'Raw Inputs'!AN52</x:f>
        <x:v>8-K Item 2.02 filing date</x:v>
      </x:c>
      <x:c r="N112" s="236" t="n">
        <x:f>'Raw Inputs'!AH52</x:f>
        <x:v>64</x:v>
      </x:c>
      <x:c r="O112" s="236" t="str">
        <x:f>'Raw Inputs'!AM52</x:f>
        <x:v>2026-04-20 to 2026-04-21 to 2026-04-22</x:v>
      </x:c>
      <x:c r="P112" s="20" t="str">
        <x:f>'Raw Inputs'!CC52</x:f>
        <x:v>https://data.sec.gov/api/xbrl/companyfacts/CIK0000916365.json</x:v>
      </x:c>
      <x:c r="Q112" s="20" t="str">
        <x:f>'Raw Inputs'!CB52</x:f>
        <x:v>https://query1.finance.yahoo.com/v8/finance/chart/TSCO?period1=1704067200&amp;period2=1783728000&amp;interval=1d&amp;events=div%2Csplits</x:v>
      </x:c>
    </x:row>
    <x:row r="113">
      <x:c r="A113" s="237" t="n">
        <x:f>RANK(D113,$D$5:$D$121,0)</x:f>
        <x:v>109</x:v>
      </x:c>
      <x:c r="B113" s="236" t="str">
        <x:f>'Raw Inputs'!A58</x:f>
        <x:v>CNA</x:v>
      </x:c>
      <x:c r="C113" s="236" t="str">
        <x:f>'Raw Inputs'!B58</x:f>
        <x:v>CNA Financial Corp.</x:v>
      </x:c>
      <x:c r="D113" s="238" t="n">
        <x:f>IF(COUNT('Raw Inputs'!AE58,'Raw Inputs'!AJ58)=0,"",1+9*AVERAGE('Raw Inputs'!AE58,'Raw Inputs'!AJ58))</x:f>
        <x:v>2.4424901185770755</x:v>
      </x:c>
      <x:c r="E113" s="236" t="str">
        <x:f>'Raw Inputs'!AO58</x:f>
        <x:v>SUE + CAR3</x:v>
      </x:c>
      <x:c r="F113" s="266" t="n">
        <x:f>'Raw Inputs'!AD58</x:f>
        <x:v>-0.3451289081507021</x:v>
      </x:c>
      <x:c r="G113" s="267" t="n">
        <x:f>'Raw Inputs'!AE58</x:f>
        <x:v>0.17272727272727273</x:v>
      </x:c>
      <x:c r="H113" s="237" t="n">
        <x:f>'Raw Inputs'!AG58</x:f>
        <x:v>8</x:v>
      </x:c>
      <x:c r="I113" s="268" t="n">
        <x:f>'Raw Inputs'!AI58</x:f>
        <x:v>-0.08439635567649462</x:v>
      </x:c>
      <x:c r="J113" s="267" t="n">
        <x:f>'Raw Inputs'!AJ58</x:f>
        <x:v>0.14782608695652175</x:v>
      </x:c>
      <x:c r="K113" s="269" t="n">
        <x:f>'Raw Inputs'!AK58</x:f>
        <x:v>46146</x:v>
      </x:c>
      <x:c r="L113" s="269" t="n">
        <x:f>'Raw Inputs'!AL58</x:f>
        <x:v>46146</x:v>
      </x:c>
      <x:c r="M113" s="236" t="str">
        <x:f>'Raw Inputs'!AN58</x:f>
        <x:v>8-K Item 2.02 filing date</x:v>
      </x:c>
      <x:c r="N113" s="236" t="n">
        <x:f>'Raw Inputs'!AH58</x:f>
        <x:v>58</x:v>
      </x:c>
      <x:c r="O113" s="236" t="str">
        <x:f>'Raw Inputs'!AM58</x:f>
        <x:v>2026-05-01 to 2026-05-04 to 2026-05-05</x:v>
      </x:c>
      <x:c r="P113" s="20" t="str">
        <x:f>'Raw Inputs'!CC58</x:f>
        <x:v>https://data.sec.gov/api/xbrl/companyfacts/CIK0000021175.json</x:v>
      </x:c>
      <x:c r="Q113" s="20" t="str">
        <x:f>'Raw Inputs'!CB58</x:f>
        <x:v>https://query1.finance.yahoo.com/v8/finance/chart/CNA?period1=1704067200&amp;period2=1783728000&amp;interval=1d&amp;events=div%2Csplits</x:v>
      </x:c>
    </x:row>
    <x:row r="114">
      <x:c r="A114" s="237" t="n">
        <x:f>RANK(D114,$D$5:$D$121,0)</x:f>
        <x:v>110</x:v>
      </x:c>
      <x:c r="B114" s="236" t="str">
        <x:f>'Raw Inputs'!A80</x:f>
        <x:v>LMT</x:v>
      </x:c>
      <x:c r="C114" s="236" t="str">
        <x:f>'Raw Inputs'!B80</x:f>
        <x:v>Lockheed Martin Corp.</x:v>
      </x:c>
      <x:c r="D114" s="238" t="n">
        <x:f>IF(COUNT('Raw Inputs'!AE80,'Raw Inputs'!AJ80)=0,"",1+9*AVERAGE('Raw Inputs'!AE80,'Raw Inputs'!AJ80))</x:f>
        <x:v>2.3304347826086955</x:v>
      </x:c>
      <x:c r="E114" s="236" t="str">
        <x:f>'Raw Inputs'!AO80</x:f>
        <x:v>SUE + CAR3</x:v>
      </x:c>
      <x:c r="F114" s="266" t="n">
        <x:f>'Raw Inputs'!AD80</x:f>
        <x:v>-0.26966179709617677</x:v>
      </x:c>
      <x:c r="G114" s="267" t="n">
        <x:f>'Raw Inputs'!AE80</x:f>
        <x:v>0.2</x:v>
      </x:c>
      <x:c r="H114" s="237" t="n">
        <x:f>'Raw Inputs'!AG80</x:f>
        <x:v>8</x:v>
      </x:c>
      <x:c r="I114" s="268" t="n">
        <x:f>'Raw Inputs'!AI80</x:f>
        <x:v>-0.11799476977107659</x:v>
      </x:c>
      <x:c r="J114" s="267" t="n">
        <x:f>'Raw Inputs'!AJ80</x:f>
        <x:v>0.09565217391304348</x:v>
      </x:c>
      <x:c r="K114" s="269" t="n">
        <x:f>'Raw Inputs'!AK80</x:f>
        <x:v>46135</x:v>
      </x:c>
      <x:c r="L114" s="269" t="n">
        <x:f>'Raw Inputs'!AL80</x:f>
        <x:v>46135</x:v>
      </x:c>
      <x:c r="M114" s="236" t="str">
        <x:f>'Raw Inputs'!AN80</x:f>
        <x:v>8-K Item 2.02 filing date</x:v>
      </x:c>
      <x:c r="N114" s="236" t="n">
        <x:f>'Raw Inputs'!AH80</x:f>
        <x:v>68</x:v>
      </x:c>
      <x:c r="O114" s="236" t="str">
        <x:f>'Raw Inputs'!AM80</x:f>
        <x:v>2026-04-22 to 2026-04-23 to 2026-04-24</x:v>
      </x:c>
      <x:c r="P114" s="20" t="str">
        <x:f>'Raw Inputs'!CC80</x:f>
        <x:v>https://data.sec.gov/api/xbrl/companyfacts/CIK0000936468.json</x:v>
      </x:c>
      <x:c r="Q114" s="20" t="str">
        <x:f>'Raw Inputs'!CB80</x:f>
        <x:v>https://query1.finance.yahoo.com/v8/finance/chart/LMT?period1=1704067200&amp;period2=1783728000&amp;interval=1d&amp;events=div%2Csplits</x:v>
      </x:c>
    </x:row>
    <x:row r="115">
      <x:c r="A115" s="237" t="n">
        <x:f>RANK(D115,$D$5:$D$121,0)</x:f>
        <x:v>111</x:v>
      </x:c>
      <x:c r="B115" s="236" t="str">
        <x:f>'Raw Inputs'!A81</x:f>
        <x:v>BJ</x:v>
      </x:c>
      <x:c r="C115" s="236" t="str">
        <x:f>'Raw Inputs'!B81</x:f>
        <x:v>BJ's Wholesale Club Holdings Inc.</x:v>
      </x:c>
      <x:c r="D115" s="238" t="n">
        <x:f>IF(COUNT('Raw Inputs'!AE81,'Raw Inputs'!AJ81)=0,"",1+9*AVERAGE('Raw Inputs'!AE81,'Raw Inputs'!AJ81))</x:f>
        <x:v>2.2539525691699605</x:v>
      </x:c>
      <x:c r="E115" s="236" t="str">
        <x:f>'Raw Inputs'!AO81</x:f>
        <x:v>SUE + CAR3</x:v>
      </x:c>
      <x:c r="F115" s="266" t="n">
        <x:f>'Raw Inputs'!AD81</x:f>
        <x:v>-0.2072400656803071</x:v>
      </x:c>
      <x:c r="G115" s="267" t="n">
        <x:f>'Raw Inputs'!AE81</x:f>
        <x:v>0.20909090909090908</x:v>
      </x:c>
      <x:c r="H115" s="237" t="n">
        <x:f>'Raw Inputs'!AG81</x:f>
        <x:v>8</x:v>
      </x:c>
      <x:c r="I115" s="268" t="n">
        <x:f>'Raw Inputs'!AI81</x:f>
        <x:v>-0.12651824623024377</x:v>
      </x:c>
      <x:c r="J115" s="267" t="n">
        <x:f>'Raw Inputs'!AJ81</x:f>
        <x:v>0.06956521739130435</x:v>
      </x:c>
      <x:c r="K115" s="269" t="n">
        <x:f>'Raw Inputs'!AK81</x:f>
        <x:v>46164</x:v>
      </x:c>
      <x:c r="L115" s="269" t="n">
        <x:f>'Raw Inputs'!AL81</x:f>
        <x:v>46164</x:v>
      </x:c>
      <x:c r="M115" s="236" t="str">
        <x:f>'Raw Inputs'!AN81</x:f>
        <x:v>8-K Item 2.02 filing date</x:v>
      </x:c>
      <x:c r="N115" s="236" t="n">
        <x:f>'Raw Inputs'!AH81</x:f>
        <x:v>32</x:v>
      </x:c>
      <x:c r="O115" s="236" t="str">
        <x:f>'Raw Inputs'!AM81</x:f>
        <x:v>2026-05-21 to 2026-05-22 to 2026-05-26</x:v>
      </x:c>
      <x:c r="P115" s="20" t="str">
        <x:f>'Raw Inputs'!CC81</x:f>
        <x:v>https://data.sec.gov/api/xbrl/companyfacts/CIK0001531152.json</x:v>
      </x:c>
      <x:c r="Q115" s="20" t="str">
        <x:f>'Raw Inputs'!CB81</x:f>
        <x:v>https://query1.finance.yahoo.com/v8/finance/chart/BJ?period1=1704067200&amp;period2=1783728000&amp;interval=1d&amp;events=div%2Csplits</x:v>
      </x:c>
    </x:row>
    <x:row r="116">
      <x:c r="A116" s="237" t="n">
        <x:f>RANK(D116,$D$5:$D$121,0)</x:f>
        <x:v>112</x:v>
      </x:c>
      <x:c r="B116" s="236" t="str">
        <x:f>'Raw Inputs'!A75</x:f>
        <x:v>ERIE</x:v>
      </x:c>
      <x:c r="C116" s="236" t="str">
        <x:f>'Raw Inputs'!B75</x:f>
        <x:v>Erie Indemnity Co.</x:v>
      </x:c>
      <x:c r="D116" s="238" t="n">
        <x:f>IF(COUNT('Raw Inputs'!AE75,'Raw Inputs'!AJ75)=0,"",1+9*AVERAGE('Raw Inputs'!AE75,'Raw Inputs'!AJ75))</x:f>
        <x:v>2.1739130434782608</x:v>
      </x:c>
      <x:c r="E116" s="236" t="str">
        <x:f>'Raw Inputs'!AO75</x:f>
        <x:v>CAR3 only</x:v>
      </x:c>
      <x:c r="F116" s="266" t="n">
        <x:f>'Raw Inputs'!AD75</x:f>
        <x:v>0</x:v>
      </x:c>
      <x:c r="G116" s="267" t="n">
        <x:f>'Raw Inputs'!AE75</x:f>
        <x:v>0</x:v>
      </x:c>
      <x:c r="H116" s="237" t="n">
        <x:f>'Raw Inputs'!AG75</x:f>
        <x:v>0</x:v>
      </x:c>
      <x:c r="I116" s="268" t="n">
        <x:f>'Raw Inputs'!AI75</x:f>
        <x:v>-0.09306288192344747</x:v>
      </x:c>
      <x:c r="J116" s="267" t="n">
        <x:f>'Raw Inputs'!AJ75</x:f>
        <x:v>0.13043478260869565</x:v>
      </x:c>
      <x:c r="K116" s="269" t="n">
        <x:f>'Raw Inputs'!AK75</x:f>
        <x:v>46135</x:v>
      </x:c>
      <x:c r="L116" s="269" t="n">
        <x:f>'Raw Inputs'!AL75</x:f>
        <x:v>46135</x:v>
      </x:c>
      <x:c r="M116" s="236" t="str">
        <x:f>'Raw Inputs'!AN75</x:f>
        <x:v>8-K Item 2.02 filing date</x:v>
      </x:c>
      <x:c r="N116" s="236" t="n">
        <x:f>'Raw Inputs'!AH75</x:f>
        <x:v>0</x:v>
      </x:c>
      <x:c r="O116" s="236" t="str">
        <x:f>'Raw Inputs'!AM75</x:f>
        <x:v>2026-04-22 to 2026-04-23 to 2026-04-24</x:v>
      </x:c>
      <x:c r="P116" s="20" t="str">
        <x:f>'Raw Inputs'!CC75</x:f>
        <x:v>https://data.sec.gov/api/xbrl/companyfacts/CIK0000922621.json</x:v>
      </x:c>
      <x:c r="Q116" s="20" t="str">
        <x:f>'Raw Inputs'!CB75</x:f>
        <x:v>https://query1.finance.yahoo.com/v8/finance/chart/ERIE?period1=1704067200&amp;period2=1783728000&amp;interval=1d&amp;events=div%2Csplits</x:v>
      </x:c>
    </x:row>
    <x:row r="117">
      <x:c r="A117" s="237" t="n">
        <x:f>RANK(D117,$D$5:$D$121,0)</x:f>
        <x:v>113</x:v>
      </x:c>
      <x:c r="B117" s="236" t="str">
        <x:f>'Raw Inputs'!A66</x:f>
        <x:v>ACI</x:v>
      </x:c>
      <x:c r="C117" s="236" t="str">
        <x:f>'Raw Inputs'!B66</x:f>
        <x:v>Albertsons Cos. Inc.</x:v>
      </x:c>
      <x:c r="D117" s="238" t="n">
        <x:f>IF(COUNT('Raw Inputs'!AE66,'Raw Inputs'!AJ66)=0,"",1+9*AVERAGE('Raw Inputs'!AE66,'Raw Inputs'!AJ66))</x:f>
        <x:v>1.8217391304347825</x:v>
      </x:c>
      <x:c r="E117" s="236" t="str">
        <x:f>'Raw Inputs'!AO66</x:f>
        <x:v>SUE + CAR3</x:v>
      </x:c>
      <x:c r="F117" s="266" t="n">
        <x:f>'Raw Inputs'!AD66</x:f>
        <x:v>-2.926790340102149</x:v>
      </x:c>
      <x:c r="G117" s="267" t="n">
        <x:f>'Raw Inputs'!AE66</x:f>
        <x:v>0</x:v>
      </x:c>
      <x:c r="H117" s="237" t="n">
        <x:f>'Raw Inputs'!AG66</x:f>
        <x:v>8</x:v>
      </x:c>
      <x:c r="I117" s="268" t="n">
        <x:f>'Raw Inputs'!AI66</x:f>
        <x:v>-0.06935436402495476</x:v>
      </x:c>
      <x:c r="J117" s="267" t="n">
        <x:f>'Raw Inputs'!AJ66</x:f>
        <x:v>0.1826086956521739</x:v>
      </x:c>
      <x:c r="K117" s="269" t="n">
        <x:f>'Raw Inputs'!AK66</x:f>
        <x:v>46126</x:v>
      </x:c>
      <x:c r="L117" s="269" t="n">
        <x:f>'Raw Inputs'!AL66</x:f>
        <x:v>46126</x:v>
      </x:c>
      <x:c r="M117" s="236" t="str">
        <x:f>'Raw Inputs'!AN66</x:f>
        <x:v>8-K Item 2.02 filing date</x:v>
      </x:c>
      <x:c r="N117" s="236" t="n">
        <x:f>'Raw Inputs'!AH66</x:f>
        <x:v>23</x:v>
      </x:c>
      <x:c r="O117" s="236" t="str">
        <x:f>'Raw Inputs'!AM66</x:f>
        <x:v>2026-04-13 to 2026-04-14 to 2026-04-15</x:v>
      </x:c>
      <x:c r="P117" s="20" t="str">
        <x:f>'Raw Inputs'!CC66</x:f>
        <x:v>https://data.sec.gov/api/xbrl/companyfacts/CIK0001646972.json</x:v>
      </x:c>
      <x:c r="Q117" s="20" t="str">
        <x:f>'Raw Inputs'!CB66</x:f>
        <x:v>https://query1.finance.yahoo.com/v8/finance/chart/ACI?period1=1704067200&amp;period2=1783728000&amp;interval=1d&amp;events=div%2Csplits</x:v>
      </x:c>
    </x:row>
    <x:row r="118">
      <x:c r="A118" s="237" t="n">
        <x:f>RANK(D118,$D$5:$D$121,0)</x:f>
        <x:v>114</x:v>
      </x:c>
      <x:c r="B118" s="236" t="str">
        <x:f>'Raw Inputs'!A79</x:f>
        <x:v>FAST</x:v>
      </x:c>
      <x:c r="C118" s="236" t="str">
        <x:f>'Raw Inputs'!B79</x:f>
        <x:v>Fastenal Co.</x:v>
      </x:c>
      <x:c r="D118" s="238" t="n">
        <x:f>IF(COUNT('Raw Inputs'!AE79,'Raw Inputs'!AJ79)=0,"",1+9*AVERAGE('Raw Inputs'!AE79,'Raw Inputs'!AJ79))</x:f>
        <x:v>1.6332015810276679</x:v>
      </x:c>
      <x:c r="E118" s="236" t="str">
        <x:f>'Raw Inputs'!AO79</x:f>
        <x:v>SUE + CAR3</x:v>
      </x:c>
      <x:c r="F118" s="266" t="n">
        <x:f>'Raw Inputs'!AD79</x:f>
        <x:v>-1.9086672713409683</x:v>
      </x:c>
      <x:c r="G118" s="267" t="n">
        <x:f>'Raw Inputs'!AE79</x:f>
        <x:v>0.03636363636363636</x:v>
      </x:c>
      <x:c r="H118" s="237" t="n">
        <x:f>'Raw Inputs'!AG79</x:f>
        <x:v>8</x:v>
      </x:c>
      <x:c r="I118" s="268" t="n">
        <x:f>'Raw Inputs'!AI79</x:f>
        <x:v>-0.11423992884119472</x:v>
      </x:c>
      <x:c r="J118" s="267" t="n">
        <x:f>'Raw Inputs'!AJ79</x:f>
        <x:v>0.10434782608695652</x:v>
      </x:c>
      <x:c r="K118" s="269" t="n">
        <x:f>'Raw Inputs'!AK79</x:f>
        <x:v>46125</x:v>
      </x:c>
      <x:c r="L118" s="269" t="n">
        <x:f>'Raw Inputs'!AL79</x:f>
        <x:v>46125</x:v>
      </x:c>
      <x:c r="M118" s="236" t="str">
        <x:f>'Raw Inputs'!AN79</x:f>
        <x:v>8-K Item 2.02 filing date</x:v>
      </x:c>
      <x:c r="N118" s="236" t="n">
        <x:f>'Raw Inputs'!AH79</x:f>
        <x:v>64</x:v>
      </x:c>
      <x:c r="O118" s="236" t="str">
        <x:f>'Raw Inputs'!AM79</x:f>
        <x:v>2026-04-10 to 2026-04-13 to 2026-04-14</x:v>
      </x:c>
      <x:c r="P118" s="20" t="str">
        <x:f>'Raw Inputs'!CC79</x:f>
        <x:v>https://data.sec.gov/api/xbrl/companyfacts/CIK0000815556.json</x:v>
      </x:c>
      <x:c r="Q118" s="20" t="str">
        <x:f>'Raw Inputs'!CB79</x:f>
        <x:v>https://query1.finance.yahoo.com/v8/finance/chart/FAST?period1=1704067200&amp;period2=1783728000&amp;interval=1d&amp;events=div%2Csplits</x:v>
      </x:c>
    </x:row>
    <x:row r="119">
      <x:c r="A119" s="237" t="n">
        <x:f>RANK(D119,$D$5:$D$121,0)</x:f>
        <x:v>115</x:v>
      </x:c>
      <x:c r="B119" s="236" t="str">
        <x:f>'Raw Inputs'!A94</x:f>
        <x:v>PR</x:v>
      </x:c>
      <x:c r="C119" s="236" t="str">
        <x:f>'Raw Inputs'!B94</x:f>
        <x:v>Permian Resources Corp.</x:v>
      </x:c>
      <x:c r="D119" s="238" t="n">
        <x:f>IF(COUNT('Raw Inputs'!AE94,'Raw Inputs'!AJ94)=0,"",1+9*AVERAGE('Raw Inputs'!AE94,'Raw Inputs'!AJ94))</x:f>
        <x:v>1.6011857707509882</x:v>
      </x:c>
      <x:c r="E119" s="236" t="str">
        <x:f>'Raw Inputs'!AO94</x:f>
        <x:v>SUE + CAR3</x:v>
      </x:c>
      <x:c r="F119" s="266" t="n">
        <x:f>'Raw Inputs'!AD94</x:f>
        <x:v>-1.2546000382255238</x:v>
      </x:c>
      <x:c r="G119" s="267" t="n">
        <x:f>'Raw Inputs'!AE94</x:f>
        <x:v>0.07272727272727272</x:v>
      </x:c>
      <x:c r="H119" s="237" t="n">
        <x:f>'Raw Inputs'!AG94</x:f>
        <x:v>8</x:v>
      </x:c>
      <x:c r="I119" s="268" t="n">
        <x:f>'Raw Inputs'!AI94</x:f>
        <x:v>-0.1292665293405637</x:v>
      </x:c>
      <x:c r="J119" s="267" t="n">
        <x:f>'Raw Inputs'!AJ94</x:f>
        <x:v>0.06086956521739131</x:v>
      </x:c>
      <x:c r="K119" s="269" t="n">
        <x:f>'Raw Inputs'!AK94</x:f>
        <x:v>46148</x:v>
      </x:c>
      <x:c r="L119" s="269" t="n">
        <x:f>'Raw Inputs'!AL94</x:f>
        <x:v>46148</x:v>
      </x:c>
      <x:c r="M119" s="236" t="str">
        <x:f>'Raw Inputs'!AN94</x:f>
        <x:v>8-K Item 2.02 filing date</x:v>
      </x:c>
      <x:c r="N119" s="236" t="n">
        <x:f>'Raw Inputs'!AH94</x:f>
        <x:v>38</x:v>
      </x:c>
      <x:c r="O119" s="236" t="str">
        <x:f>'Raw Inputs'!AM94</x:f>
        <x:v>2026-05-05 to 2026-05-06 to 2026-05-07</x:v>
      </x:c>
      <x:c r="P119" s="20" t="str">
        <x:f>'Raw Inputs'!CC94</x:f>
        <x:v>https://data.sec.gov/api/xbrl/companyfacts/CIK0001658566.json</x:v>
      </x:c>
      <x:c r="Q119" s="20" t="str">
        <x:f>'Raw Inputs'!CB94</x:f>
        <x:v>https://query1.finance.yahoo.com/v8/finance/chart/PR?period1=1704067200&amp;period2=1783728000&amp;interval=1d&amp;events=div%2Csplits</x:v>
      </x:c>
    </x:row>
    <x:row r="120">
      <x:c r="A120" s="237" t="n">
        <x:f>RANK(D120,$D$5:$D$121,0)</x:f>
        <x:v>116</x:v>
      </x:c>
      <x:c r="B120" s="236" t="str">
        <x:f>'Raw Inputs'!A118</x:f>
        <x:v>LNG</x:v>
      </x:c>
      <x:c r="C120" s="236" t="str">
        <x:f>'Raw Inputs'!B118</x:f>
        <x:v>Cheniere Energy Inc.</x:v>
      </x:c>
      <x:c r="D120" s="238" t="n">
        <x:f>IF(COUNT('Raw Inputs'!AE118,'Raw Inputs'!AJ118)=0,"",1+9*AVERAGE('Raw Inputs'!AE118,'Raw Inputs'!AJ118))</x:f>
        <x:v>1.316600790513834</x:v>
      </x:c>
      <x:c r="E120" s="236" t="str">
        <x:f>'Raw Inputs'!AO118</x:f>
        <x:v>SUE + CAR3</x:v>
      </x:c>
      <x:c r="F120" s="266" t="n">
        <x:f>'Raw Inputs'!AD118</x:f>
        <x:v>-2.4992883053815826</x:v>
      </x:c>
      <x:c r="G120" s="267" t="n">
        <x:f>'Raw Inputs'!AE118</x:f>
        <x:v>0.01818181818181818</x:v>
      </x:c>
      <x:c r="H120" s="237" t="n">
        <x:f>'Raw Inputs'!AG118</x:f>
        <x:v>8</x:v>
      </x:c>
      <x:c r="I120" s="268" t="n">
        <x:f>'Raw Inputs'!AI118</x:f>
        <x:v>-0.12955031550702212</x:v>
      </x:c>
      <x:c r="J120" s="267" t="n">
        <x:f>'Raw Inputs'!AJ118</x:f>
        <x:v>0.05217391304347826</x:v>
      </x:c>
      <x:c r="K120" s="269" t="n">
        <x:f>'Raw Inputs'!AK118</x:f>
        <x:v>46149</x:v>
      </x:c>
      <x:c r="L120" s="269" t="n">
        <x:f>'Raw Inputs'!AL118</x:f>
        <x:v>46149</x:v>
      </x:c>
      <x:c r="M120" s="236" t="str">
        <x:f>'Raw Inputs'!AN118</x:f>
        <x:v>8-K Item 2.02 filing date</x:v>
      </x:c>
      <x:c r="N120" s="236" t="n">
        <x:f>'Raw Inputs'!AH118</x:f>
        <x:v>60</x:v>
      </x:c>
      <x:c r="O120" s="236" t="str">
        <x:f>'Raw Inputs'!AM118</x:f>
        <x:v>2026-05-06 to 2026-05-07 to 2026-05-08</x:v>
      </x:c>
      <x:c r="P120" s="20" t="str">
        <x:f>'Raw Inputs'!CC118</x:f>
        <x:v>https://data.sec.gov/api/xbrl/companyfacts/CIK0000003570.json</x:v>
      </x:c>
      <x:c r="Q120" s="20" t="str">
        <x:f>'Raw Inputs'!CB118</x:f>
        <x:v>https://query1.finance.yahoo.com/v8/finance/chart/LNG?period1=1704067200&amp;period2=1783728000&amp;interval=1d&amp;events=div%2Csplits</x:v>
      </x:c>
    </x:row>
    <x:row r="121">
      <x:c r="A121" s="237" t="n">
        <x:f>RANK(D121,$D$5:$D$121,0)</x:f>
        <x:v>117</x:v>
      </x:c>
      <x:c r="B121" s="236" t="str">
        <x:f>'Raw Inputs'!A116</x:f>
        <x:v>MTDR</x:v>
      </x:c>
      <x:c r="C121" s="236" t="str">
        <x:f>'Raw Inputs'!B116</x:f>
        <x:v>Matador Resources Co.</x:v>
      </x:c>
      <x:c r="D121" s="238" t="n">
        <x:f>IF(COUNT('Raw Inputs'!AE116,'Raw Inputs'!AJ116)=0,"",1+9*AVERAGE('Raw Inputs'!AE116,'Raw Inputs'!AJ116))</x:f>
        <x:v>1.1191699604743084</x:v>
      </x:c>
      <x:c r="E121" s="236" t="str">
        <x:f>'Raw Inputs'!AO116</x:f>
        <x:v>SUE + CAR3</x:v>
      </x:c>
      <x:c r="F121" s="266" t="n">
        <x:f>'Raw Inputs'!AD116</x:f>
        <x:v>-2.711973615199206</x:v>
      </x:c>
      <x:c r="G121" s="267" t="n">
        <x:f>'Raw Inputs'!AE116</x:f>
        <x:v>0.00909090909090909</x:v>
      </x:c>
      <x:c r="H121" s="237" t="n">
        <x:f>'Raw Inputs'!AG116</x:f>
        <x:v>8</x:v>
      </x:c>
      <x:c r="I121" s="268" t="n">
        <x:f>'Raw Inputs'!AI116</x:f>
        <x:v>-0.15157342289731424</x:v>
      </x:c>
      <x:c r="J121" s="267" t="n">
        <x:f>'Raw Inputs'!AJ116</x:f>
        <x:v>0.017391304347826087</x:v>
      </x:c>
      <x:c r="K121" s="269" t="n">
        <x:f>'Raw Inputs'!AK116</x:f>
        <x:v>46148</x:v>
      </x:c>
      <x:c r="L121" s="269" t="n">
        <x:f>'Raw Inputs'!AL116</x:f>
        <x:v>46148</x:v>
      </x:c>
      <x:c r="M121" s="236" t="str">
        <x:f>'Raw Inputs'!AN116</x:f>
        <x:v>8-K Item 2.02 filing date</x:v>
      </x:c>
      <x:c r="N121" s="236" t="n">
        <x:f>'Raw Inputs'!AH116</x:f>
        <x:v>47</x:v>
      </x:c>
      <x:c r="O121" s="236" t="str">
        <x:f>'Raw Inputs'!AM116</x:f>
        <x:v>2026-05-05 to 2026-05-06 to 2026-05-07</x:v>
      </x:c>
      <x:c r="P121" s="20" t="str">
        <x:f>'Raw Inputs'!CC116</x:f>
        <x:v>https://data.sec.gov/api/xbrl/companyfacts/CIK0001520006.json</x:v>
      </x:c>
      <x:c r="Q121" s="20" t="str">
        <x:f>'Raw Inputs'!CB116</x:f>
        <x:v>https://query1.finance.yahoo.com/v8/finance/chart/MTDR?period1=1704067200&amp;period2=1783728000&amp;interval=1d&amp;events=div%2Csplits</x:v>
      </x:c>
    </x:row>
  </x:sheetData>
  <x:mergeCells>
    <x:mergeCell ref="A1:Q1"/>
    <x:mergeCell ref="A2:Q2"/>
    <x:mergeCell ref="A3:Q3"/>
  </x:mergeCells>
  <x:conditionalFormatting sqref="E5:E121">
    <x:cfRule type="containsText" dxfId="1" priority="1" operator="containsText" text="only"/>
  </x:conditionalFormatting>
  <x:conditionalFormatting sqref="D5:D121">
    <x:cfRule type="colorScale" priority="2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legacyDrawing xmlns:r="http://schemas.openxmlformats.org/officeDocument/2006/relationships" r:id="Rf8d79858146f4d9f"/>
  <x:tableParts count="1">
    <x:tablePart xmlns:r="http://schemas.openxmlformats.org/officeDocument/2006/relationships" r:id="Rbb577ca5e8054d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0" hidden="0" customWidth="1"/>
    <x:col min="4" max="4" width="14" hidden="0" customWidth="1"/>
    <x:col min="5" max="5" width="11" hidden="0" customWidth="1"/>
    <x:col min="6" max="6" width="17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24" hidden="0" customWidth="1"/>
    <x:col min="13" max="13" width="13" hidden="0" customWidth="1"/>
    <x:col min="14" max="14" width="42" hidden="0" customWidth="1"/>
  </x:cols>
  <x:sheetData>
    <x:row r="1" ht="34" customHeight="1">
      <x:c r="A1" s="24" t="str">
        <x:v>Valuation Ranking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33" t="str">
        <x:v>Higher scores reward larger earnings, free-cash-flow, book and sales yields relative to price or enterprise value.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5"/>
    </x:row>
    <x:row r="3">
      <x:c r="A3" s="263" t="str">
        <x:v>Equal-weight percentile average. Financial and real-estate names use earnings yield and book-to-price only; other names also use FCF yield and sales-to-EV.</x:v>
      </x:c>
      <x:c r="B3" s="264"/>
      <x:c r="C3" s="264"/>
      <x:c r="D3" s="264"/>
      <x:c r="E3" s="264"/>
      <x:c r="F3" s="264"/>
      <x:c r="G3" s="264"/>
      <x:c r="H3" s="264"/>
      <x:c r="I3" s="264"/>
      <x:c r="J3" s="264"/>
      <x:c r="K3" s="264"/>
      <x:c r="L3" s="264"/>
      <x:c r="M3" s="264"/>
      <x:c r="N3" s="265"/>
    </x:row>
    <x:row r="4">
      <x:c r="A4" s="7" t="str">
        <x:v>Rank</x:v>
      </x:c>
      <x:c r="B4" s="7" t="str">
        <x:v>Ticker</x:v>
      </x:c>
      <x:c r="C4" s="7" t="str">
        <x:v>Company</x:v>
      </x:c>
      <x:c r="D4" s="7" t="str">
        <x:v>Valuation Score</x:v>
      </x:c>
      <x:c r="E4" s="7" t="str">
        <x:v>Price</x:v>
      </x:c>
      <x:c r="F4" s="7" t="str">
        <x:v>Market Cap</x:v>
      </x:c>
      <x:c r="G4" s="7" t="str">
        <x:v>Earnings Yield</x:v>
      </x:c>
      <x:c r="H4" s="7" t="str">
        <x:v>FCF Yield</x:v>
      </x:c>
      <x:c r="I4" s="7" t="str">
        <x:v>Book / Price</x:v>
      </x:c>
      <x:c r="J4" s="7" t="str">
        <x:v>Sales / EV</x:v>
      </x:c>
      <x:c r="K4" s="7" t="str">
        <x:v>Market Cap Source</x:v>
      </x:c>
      <x:c r="L4" s="7" t="str">
        <x:v>Sector Method</x:v>
      </x:c>
      <x:c r="M4" s="7" t="str">
        <x:v>Price Date</x:v>
      </x:c>
      <x:c r="N4" s="7" t="str">
        <x:v>Nasdaq Source</x:v>
      </x:c>
    </x:row>
    <x:row r="5">
      <x:c r="A5" s="237" t="n">
        <x:f>RANK(D5,$D$5:$D$121,0)</x:f>
        <x:v>1</x:v>
      </x:c>
      <x:c r="B5" s="236" t="str">
        <x:f>'Raw Inputs'!A25</x:f>
        <x:v>CMCSA</x:v>
      </x:c>
      <x:c r="C5" s="236" t="str">
        <x:f>'Raw Inputs'!B25</x:f>
        <x:v>Comcast Corp.</x:v>
      </x:c>
      <x:c r="D5" s="238" t="n">
        <x:f>IF(COUNT('Raw Inputs'!AQ25,'Raw Inputs'!AS25,'Raw Inputs'!AU25,'Raw Inputs'!AW25)=0,"",1+9*AVERAGE('Raw Inputs'!AQ25,'Raw Inputs'!AS25,'Raw Inputs'!AU25,'Raw Inputs'!AW25))</x:f>
        <x:v>9.824081709145426</x:v>
      </x:c>
      <x:c r="E5" s="270" t="n">
        <x:f>'Raw Inputs'!L25</x:f>
        <x:v>23.56999969482422</x:v>
      </x:c>
      <x:c r="F5" s="271" t="n">
        <x:f>'Raw Inputs'!M25</x:f>
        <x:v>84324317585</x:v>
      </x:c>
      <x:c r="G5" s="268" t="n">
        <x:f>'Raw Inputs'!AP25</x:f>
        <x:v>0.22291315884118934</x:v>
      </x:c>
      <x:c r="H5" s="268" t="n">
        <x:f>'Raw Inputs'!AR25</x:f>
        <x:v>0.2418163654801666</x:v>
      </x:c>
      <x:c r="I5" s="268" t="n">
        <x:f>'Raw Inputs'!AT25</x:f>
        <x:v>1.1491702841510758</x:v>
      </x:c>
      <x:c r="J5" s="268" t="n">
        <x:f>'Raw Inputs'!AV25</x:f>
        <x:v>1.6738702136997206</x:v>
      </x:c>
      <x:c r="K5" s="236" t="str">
        <x:f>'Raw Inputs'!N25</x:f>
        <x:v>Nasdaq screener</x:v>
      </x:c>
      <x:c r="L5" s="236" t="str">
        <x:f>IF('Raw Inputs'!AC25,"Financial / RE: E/P + B/P","Four-component")</x:f>
        <x:v>Four-component</x:v>
      </x:c>
      <x:c r="M5" s="269" t="n">
        <x:f>'Raw Inputs'!K25</x:f>
        <x:v>46213</x:v>
      </x:c>
      <x:c r="N5" s="20" t="str">
        <x:f>'Raw Inputs'!CE25</x:f>
        <x:v>https://api.nasdaq.com/api/screener/stocks?tableonly=true&amp;limit=25000&amp;download=true</x:v>
      </x:c>
    </x:row>
    <x:row r="6">
      <x:c r="A6" s="237" t="n">
        <x:f>RANK(D6,$D$5:$D$121,0)</x:f>
        <x:v>2</x:v>
      </x:c>
      <x:c r="B6" s="236" t="str">
        <x:f>'Raw Inputs'!A54</x:f>
        <x:v>WTM</x:v>
      </x:c>
      <x:c r="C6" s="236" t="str">
        <x:f>'Raw Inputs'!B54</x:f>
        <x:v>White Mountains Insurance Group Ltd.</x:v>
      </x:c>
      <x:c r="D6" s="238" t="n">
        <x:f>IF(COUNT('Raw Inputs'!AQ54,'Raw Inputs'!AS54,'Raw Inputs'!AU54,'Raw Inputs'!AW54)=0,"",1+9*AVERAGE('Raw Inputs'!AQ54,'Raw Inputs'!AS54,'Raw Inputs'!AU54,'Raw Inputs'!AW54))</x:f>
        <x:v>9.767241379310345</x:v>
      </x:c>
      <x:c r="E6" s="270" t="n">
        <x:f>'Raw Inputs'!L54</x:f>
        <x:v>2181.18994140625</x:v>
      </x:c>
      <x:c r="F6" s="271" t="n">
        <x:f>'Raw Inputs'!M54</x:f>
        <x:v>5363290802</x:v>
      </x:c>
      <x:c r="G6" s="268" t="n">
        <x:f>'Raw Inputs'!AP54</x:f>
        <x:v>0.1948989973861201</x:v>
      </x:c>
      <x:c r="H6" s="268" t="n">
        <x:f>'Raw Inputs'!AR54</x:f>
        <x:v>0</x:v>
      </x:c>
      <x:c r="I6" s="268" t="n">
        <x:f>'Raw Inputs'!AT54</x:f>
        <x:v>1.0115804270722817</x:v>
      </x:c>
      <x:c r="J6" s="268" t="n">
        <x:f>'Raw Inputs'!AV54</x:f>
        <x:v>0.5927141350877562</x:v>
      </x:c>
      <x:c r="K6" s="236" t="str">
        <x:f>'Raw Inputs'!N54</x:f>
        <x:v>Nasdaq screener</x:v>
      </x:c>
      <x:c r="L6" s="236" t="str">
        <x:f>IF('Raw Inputs'!AC54,"Financial / RE: E/P + B/P","Four-component")</x:f>
        <x:v>Financial / RE: E/P + B/P</x:v>
      </x:c>
      <x:c r="M6" s="269" t="n">
        <x:f>'Raw Inputs'!K54</x:f>
        <x:v>46213</x:v>
      </x:c>
      <x:c r="N6" s="20" t="str">
        <x:f>'Raw Inputs'!CE54</x:f>
        <x:v>https://api.nasdaq.com/api/screener/stocks?tableonly=true&amp;limit=25000&amp;download=true</x:v>
      </x:c>
    </x:row>
    <x:row r="7">
      <x:c r="A7" s="237" t="n">
        <x:f>RANK(D7,$D$5:$D$121,0)</x:f>
        <x:v>3</x:v>
      </x:c>
      <x:c r="B7" s="236" t="str">
        <x:f>'Raw Inputs'!A15</x:f>
        <x:v>EG</x:v>
      </x:c>
      <x:c r="C7" s="236" t="str">
        <x:f>'Raw Inputs'!B15</x:f>
        <x:v>Everest Group Ltd.</x:v>
      </x:c>
      <x:c r="D7" s="238" t="n">
        <x:f>IF(COUNT('Raw Inputs'!AQ15,'Raw Inputs'!AS15,'Raw Inputs'!AU15,'Raw Inputs'!AW15)=0,"",1+9*AVERAGE('Raw Inputs'!AQ15,'Raw Inputs'!AS15,'Raw Inputs'!AU15,'Raw Inputs'!AW15))</x:f>
        <x:v>9.72844827586207</x:v>
      </x:c>
      <x:c r="E7" s="270" t="n">
        <x:f>'Raw Inputs'!L15</x:f>
        <x:v>370.5799865722656</x:v>
      </x:c>
      <x:c r="F7" s="271" t="n">
        <x:f>'Raw Inputs'!M15</x:f>
        <x:v>14455506211</x:v>
      </x:c>
      <x:c r="G7" s="268" t="n">
        <x:f>'Raw Inputs'!AP15</x:f>
        <x:v>0.14070762865794462</x:v>
      </x:c>
      <x:c r="H7" s="268" t="n">
        <x:f>'Raw Inputs'!AR15</x:f>
        <x:v>0</x:v>
      </x:c>
      <x:c r="I7" s="268" t="n">
        <x:f>'Raw Inputs'!AT15</x:f>
        <x:v>1.0695578400592338</x:v>
      </x:c>
      <x:c r="J7" s="268" t="n">
        <x:f>'Raw Inputs'!AV15</x:f>
        <x:v>1.196844977094936</x:v>
      </x:c>
      <x:c r="K7" s="236" t="str">
        <x:f>'Raw Inputs'!N15</x:f>
        <x:v>Nasdaq screener</x:v>
      </x:c>
      <x:c r="L7" s="236" t="str">
        <x:f>IF('Raw Inputs'!AC15,"Financial / RE: E/P + B/P","Four-component")</x:f>
        <x:v>Financial / RE: E/P + B/P</x:v>
      </x:c>
      <x:c r="M7" s="269" t="n">
        <x:f>'Raw Inputs'!K15</x:f>
        <x:v>46213</x:v>
      </x:c>
      <x:c r="N7" s="20" t="str">
        <x:f>'Raw Inputs'!CE15</x:f>
        <x:v>https://api.nasdaq.com/api/screener/stocks?tableonly=true&amp;limit=25000&amp;download=true</x:v>
      </x:c>
    </x:row>
    <x:row r="8">
      <x:c r="A8" s="237" t="n">
        <x:f>RANK(D8,$D$5:$D$121,0)</x:f>
        <x:v>3</x:v>
      </x:c>
      <x:c r="B8" s="236" t="str">
        <x:f>'Raw Inputs'!A7</x:f>
        <x:v>RNR</x:v>
      </x:c>
      <x:c r="C8" s="236" t="str">
        <x:f>'Raw Inputs'!B7</x:f>
        <x:v>RenaissanceRe Holdings Ltd.</x:v>
      </x:c>
      <x:c r="D8" s="238" t="n">
        <x:f>IF(COUNT('Raw Inputs'!AQ7,'Raw Inputs'!AS7,'Raw Inputs'!AU7,'Raw Inputs'!AW7)=0,"",1+9*AVERAGE('Raw Inputs'!AQ7,'Raw Inputs'!AS7,'Raw Inputs'!AU7,'Raw Inputs'!AW7))</x:f>
        <x:v>9.72844827586207</x:v>
      </x:c>
      <x:c r="E8" s="270" t="n">
        <x:f>'Raw Inputs'!L7</x:f>
        <x:v>314.989990234375</x:v>
      </x:c>
      <x:c r="F8" s="271" t="n">
        <x:f>'Raw Inputs'!M7</x:f>
        <x:v>13327088617</x:v>
      </x:c>
      <x:c r="G8" s="268" t="n">
        <x:f>'Raw Inputs'!AP7</x:f>
        <x:v>0.21052775145661057</x:v>
      </x:c>
      <x:c r="H8" s="268" t="n">
        <x:f>'Raw Inputs'!AR7</x:f>
        <x:v>0</x:v>
      </x:c>
      <x:c r="I8" s="268" t="n">
        <x:f>'Raw Inputs'!AT7</x:f>
        <x:v>0.8710572379020597</x:v>
      </x:c>
      <x:c r="J8" s="268" t="n">
        <x:f>'Raw Inputs'!AV7</x:f>
        <x:v>0.8310529072550358</x:v>
      </x:c>
      <x:c r="K8" s="236" t="str">
        <x:f>'Raw Inputs'!N7</x:f>
        <x:v>Nasdaq screener</x:v>
      </x:c>
      <x:c r="L8" s="236" t="str">
        <x:f>IF('Raw Inputs'!AC7,"Financial / RE: E/P + B/P","Four-component")</x:f>
        <x:v>Financial / RE: E/P + B/P</x:v>
      </x:c>
      <x:c r="M8" s="269" t="n">
        <x:f>'Raw Inputs'!K7</x:f>
        <x:v>46213</x:v>
      </x:c>
      <x:c r="N8" s="20" t="str">
        <x:f>'Raw Inputs'!CE7</x:f>
        <x:v>https://api.nasdaq.com/api/screener/stocks?tableonly=true&amp;limit=25000&amp;download=true</x:v>
      </x:c>
    </x:row>
    <x:row r="9">
      <x:c r="A9" s="237" t="n">
        <x:f>RANK(D9,$D$5:$D$121,0)</x:f>
        <x:v>5</x:v>
      </x:c>
      <x:c r="B9" s="236" t="str">
        <x:f>'Raw Inputs'!A6</x:f>
        <x:v>AXS</x:v>
      </x:c>
      <x:c r="C9" s="236" t="str">
        <x:f>'Raw Inputs'!B6</x:f>
        <x:v>Axis Capital Holdings Ltd.</x:v>
      </x:c>
      <x:c r="D9" s="238" t="n">
        <x:f>IF(COUNT('Raw Inputs'!AQ6,'Raw Inputs'!AS6,'Raw Inputs'!AU6,'Raw Inputs'!AW6)=0,"",1+9*AVERAGE('Raw Inputs'!AQ6,'Raw Inputs'!AS6,'Raw Inputs'!AU6,'Raw Inputs'!AW6))</x:f>
        <x:v>9.301724137931034</x:v>
      </x:c>
      <x:c r="E9" s="270" t="n">
        <x:f>'Raw Inputs'!L6</x:f>
        <x:v>113.05999755859375</x:v>
      </x:c>
      <x:c r="F9" s="271" t="n">
        <x:f>'Raw Inputs'!M6</x:f>
        <x:v>8251104573</x:v>
      </x:c>
      <x:c r="G9" s="268" t="n">
        <x:f>'Raw Inputs'!AP6</x:f>
        <x:v>0.12963088645125576</x:v>
      </x:c>
      <x:c r="H9" s="268" t="n">
        <x:f>'Raw Inputs'!AR6</x:f>
        <x:v>0</x:v>
      </x:c>
      <x:c r="I9" s="268" t="n">
        <x:f>'Raw Inputs'!AT6</x:f>
        <x:v>0.7703738261662679</x:v>
      </x:c>
      <x:c r="J9" s="268" t="n">
        <x:f>'Raw Inputs'!AV6</x:f>
        <x:v>0.8996554479213728</x:v>
      </x:c>
      <x:c r="K9" s="236" t="str">
        <x:f>'Raw Inputs'!N6</x:f>
        <x:v>Nasdaq screener</x:v>
      </x:c>
      <x:c r="L9" s="236" t="str">
        <x:f>IF('Raw Inputs'!AC6,"Financial / RE: E/P + B/P","Four-component")</x:f>
        <x:v>Financial / RE: E/P + B/P</x:v>
      </x:c>
      <x:c r="M9" s="269" t="n">
        <x:f>'Raw Inputs'!K6</x:f>
        <x:v>46213</x:v>
      </x:c>
      <x:c r="N9" s="20" t="str">
        <x:f>'Raw Inputs'!CE6</x:f>
        <x:v>https://api.nasdaq.com/api/screener/stocks?tableonly=true&amp;limit=25000&amp;download=true</x:v>
      </x:c>
    </x:row>
    <x:row r="10">
      <x:c r="A10" s="237" t="n">
        <x:f>RANK(D10,$D$5:$D$121,0)</x:f>
        <x:v>6</x:v>
      </x:c>
      <x:c r="B10" s="236" t="str">
        <x:f>'Raw Inputs'!A22</x:f>
        <x:v>ACGL</x:v>
      </x:c>
      <x:c r="C10" s="236" t="str">
        <x:f>'Raw Inputs'!B22</x:f>
        <x:v>Arch Capital Group Ltd.</x:v>
      </x:c>
      <x:c r="D10" s="238" t="n">
        <x:f>IF(COUNT('Raw Inputs'!AQ22,'Raw Inputs'!AS22,'Raw Inputs'!AU22,'Raw Inputs'!AW22)=0,"",1+9*AVERAGE('Raw Inputs'!AQ22,'Raw Inputs'!AS22,'Raw Inputs'!AU22,'Raw Inputs'!AW22))</x:f>
        <x:v>9.224137931034482</x:v>
      </x:c>
      <x:c r="E10" s="270" t="n">
        <x:f>'Raw Inputs'!L22</x:f>
        <x:v>101.05999755859375</x:v>
      </x:c>
      <x:c r="F10" s="271" t="n">
        <x:f>'Raw Inputs'!M22</x:f>
        <x:v>34721883049</x:v>
      </x:c>
      <x:c r="G10" s="268" t="n">
        <x:f>'Raw Inputs'!AP22</x:f>
        <x:v>0.1403149706231245</x:v>
      </x:c>
      <x:c r="H10" s="268" t="n">
        <x:f>'Raw Inputs'!AR22</x:f>
        <x:v>0.16874084829246438</x:v>
      </x:c>
      <x:c r="I10" s="268" t="n">
        <x:f>'Raw Inputs'!AT22</x:f>
        <x:v>0.6971396097913284</x:v>
      </x:c>
      <x:c r="J10" s="268" t="n">
        <x:f>'Raw Inputs'!AV22</x:f>
        <x:v>0.5863520583017454</x:v>
      </x:c>
      <x:c r="K10" s="236" t="str">
        <x:f>'Raw Inputs'!N22</x:f>
        <x:v>Nasdaq screener</x:v>
      </x:c>
      <x:c r="L10" s="236" t="str">
        <x:f>IF('Raw Inputs'!AC22,"Financial / RE: E/P + B/P","Four-component")</x:f>
        <x:v>Financial / RE: E/P + B/P</x:v>
      </x:c>
      <x:c r="M10" s="269" t="n">
        <x:f>'Raw Inputs'!K22</x:f>
        <x:v>46213</x:v>
      </x:c>
      <x:c r="N10" s="20" t="str">
        <x:f>'Raw Inputs'!CE22</x:f>
        <x:v>https://api.nasdaq.com/api/screener/stocks?tableonly=true&amp;limit=25000&amp;download=true</x:v>
      </x:c>
    </x:row>
    <x:row r="11">
      <x:c r="A11" s="237" t="n">
        <x:f>RANK(D11,$D$5:$D$121,0)</x:f>
        <x:v>7</x:v>
      </x:c>
      <x:c r="B11" s="236" t="str">
        <x:f>'Raw Inputs'!A58</x:f>
        <x:v>CNA</x:v>
      </x:c>
      <x:c r="C11" s="236" t="str">
        <x:f>'Raw Inputs'!B58</x:f>
        <x:v>CNA Financial Corp.</x:v>
      </x:c>
      <x:c r="D11" s="238" t="n">
        <x:f>IF(COUNT('Raw Inputs'!AQ58,'Raw Inputs'!AS58,'Raw Inputs'!AU58,'Raw Inputs'!AW58)=0,"",1+9*AVERAGE('Raw Inputs'!AQ58,'Raw Inputs'!AS58,'Raw Inputs'!AU58,'Raw Inputs'!AW58))</x:f>
        <x:v>8.913793103448278</x:v>
      </x:c>
      <x:c r="E11" s="270" t="n">
        <x:f>'Raw Inputs'!L58</x:f>
        <x:v>51.29999923706055</x:v>
      </x:c>
      <x:c r="F11" s="271" t="n">
        <x:f>'Raw Inputs'!M58</x:f>
        <x:v>13656426334</x:v>
      </x:c>
      <x:c r="G11" s="268" t="n">
        <x:f>'Raw Inputs'!AP58</x:f>
        <x:v>0.08896910291787322</x:v>
      </x:c>
      <x:c r="H11" s="268" t="n">
        <x:f>'Raw Inputs'!AR58</x:f>
        <x:v>0.1584601964726565</x:v>
      </x:c>
      <x:c r="I11" s="268" t="n">
        <x:f>'Raw Inputs'!AT58</x:f>
        <x:v>0.8509546872498803</x:v>
      </x:c>
      <x:c r="J11" s="268" t="n">
        <x:f>'Raw Inputs'!AV58</x:f>
        <x:v>0.09346004419351168</x:v>
      </x:c>
      <x:c r="K11" s="236" t="str">
        <x:f>'Raw Inputs'!N58</x:f>
        <x:v>Nasdaq screener</x:v>
      </x:c>
      <x:c r="L11" s="236" t="str">
        <x:f>IF('Raw Inputs'!AC58,"Financial / RE: E/P + B/P","Four-component")</x:f>
        <x:v>Financial / RE: E/P + B/P</x:v>
      </x:c>
      <x:c r="M11" s="269" t="n">
        <x:f>'Raw Inputs'!K58</x:f>
        <x:v>46213</x:v>
      </x:c>
      <x:c r="N11" s="20" t="str">
        <x:f>'Raw Inputs'!CE58</x:f>
        <x:v>https://api.nasdaq.com/api/screener/stocks?tableonly=true&amp;limit=25000&amp;download=true</x:v>
      </x:c>
    </x:row>
    <x:row r="12">
      <x:c r="A12" s="237" t="n">
        <x:f>RANK(D12,$D$5:$D$121,0)</x:f>
        <x:v>8</x:v>
      </x:c>
      <x:c r="B12" s="236" t="str">
        <x:f>'Raw Inputs'!A20</x:f>
        <x:v>AIG</x:v>
      </x:c>
      <x:c r="C12" s="236" t="str">
        <x:f>'Raw Inputs'!B20</x:f>
        <x:v>American International Group Inc.</x:v>
      </x:c>
      <x:c r="D12" s="238" t="n">
        <x:f>IF(COUNT('Raw Inputs'!AQ20,'Raw Inputs'!AS20,'Raw Inputs'!AU20,'Raw Inputs'!AW20)=0,"",1+9*AVERAGE('Raw Inputs'!AQ20,'Raw Inputs'!AS20,'Raw Inputs'!AU20,'Raw Inputs'!AW20))</x:f>
        <x:v>8.875</x:v>
      </x:c>
      <x:c r="E12" s="270" t="n">
        <x:f>'Raw Inputs'!L20</x:f>
        <x:v>79.16999816894531</x:v>
      </x:c>
      <x:c r="F12" s="271" t="n">
        <x:f>'Raw Inputs'!M20</x:f>
        <x:v>40931920261</x:v>
      </x:c>
      <x:c r="G12" s="268" t="n">
        <x:f>'Raw Inputs'!AP20</x:f>
        <x:v>0.0772257929714528</x:v>
      </x:c>
      <x:c r="H12" s="268" t="n">
        <x:f>'Raw Inputs'!AR20</x:f>
        <x:v>0.0795955816200548</x:v>
      </x:c>
      <x:c r="I12" s="268" t="n">
        <x:f>'Raw Inputs'!AT20</x:f>
        <x:v>1.0050591259261614</x:v>
      </x:c>
      <x:c r="J12" s="268" t="n">
        <x:f>'Raw Inputs'!AV20</x:f>
        <x:v>0.5315332758201201</x:v>
      </x:c>
      <x:c r="K12" s="236" t="str">
        <x:f>'Raw Inputs'!N20</x:f>
        <x:v>Nasdaq screener</x:v>
      </x:c>
      <x:c r="L12" s="236" t="str">
        <x:f>IF('Raw Inputs'!AC20,"Financial / RE: E/P + B/P","Four-component")</x:f>
        <x:v>Financial / RE: E/P + B/P</x:v>
      </x:c>
      <x:c r="M12" s="269" t="n">
        <x:f>'Raw Inputs'!K20</x:f>
        <x:v>46213</x:v>
      </x:c>
      <x:c r="N12" s="20" t="str">
        <x:f>'Raw Inputs'!CE20</x:f>
        <x:v>https://api.nasdaq.com/api/screener/stocks?tableonly=true&amp;limit=25000&amp;download=true</x:v>
      </x:c>
    </x:row>
    <x:row r="13">
      <x:c r="A13" s="237" t="n">
        <x:f>RANK(D13,$D$5:$D$121,0)</x:f>
        <x:v>9</x:v>
      </x:c>
      <x:c r="B13" s="236" t="str">
        <x:f>'Raw Inputs'!A78</x:f>
        <x:v>T</x:v>
      </x:c>
      <x:c r="C13" s="236" t="str">
        <x:f>'Raw Inputs'!B78</x:f>
        <x:v>AT&amp;T Inc.</x:v>
      </x:c>
      <x:c r="D13" s="238" t="n">
        <x:f>IF(COUNT('Raw Inputs'!AQ78,'Raw Inputs'!AS78,'Raw Inputs'!AU78,'Raw Inputs'!AW78)=0,"",1+9*AVERAGE('Raw Inputs'!AQ78,'Raw Inputs'!AS78,'Raw Inputs'!AU78,'Raw Inputs'!AW78))</x:f>
        <x:v>8.734197901049475</x:v>
      </x:c>
      <x:c r="E13" s="270" t="n">
        <x:f>'Raw Inputs'!L78</x:f>
        <x:v>21.1299991607666</x:v>
      </x:c>
      <x:c r="F13" s="271" t="n">
        <x:f>'Raw Inputs'!M78</x:f>
        <x:v>148902901234</x:v>
      </x:c>
      <x:c r="G13" s="268" t="n">
        <x:f>'Raw Inputs'!AP78</x:f>
        <x:v>0.1439260069642385</x:v>
      </x:c>
      <x:c r="H13" s="268" t="n">
        <x:f>'Raw Inputs'!AR78</x:f>
        <x:v>0.12653883734870897</x:v>
      </x:c>
      <x:c r="I13" s="268" t="n">
        <x:f>'Raw Inputs'!AT78</x:f>
        <x:v>0.8494864703893188</x:v>
      </x:c>
      <x:c r="J13" s="268" t="n">
        <x:f>'Raw Inputs'!AV78</x:f>
        <x:v>0.47676806734495264</x:v>
      </x:c>
      <x:c r="K13" s="236" t="str">
        <x:f>'Raw Inputs'!N78</x:f>
        <x:v>Nasdaq screener</x:v>
      </x:c>
      <x:c r="L13" s="236" t="str">
        <x:f>IF('Raw Inputs'!AC78,"Financial / RE: E/P + B/P","Four-component")</x:f>
        <x:v>Four-component</x:v>
      </x:c>
      <x:c r="M13" s="269" t="n">
        <x:f>'Raw Inputs'!K78</x:f>
        <x:v>46213</x:v>
      </x:c>
      <x:c r="N13" s="20" t="str">
        <x:f>'Raw Inputs'!CE78</x:f>
        <x:v>https://api.nasdaq.com/api/screener/stocks?tableonly=true&amp;limit=25000&amp;download=true</x:v>
      </x:c>
    </x:row>
    <x:row r="14">
      <x:c r="A14" s="237" t="n">
        <x:f>RANK(D14,$D$5:$D$121,0)</x:f>
        <x:v>10</x:v>
      </x:c>
      <x:c r="B14" s="236" t="str">
        <x:f>'Raw Inputs'!A13</x:f>
        <x:v>PPC</x:v>
      </x:c>
      <x:c r="C14" s="236" t="str">
        <x:f>'Raw Inputs'!B13</x:f>
        <x:v>Pilgrim's Pride Corp.</x:v>
      </x:c>
      <x:c r="D14" s="238" t="n">
        <x:f>IF(COUNT('Raw Inputs'!AQ13,'Raw Inputs'!AS13,'Raw Inputs'!AU13,'Raw Inputs'!AW13)=0,"",1+9*AVERAGE('Raw Inputs'!AQ13,'Raw Inputs'!AS13,'Raw Inputs'!AU13,'Raw Inputs'!AW13))</x:f>
        <x:v>8.563980509745127</x:v>
      </x:c>
      <x:c r="E14" s="270" t="n">
        <x:f>'Raw Inputs'!L13</x:f>
        <x:v>28.25</x:v>
      </x:c>
      <x:c r="F14" s="271" t="n">
        <x:f>'Raw Inputs'!M13</x:f>
        <x:v>6854531120</x:v>
      </x:c>
      <x:c r="G14" s="268" t="n">
        <x:f>'Raw Inputs'!AP13</x:f>
        <x:v>0.1295127244239574</x:v>
      </x:c>
      <x:c r="H14" s="268" t="n">
        <x:f>'Raw Inputs'!AR13</x:f>
        <x:v>0.07727399449023145</x:v>
      </x:c>
      <x:c r="I14" s="268" t="n">
        <x:f>'Raw Inputs'!AT13</x:f>
        <x:v>0.5368784437001725</x:v>
      </x:c>
      <x:c r="J14" s="268" t="n">
        <x:f>'Raw Inputs'!AV13</x:f>
        <x:v>2.9873723925324143</x:v>
      </x:c>
      <x:c r="K14" s="236" t="str">
        <x:f>'Raw Inputs'!N13</x:f>
        <x:v>Nasdaq screener</x:v>
      </x:c>
      <x:c r="L14" s="236" t="str">
        <x:f>IF('Raw Inputs'!AC13,"Financial / RE: E/P + B/P","Four-component")</x:f>
        <x:v>Four-component</x:v>
      </x:c>
      <x:c r="M14" s="269" t="n">
        <x:f>'Raw Inputs'!K13</x:f>
        <x:v>46213</x:v>
      </x:c>
      <x:c r="N14" s="20" t="str">
        <x:f>'Raw Inputs'!CE13</x:f>
        <x:v>https://api.nasdaq.com/api/screener/stocks?tableonly=true&amp;limit=25000&amp;download=true</x:v>
      </x:c>
    </x:row>
    <x:row r="15">
      <x:c r="A15" s="237" t="n">
        <x:f>RANK(D15,$D$5:$D$121,0)</x:f>
        <x:v>11</x:v>
      </x:c>
      <x:c r="B15" s="236" t="str">
        <x:f>'Raw Inputs'!A26</x:f>
        <x:v>ORI</x:v>
      </x:c>
      <x:c r="C15" s="236" t="str">
        <x:f>'Raw Inputs'!B26</x:f>
        <x:v>Old Republic International Corp.</x:v>
      </x:c>
      <x:c r="D15" s="238" t="n">
        <x:f>IF(COUNT('Raw Inputs'!AQ26,'Raw Inputs'!AS26,'Raw Inputs'!AU26,'Raw Inputs'!AW26)=0,"",1+9*AVERAGE('Raw Inputs'!AQ26,'Raw Inputs'!AS26,'Raw Inputs'!AU26,'Raw Inputs'!AW26))</x:f>
        <x:v>8.487068965517242</x:v>
      </x:c>
      <x:c r="E15" s="270" t="n">
        <x:f>'Raw Inputs'!L26</x:f>
        <x:v>41.43000030517578</x:v>
      </x:c>
      <x:c r="F15" s="271" t="n">
        <x:f>'Raw Inputs'!M26</x:f>
        <x:v>9887907907</x:v>
      </x:c>
      <x:c r="G15" s="268" t="n">
        <x:f>'Raw Inputs'!AP26</x:f>
        <x:v>0.10318664065203252</x:v>
      </x:c>
      <x:c r="H15" s="268" t="n">
        <x:f>'Raw Inputs'!AR26</x:f>
        <x:v>0</x:v>
      </x:c>
      <x:c r="I15" s="268" t="n">
        <x:f>'Raw Inputs'!AT26</x:f>
        <x:v>0.5981042760130553</x:v>
      </x:c>
      <x:c r="J15" s="268" t="n">
        <x:f>'Raw Inputs'!AV26</x:f>
        <x:v>0.9528405895983433</x:v>
      </x:c>
      <x:c r="K15" s="236" t="str">
        <x:f>'Raw Inputs'!N26</x:f>
        <x:v>Nasdaq screener</x:v>
      </x:c>
      <x:c r="L15" s="236" t="str">
        <x:f>IF('Raw Inputs'!AC26,"Financial / RE: E/P + B/P","Four-component")</x:f>
        <x:v>Financial / RE: E/P + B/P</x:v>
      </x:c>
      <x:c r="M15" s="269" t="n">
        <x:f>'Raw Inputs'!K26</x:f>
        <x:v>46213</x:v>
      </x:c>
      <x:c r="N15" s="20" t="str">
        <x:f>'Raw Inputs'!CE26</x:f>
        <x:v>https://api.nasdaq.com/api/screener/stocks?tableonly=true&amp;limit=25000&amp;download=true</x:v>
      </x:c>
    </x:row>
    <x:row r="16">
      <x:c r="A16" s="237" t="n">
        <x:f>RANK(D16,$D$5:$D$121,0)</x:f>
        <x:v>12</x:v>
      </x:c>
      <x:c r="B16" s="236" t="str">
        <x:f>'Raw Inputs'!A24</x:f>
        <x:v>VZ</x:v>
      </x:c>
      <x:c r="C16" s="236" t="str">
        <x:f>'Raw Inputs'!B24</x:f>
        <x:v>Verizon Communications Inc.</x:v>
      </x:c>
      <x:c r="D16" s="238" t="n">
        <x:f>IF(COUNT('Raw Inputs'!AQ24,'Raw Inputs'!AS24,'Raw Inputs'!AU24,'Raw Inputs'!AW24)=0,"",1+9*AVERAGE('Raw Inputs'!AQ24,'Raw Inputs'!AS24,'Raw Inputs'!AU24,'Raw Inputs'!AW24))</x:f>
        <x:v>8.423785607196402</x:v>
      </x:c>
      <x:c r="E16" s="270" t="n">
        <x:f>'Raw Inputs'!L24</x:f>
        <x:v>42.119998931884766</x:v>
      </x:c>
      <x:c r="F16" s="271" t="n">
        <x:f>'Raw Inputs'!M24</x:f>
        <x:v>179444644157</x:v>
      </x:c>
      <x:c r="G16" s="268" t="n">
        <x:f>'Raw Inputs'!AP24</x:f>
        <x:v>0.09663147140144712</x:v>
      </x:c>
      <x:c r="H16" s="268" t="n">
        <x:f>'Raw Inputs'!AR24</x:f>
        <x:v>0.11354476527130825</x:v>
      </x:c>
      <x:c r="I16" s="268" t="n">
        <x:f>'Raw Inputs'!AT24</x:f>
        <x:v>0.589268074824707</x:v>
      </x:c>
      <x:c r="J16" s="268" t="n">
        <x:f>'Raw Inputs'!AV24</x:f>
        <x:v>0.8651332884742708</x:v>
      </x:c>
      <x:c r="K16" s="236" t="str">
        <x:f>'Raw Inputs'!N24</x:f>
        <x:v>Nasdaq screener</x:v>
      </x:c>
      <x:c r="L16" s="236" t="str">
        <x:f>IF('Raw Inputs'!AC24,"Financial / RE: E/P + B/P","Four-component")</x:f>
        <x:v>Four-component</x:v>
      </x:c>
      <x:c r="M16" s="269" t="n">
        <x:f>'Raw Inputs'!K24</x:f>
        <x:v>46213</x:v>
      </x:c>
      <x:c r="N16" s="20" t="str">
        <x:f>'Raw Inputs'!CE24</x:f>
        <x:v>https://api.nasdaq.com/api/screener/stocks?tableonly=true&amp;limit=25000&amp;download=true</x:v>
      </x:c>
    </x:row>
    <x:row r="17">
      <x:c r="A17" s="237" t="n">
        <x:f>RANK(D17,$D$5:$D$121,0)</x:f>
        <x:v>13</x:v>
      </x:c>
      <x:c r="B17" s="236" t="str">
        <x:f>'Raw Inputs'!A23</x:f>
        <x:v>DOX</x:v>
      </x:c>
      <x:c r="C17" s="236" t="str">
        <x:f>'Raw Inputs'!B23</x:f>
        <x:v>Amdocs Ltd.</x:v>
      </x:c>
      <x:c r="D17" s="238" t="n">
        <x:f>IF(COUNT('Raw Inputs'!AQ23,'Raw Inputs'!AS23,'Raw Inputs'!AU23,'Raw Inputs'!AW23)=0,"",1+9*AVERAGE('Raw Inputs'!AQ23,'Raw Inputs'!AS23,'Raw Inputs'!AU23,'Raw Inputs'!AW23))</x:f>
        <x:v>8.420513493253374</x:v>
      </x:c>
      <x:c r="E17" s="270" t="n">
        <x:f>'Raw Inputs'!L23</x:f>
        <x:v>51.90999984741211</x:v>
      </x:c>
      <x:c r="F17" s="271" t="n">
        <x:f>'Raw Inputs'!M23</x:f>
        <x:v>5677066256</x:v>
      </x:c>
      <x:c r="G17" s="268" t="n">
        <x:f>'Raw Inputs'!AP23</x:f>
        <x:v>0.08687532922110043</x:v>
      </x:c>
      <x:c r="H17" s="268" t="n">
        <x:f>'Raw Inputs'!AR23</x:f>
        <x:v>0.10902338850561409</x:v>
      </x:c>
      <x:c r="I17" s="268" t="n">
        <x:f>'Raw Inputs'!AT23</x:f>
        <x:v>0.6089370537725146</x:v>
      </x:c>
      <x:c r="J17" s="268" t="n">
        <x:f>'Raw Inputs'!AV23</x:f>
        <x:v>0.8373366287567009</x:v>
      </x:c>
      <x:c r="K17" s="236" t="str">
        <x:f>'Raw Inputs'!N23</x:f>
        <x:v>Nasdaq screener</x:v>
      </x:c>
      <x:c r="L17" s="236" t="str">
        <x:f>IF('Raw Inputs'!AC23,"Financial / RE: E/P + B/P","Four-component")</x:f>
        <x:v>Four-component</x:v>
      </x:c>
      <x:c r="M17" s="269" t="n">
        <x:f>'Raw Inputs'!K23</x:f>
        <x:v>46213</x:v>
      </x:c>
      <x:c r="N17" s="20" t="str">
        <x:f>'Raw Inputs'!CE23</x:f>
        <x:v>https://api.nasdaq.com/api/screener/stocks?tableonly=true&amp;limit=25000&amp;download=true</x:v>
      </x:c>
    </x:row>
    <x:row r="18">
      <x:c r="A18" s="237" t="n">
        <x:f>RANK(D18,$D$5:$D$121,0)</x:f>
        <x:v>14</x:v>
      </x:c>
      <x:c r="B18" s="236" t="str">
        <x:f>'Raw Inputs'!A4</x:f>
        <x:v>ALL</x:v>
      </x:c>
      <x:c r="C18" s="236" t="str">
        <x:f>'Raw Inputs'!B4</x:f>
        <x:v>The Allstate Corp.</x:v>
      </x:c>
      <x:c r="D18" s="238" t="n">
        <x:f>IF(COUNT('Raw Inputs'!AQ4,'Raw Inputs'!AS4,'Raw Inputs'!AU4,'Raw Inputs'!AW4)=0,"",1+9*AVERAGE('Raw Inputs'!AQ4,'Raw Inputs'!AS4,'Raw Inputs'!AU4,'Raw Inputs'!AW4))</x:f>
        <x:v>8.40948275862069</x:v>
      </x:c>
      <x:c r="E18" s="270" t="n">
        <x:f>'Raw Inputs'!L4</x:f>
        <x:v>251.61000061035156</x:v>
      </x:c>
      <x:c r="F18" s="271" t="n">
        <x:f>'Raw Inputs'!M4</x:f>
        <x:v>62056463595</x:v>
      </x:c>
      <x:c r="G18" s="268" t="n">
        <x:f>'Raw Inputs'!AP4</x:f>
        <x:v>0.19569274973926268</x:v>
      </x:c>
      <x:c r="H18" s="268" t="n">
        <x:f>'Raw Inputs'!AR4</x:f>
        <x:v>0.18583076333935913</x:v>
      </x:c>
      <x:c r="I18" s="268" t="n">
        <x:f>'Raw Inputs'!AT4</x:f>
        <x:v>0.49326046356380354</x:v>
      </x:c>
      <x:c r="J18" s="268" t="n">
        <x:f>'Raw Inputs'!AV4</x:f>
        <x:v>0.9802655156847015</x:v>
      </x:c>
      <x:c r="K18" s="236" t="str">
        <x:f>'Raw Inputs'!N4</x:f>
        <x:v>Nasdaq screener</x:v>
      </x:c>
      <x:c r="L18" s="236" t="str">
        <x:f>IF('Raw Inputs'!AC4,"Financial / RE: E/P + B/P","Four-component")</x:f>
        <x:v>Financial / RE: E/P + B/P</x:v>
      </x:c>
      <x:c r="M18" s="269" t="n">
        <x:f>'Raw Inputs'!K4</x:f>
        <x:v>46213</x:v>
      </x:c>
      <x:c r="N18" s="20" t="str">
        <x:f>'Raw Inputs'!CE4</x:f>
        <x:v>https://api.nasdaq.com/api/screener/stocks?tableonly=true&amp;limit=25000&amp;download=true</x:v>
      </x:c>
    </x:row>
    <x:row r="19">
      <x:c r="A19" s="237" t="n">
        <x:f>RANK(D19,$D$5:$D$121,0)</x:f>
        <x:v>14</x:v>
      </x:c>
      <x:c r="B19" s="236" t="str">
        <x:f>'Raw Inputs'!A67</x:f>
        <x:v>L</x:v>
      </x:c>
      <x:c r="C19" s="236" t="str">
        <x:f>'Raw Inputs'!B67</x:f>
        <x:v>Loews Corp.</x:v>
      </x:c>
      <x:c r="D19" s="238" t="n">
        <x:f>IF(COUNT('Raw Inputs'!AQ67,'Raw Inputs'!AS67,'Raw Inputs'!AU67,'Raw Inputs'!AW67)=0,"",1+9*AVERAGE('Raw Inputs'!AQ67,'Raw Inputs'!AS67,'Raw Inputs'!AU67,'Raw Inputs'!AW67))</x:f>
        <x:v>8.40948275862069</x:v>
      </x:c>
      <x:c r="E19" s="270" t="n">
        <x:f>'Raw Inputs'!L67</x:f>
        <x:v>114.98999786376953</x:v>
      </x:c>
      <x:c r="F19" s="271" t="n">
        <x:f>'Raw Inputs'!M67</x:f>
        <x:v>23272459536</x:v>
      </x:c>
      <x:c r="G19" s="268" t="n">
        <x:f>'Raw Inputs'!AP67</x:f>
        <x:v>0.07021174523785839</x:v>
      </x:c>
      <x:c r="H19" s="268" t="n">
        <x:f>'Raw Inputs'!AR67</x:f>
        <x:v>0.08293064156001634</x:v>
      </x:c>
      <x:c r="I19" s="268" t="n">
        <x:f>'Raw Inputs'!AT67</x:f>
        <x:v>0.8029232995805519</x:v>
      </x:c>
      <x:c r="J19" s="268" t="n">
        <x:f>'Raw Inputs'!AV67</x:f>
        <x:v>0.13690001244052438</x:v>
      </x:c>
      <x:c r="K19" s="236" t="str">
        <x:f>'Raw Inputs'!N67</x:f>
        <x:v>Nasdaq screener</x:v>
      </x:c>
      <x:c r="L19" s="236" t="str">
        <x:f>IF('Raw Inputs'!AC67,"Financial / RE: E/P + B/P","Four-component")</x:f>
        <x:v>Financial / RE: E/P + B/P</x:v>
      </x:c>
      <x:c r="M19" s="269" t="n">
        <x:f>'Raw Inputs'!K67</x:f>
        <x:v>46213</x:v>
      </x:c>
      <x:c r="N19" s="20" t="str">
        <x:f>'Raw Inputs'!CE67</x:f>
        <x:v>https://api.nasdaq.com/api/screener/stocks?tableonly=true&amp;limit=25000&amp;download=true</x:v>
      </x:c>
    </x:row>
    <x:row r="20">
      <x:c r="A20" s="237" t="n">
        <x:f>RANK(D20,$D$5:$D$121,0)</x:f>
        <x:v>16</x:v>
      </x:c>
      <x:c r="B20" s="236" t="str">
        <x:f>'Raw Inputs'!A77</x:f>
        <x:v>G</x:v>
      </x:c>
      <x:c r="C20" s="236" t="str">
        <x:f>'Raw Inputs'!B77</x:f>
        <x:v>Genpact Ltd.</x:v>
      </x:c>
      <x:c r="D20" s="238" t="n">
        <x:f>IF(COUNT('Raw Inputs'!AQ77,'Raw Inputs'!AS77,'Raw Inputs'!AU77,'Raw Inputs'!AW77)=0,"",1+9*AVERAGE('Raw Inputs'!AQ77,'Raw Inputs'!AS77,'Raw Inputs'!AU77,'Raw Inputs'!AW77))</x:f>
        <x:v>8.391368065967018</x:v>
      </x:c>
      <x:c r="E20" s="270" t="n">
        <x:f>'Raw Inputs'!L77</x:f>
        <x:v>29.3700008392334</x:v>
      </x:c>
      <x:c r="F20" s="271" t="n">
        <x:f>'Raw Inputs'!M77</x:f>
        <x:v>5164863360</x:v>
      </x:c>
      <x:c r="G20" s="268" t="n">
        <x:f>'Raw Inputs'!AP77</x:f>
        <x:v>0.11029004260046872</x:v>
      </x:c>
      <x:c r="H20" s="268" t="n">
        <x:f>'Raw Inputs'!AR77</x:f>
        <x:v>0.12947699743212568</x:v>
      </x:c>
      <x:c r="I20" s="268" t="n">
        <x:f>'Raw Inputs'!AT77</x:f>
        <x:v>0.4936047330398301</x:v>
      </x:c>
      <x:c r="J20" s="268" t="n">
        <x:f>'Raw Inputs'!AV77</x:f>
        <x:v>0.8817248380031084</x:v>
      </x:c>
      <x:c r="K20" s="236" t="str">
        <x:f>'Raw Inputs'!N77</x:f>
        <x:v>Nasdaq screener</x:v>
      </x:c>
      <x:c r="L20" s="236" t="str">
        <x:f>IF('Raw Inputs'!AC77,"Financial / RE: E/P + B/P","Four-component")</x:f>
        <x:v>Four-component</x:v>
      </x:c>
      <x:c r="M20" s="269" t="n">
        <x:f>'Raw Inputs'!K77</x:f>
        <x:v>46213</x:v>
      </x:c>
      <x:c r="N20" s="20" t="str">
        <x:f>'Raw Inputs'!CE77</x:f>
        <x:v>https://api.nasdaq.com/api/screener/stocks?tableonly=true&amp;limit=25000&amp;download=true</x:v>
      </x:c>
    </x:row>
    <x:row r="21">
      <x:c r="A21" s="237" t="n">
        <x:f>RANK(D21,$D$5:$D$121,0)</x:f>
        <x:v>17</x:v>
      </x:c>
      <x:c r="B21" s="236" t="str">
        <x:f>'Raw Inputs'!A46</x:f>
        <x:v>SIGI</x:v>
      </x:c>
      <x:c r="C21" s="236" t="str">
        <x:f>'Raw Inputs'!B46</x:f>
        <x:v>Selective Insurance Group Inc.</x:v>
      </x:c>
      <x:c r="D21" s="238" t="n">
        <x:f>IF(COUNT('Raw Inputs'!AQ46,'Raw Inputs'!AS46,'Raw Inputs'!AU46,'Raw Inputs'!AW46)=0,"",1+9*AVERAGE('Raw Inputs'!AQ46,'Raw Inputs'!AS46,'Raw Inputs'!AU46,'Raw Inputs'!AW46))</x:f>
        <x:v>8.370689655172413</x:v>
      </x:c>
      <x:c r="E21" s="270" t="n">
        <x:f>'Raw Inputs'!L46</x:f>
        <x:v>95.93000030517578</x:v>
      </x:c>
      <x:c r="F21" s="271" t="n">
        <x:f>'Raw Inputs'!M46</x:f>
        <x:v>5652580731</x:v>
      </x:c>
      <x:c r="G21" s="268" t="n">
        <x:f>'Raw Inputs'!AP46</x:f>
        <x:v>0.08035108592242059</x:v>
      </x:c>
      <x:c r="H21" s="268" t="n">
        <x:f>'Raw Inputs'!AR46</x:f>
        <x:v>0.20058377826996843</x:v>
      </x:c>
      <x:c r="I21" s="268" t="n">
        <x:f>'Raw Inputs'!AT46</x:f>
        <x:v>0.6384650077101216</x:v>
      </x:c>
      <x:c r="J21" s="268" t="n">
        <x:f>'Raw Inputs'!AV46</x:f>
        <x:v>0.9572029586993261</x:v>
      </x:c>
      <x:c r="K21" s="236" t="str">
        <x:f>'Raw Inputs'!N46</x:f>
        <x:v>Nasdaq screener</x:v>
      </x:c>
      <x:c r="L21" s="236" t="str">
        <x:f>IF('Raw Inputs'!AC46,"Financial / RE: E/P + B/P","Four-component")</x:f>
        <x:v>Financial / RE: E/P + B/P</x:v>
      </x:c>
      <x:c r="M21" s="269" t="n">
        <x:f>'Raw Inputs'!K46</x:f>
        <x:v>46213</x:v>
      </x:c>
      <x:c r="N21" s="20" t="str">
        <x:f>'Raw Inputs'!CE46</x:f>
        <x:v>https://api.nasdaq.com/api/screener/stocks?tableonly=true&amp;limit=25000&amp;download=true</x:v>
      </x:c>
    </x:row>
    <x:row r="22">
      <x:c r="A22" s="237" t="n">
        <x:f>RANK(D22,$D$5:$D$121,0)</x:f>
        <x:v>18</x:v>
      </x:c>
      <x:c r="B22" s="236" t="str">
        <x:f>'Raw Inputs'!A35</x:f>
        <x:v>AR</x:v>
      </x:c>
      <x:c r="C22" s="236" t="str">
        <x:f>'Raw Inputs'!B35</x:f>
        <x:v>Antero Resources Corp.</x:v>
      </x:c>
      <x:c r="D22" s="238" t="n">
        <x:f>IF(COUNT('Raw Inputs'!AQ35,'Raw Inputs'!AS35,'Raw Inputs'!AU35,'Raw Inputs'!AW35)=0,"",1+9*AVERAGE('Raw Inputs'!AQ35,'Raw Inputs'!AS35,'Raw Inputs'!AU35,'Raw Inputs'!AW35))</x:f>
        <x:v>8.292293853073463</x:v>
      </x:c>
      <x:c r="E22" s="270" t="n">
        <x:f>'Raw Inputs'!L35</x:f>
        <x:v>33.22999954223633</x:v>
      </x:c>
      <x:c r="F22" s="271" t="n">
        <x:f>'Raw Inputs'!M35</x:f>
        <x:v>10342325680</x:v>
      </x:c>
      <x:c r="G22" s="268" t="n">
        <x:f>'Raw Inputs'!AP35</x:f>
        <x:v>0.0970104820756331</x:v>
      </x:c>
      <x:c r="H22" s="268" t="n">
        <x:f>'Raw Inputs'!AR35</x:f>
        <x:v>0.09213034180915486</x:v>
      </x:c>
      <x:c r="I22" s="268" t="n">
        <x:f>'Raw Inputs'!AT35</x:f>
        <x:v>0.7300898495782043</x:v>
      </x:c>
      <x:c r="J22" s="268" t="n">
        <x:f>'Raw Inputs'!AV35</x:f>
        <x:v>0.499837411333028</x:v>
      </x:c>
      <x:c r="K22" s="236" t="str">
        <x:f>'Raw Inputs'!N35</x:f>
        <x:v>Nasdaq screener</x:v>
      </x:c>
      <x:c r="L22" s="236" t="str">
        <x:f>IF('Raw Inputs'!AC35,"Financial / RE: E/P + B/P","Four-component")</x:f>
        <x:v>Four-component</x:v>
      </x:c>
      <x:c r="M22" s="269" t="n">
        <x:f>'Raw Inputs'!K35</x:f>
        <x:v>46213</x:v>
      </x:c>
      <x:c r="N22" s="20" t="str">
        <x:f>'Raw Inputs'!CE35</x:f>
        <x:v>https://api.nasdaq.com/api/screener/stocks?tableonly=true&amp;limit=25000&amp;download=true</x:v>
      </x:c>
    </x:row>
    <x:row r="23">
      <x:c r="A23" s="237" t="n">
        <x:f>RANK(D23,$D$5:$D$121,0)</x:f>
        <x:v>19</x:v>
      </x:c>
      <x:c r="B23" s="236" t="str">
        <x:f>'Raw Inputs'!A5</x:f>
        <x:v>APA</x:v>
      </x:c>
      <x:c r="C23" s="236" t="str">
        <x:f>'Raw Inputs'!B5</x:f>
        <x:v>APA Corp.</x:v>
      </x:c>
      <x:c r="D23" s="238" t="n">
        <x:f>IF(COUNT('Raw Inputs'!AQ5,'Raw Inputs'!AS5,'Raw Inputs'!AU5,'Raw Inputs'!AW5)=0,"",1+9*AVERAGE('Raw Inputs'!AQ5,'Raw Inputs'!AS5,'Raw Inputs'!AU5,'Raw Inputs'!AW5))</x:f>
        <x:v>8.254310344827587</x:v>
      </x:c>
      <x:c r="E23" s="270" t="n">
        <x:f>'Raw Inputs'!L5</x:f>
        <x:v>33.439998626708984</x:v>
      </x:c>
      <x:c r="F23" s="271" t="n">
        <x:f>'Raw Inputs'!M5</x:f>
        <x:v>11899575192</x:v>
      </x:c>
      <x:c r="G23" s="268" t="n">
        <x:f>'Raw Inputs'!AP5</x:f>
        <x:v>0.1288281283377767</x:v>
      </x:c>
      <x:c r="H23" s="268" t="n">
        <x:f>'Raw Inputs'!AR5</x:f>
        <x:v>0</x:v>
      </x:c>
      <x:c r="I23" s="268" t="n">
        <x:f>'Raw Inputs'!AT5</x:f>
        <x:v>0.5120350854286194</x:v>
      </x:c>
      <x:c r="J23" s="268" t="n">
        <x:f>'Raw Inputs'!AV5</x:f>
        <x:v>0</x:v>
      </x:c>
      <x:c r="K23" s="236" t="str">
        <x:f>'Raw Inputs'!N5</x:f>
        <x:v>Nasdaq screener</x:v>
      </x:c>
      <x:c r="L23" s="236" t="str">
        <x:f>IF('Raw Inputs'!AC5,"Financial / RE: E/P + B/P","Four-component")</x:f>
        <x:v>Four-component</x:v>
      </x:c>
      <x:c r="M23" s="269" t="n">
        <x:f>'Raw Inputs'!K5</x:f>
        <x:v>46213</x:v>
      </x:c>
      <x:c r="N23" s="20" t="str">
        <x:f>'Raw Inputs'!CE5</x:f>
        <x:v>https://api.nasdaq.com/api/screener/stocks?tableonly=true&amp;limit=25000&amp;download=true</x:v>
      </x:c>
    </x:row>
    <x:row r="24">
      <x:c r="A24" s="237" t="n">
        <x:f>RANK(D24,$D$5:$D$121,0)</x:f>
        <x:v>20</x:v>
      </x:c>
      <x:c r="B24" s="236" t="str">
        <x:f>'Raw Inputs'!A16</x:f>
        <x:v>HIG</x:v>
      </x:c>
      <x:c r="C24" s="236" t="str">
        <x:f>'Raw Inputs'!B16</x:f>
        <x:v>The Hartford Insurance Group Inc.</x:v>
      </x:c>
      <x:c r="D24" s="238" t="n">
        <x:f>IF(COUNT('Raw Inputs'!AQ16,'Raw Inputs'!AS16,'Raw Inputs'!AU16,'Raw Inputs'!AW16)=0,"",1+9*AVERAGE('Raw Inputs'!AQ16,'Raw Inputs'!AS16,'Raw Inputs'!AU16,'Raw Inputs'!AW16))</x:f>
        <x:v>8.060344827586206</x:v>
      </x:c>
      <x:c r="E24" s="270" t="n">
        <x:f>'Raw Inputs'!L16</x:f>
        <x:v>138.77999877929688</x:v>
      </x:c>
      <x:c r="F24" s="271" t="n">
        <x:f>'Raw Inputs'!M16</x:f>
        <x:v>37147467418</x:v>
      </x:c>
      <x:c r="G24" s="268" t="n">
        <x:f>'Raw Inputs'!AP16</x:f>
        <x:v>0.10934796588667944</x:v>
      </x:c>
      <x:c r="H24" s="268" t="n">
        <x:f>'Raw Inputs'!AR16</x:f>
        <x:v>0.15667286101931913</x:v>
      </x:c>
      <x:c r="I24" s="268" t="n">
        <x:f>'Raw Inputs'!AT16</x:f>
        <x:v>0.5109096613892883</x:v>
      </x:c>
      <x:c r="J24" s="268" t="n">
        <x:f>'Raw Inputs'!AV16</x:f>
        <x:v>0.0368992425605723</x:v>
      </x:c>
      <x:c r="K24" s="236" t="str">
        <x:f>'Raw Inputs'!N16</x:f>
        <x:v>Nasdaq screener</x:v>
      </x:c>
      <x:c r="L24" s="236" t="str">
        <x:f>IF('Raw Inputs'!AC16,"Financial / RE: E/P + B/P","Four-component")</x:f>
        <x:v>Financial / RE: E/P + B/P</x:v>
      </x:c>
      <x:c r="M24" s="269" t="n">
        <x:f>'Raw Inputs'!K16</x:f>
        <x:v>46213</x:v>
      </x:c>
      <x:c r="N24" s="20" t="str">
        <x:f>'Raw Inputs'!CE16</x:f>
        <x:v>https://api.nasdaq.com/api/screener/stocks?tableonly=true&amp;limit=25000&amp;download=true</x:v>
      </x:c>
    </x:row>
    <x:row r="25">
      <x:c r="A25" s="237" t="n">
        <x:f>RANK(D25,$D$5:$D$121,0)</x:f>
        <x:v>21</x:v>
      </x:c>
      <x:c r="B25" s="236" t="str">
        <x:f>'Raw Inputs'!A41</x:f>
        <x:v>BRK-B</x:v>
      </x:c>
      <x:c r="C25" s="236" t="str">
        <x:f>'Raw Inputs'!B41</x:f>
        <x:v>Berkshire Hathaway Inc.</x:v>
      </x:c>
      <x:c r="D25" s="238" t="n">
        <x:f>IF(COUNT('Raw Inputs'!AQ41,'Raw Inputs'!AS41,'Raw Inputs'!AU41,'Raw Inputs'!AW41)=0,"",1+9*AVERAGE('Raw Inputs'!AQ41,'Raw Inputs'!AS41,'Raw Inputs'!AU41,'Raw Inputs'!AW41))</x:f>
        <x:v>8.02155172413793</x:v>
      </x:c>
      <x:c r="E25" s="270" t="n">
        <x:f>'Raw Inputs'!L41</x:f>
        <x:v>493.7099914550781</x:v>
      </x:c>
      <x:c r="F25" s="271" t="n">
        <x:f>'Raw Inputs'!M41</x:f>
        <x:v>1080893783135</x:v>
      </x:c>
      <x:c r="G25" s="268" t="n">
        <x:f>'Raw Inputs'!AP41</x:f>
        <x:v>0.06704729098339964</x:v>
      </x:c>
      <x:c r="H25" s="268" t="n">
        <x:f>'Raw Inputs'!AR41</x:f>
        <x:v>0.022085426313362806</x:v>
      </x:c>
      <x:c r="I25" s="268" t="n">
        <x:f>'Raw Inputs'!AT41</x:f>
        <x:v>0.6637275661991635</x:v>
      </x:c>
      <x:c r="J25" s="268" t="n">
        <x:f>'Raw Inputs'!AV41</x:f>
        <x:v>0.23223743527503288</x:v>
      </x:c>
      <x:c r="K25" s="236" t="str">
        <x:f>'Raw Inputs'!N41</x:f>
        <x:v>Nasdaq screener</x:v>
      </x:c>
      <x:c r="L25" s="236" t="str">
        <x:f>IF('Raw Inputs'!AC41,"Financial / RE: E/P + B/P","Four-component")</x:f>
        <x:v>Financial / RE: E/P + B/P</x:v>
      </x:c>
      <x:c r="M25" s="269" t="n">
        <x:f>'Raw Inputs'!K41</x:f>
        <x:v>46213</x:v>
      </x:c>
      <x:c r="N25" s="20" t="str">
        <x:f>'Raw Inputs'!CE41</x:f>
        <x:v>https://api.nasdaq.com/api/screener/stocks?tableonly=true&amp;limit=25000&amp;download=true</x:v>
      </x:c>
    </x:row>
    <x:row r="26">
      <x:c r="A26" s="237" t="n">
        <x:f>RANK(D26,$D$5:$D$121,0)</x:f>
        <x:v>22</x:v>
      </x:c>
      <x:c r="B26" s="236" t="str">
        <x:f>'Raw Inputs'!A38</x:f>
        <x:v>CB</x:v>
      </x:c>
      <x:c r="C26" s="236" t="str">
        <x:f>'Raw Inputs'!B38</x:f>
        <x:v>Chubb Ltd.</x:v>
      </x:c>
      <x:c r="D26" s="238" t="n">
        <x:f>IF(COUNT('Raw Inputs'!AQ38,'Raw Inputs'!AS38,'Raw Inputs'!AU38,'Raw Inputs'!AW38)=0,"",1+9*AVERAGE('Raw Inputs'!AQ38,'Raw Inputs'!AS38,'Raw Inputs'!AU38,'Raw Inputs'!AW38))</x:f>
        <x:v>7.982758620689655</x:v>
      </x:c>
      <x:c r="E26" s="270" t="n">
        <x:f>'Raw Inputs'!L38</x:f>
        <x:v>347.8299865722656</x:v>
      </x:c>
      <x:c r="F26" s="271" t="n">
        <x:f>'Raw Inputs'!M38</x:f>
        <x:v>132062487492</x:v>
      </x:c>
      <x:c r="G26" s="268" t="n">
        <x:f>'Raw Inputs'!AP38</x:f>
        <x:v>0.08555798254734875</x:v>
      </x:c>
      <x:c r="H26" s="268" t="n">
        <x:f>'Raw Inputs'!AR38</x:f>
        <x:v>0</x:v>
      </x:c>
      <x:c r="I26" s="268" t="n">
        <x:f>'Raw Inputs'!AT38</x:f>
        <x:v>0.5585007627882824</x:v>
      </x:c>
      <x:c r="J26" s="268" t="n">
        <x:f>'Raw Inputs'!AV38</x:f>
        <x:v>0.411542048694388</x:v>
      </x:c>
      <x:c r="K26" s="236" t="str">
        <x:f>'Raw Inputs'!N38</x:f>
        <x:v>Nasdaq screener</x:v>
      </x:c>
      <x:c r="L26" s="236" t="str">
        <x:f>IF('Raw Inputs'!AC38,"Financial / RE: E/P + B/P","Four-component")</x:f>
        <x:v>Financial / RE: E/P + B/P</x:v>
      </x:c>
      <x:c r="M26" s="269" t="n">
        <x:f>'Raw Inputs'!K38</x:f>
        <x:v>46213</x:v>
      </x:c>
      <x:c r="N26" s="20" t="str">
        <x:f>'Raw Inputs'!CE38</x:f>
        <x:v>https://api.nasdaq.com/api/screener/stocks?tableonly=true&amp;limit=25000&amp;download=true</x:v>
      </x:c>
    </x:row>
    <x:row r="27">
      <x:c r="A27" s="237" t="n">
        <x:f>RANK(D27,$D$5:$D$121,0)</x:f>
        <x:v>23</x:v>
      </x:c>
      <x:c r="B27" s="236" t="str">
        <x:f>'Raw Inputs'!A3</x:f>
        <x:v>RRC</x:v>
      </x:c>
      <x:c r="C27" s="236" t="str">
        <x:f>'Raw Inputs'!B3</x:f>
        <x:v>Range Resources Corp.</x:v>
      </x:c>
      <x:c r="D27" s="238" t="n">
        <x:f>IF(COUNT('Raw Inputs'!AQ3,'Raw Inputs'!AS3,'Raw Inputs'!AU3,'Raw Inputs'!AW3)=0,"",1+9*AVERAGE('Raw Inputs'!AQ3,'Raw Inputs'!AS3,'Raw Inputs'!AU3,'Raw Inputs'!AW3))</x:f>
        <x:v>7.925715892053974</x:v>
      </x:c>
      <x:c r="E27" s="270" t="n">
        <x:f>'Raw Inputs'!L3</x:f>
        <x:v>35.4900016784668</x:v>
      </x:c>
      <x:c r="F27" s="271" t="n">
        <x:f>'Raw Inputs'!M3</x:f>
        <x:v>8392864545</x:v>
      </x:c>
      <x:c r="G27" s="268" t="n">
        <x:f>'Raw Inputs'!AP3</x:f>
        <x:v>0.10754397323589833</x:v>
      </x:c>
      <x:c r="H27" s="268" t="n">
        <x:f>'Raw Inputs'!AR3</x:f>
        <x:v>0.17396515720843198</x:v>
      </x:c>
      <x:c r="I27" s="268" t="n">
        <x:f>'Raw Inputs'!AT3</x:f>
        <x:v>0.5145657929833777</x:v>
      </x:c>
      <x:c r="J27" s="268" t="n">
        <x:f>'Raw Inputs'!AV3</x:f>
        <x:v>0.3346177484453986</x:v>
      </x:c>
      <x:c r="K27" s="236" t="str">
        <x:f>'Raw Inputs'!N3</x:f>
        <x:v>Nasdaq screener</x:v>
      </x:c>
      <x:c r="L27" s="236" t="str">
        <x:f>IF('Raw Inputs'!AC3,"Financial / RE: E/P + B/P","Four-component")</x:f>
        <x:v>Four-component</x:v>
      </x:c>
      <x:c r="M27" s="269" t="n">
        <x:f>'Raw Inputs'!K3</x:f>
        <x:v>46213</x:v>
      </x:c>
      <x:c r="N27" s="20" t="str">
        <x:f>'Raw Inputs'!CE3</x:f>
        <x:v>https://api.nasdaq.com/api/screener/stocks?tableonly=true&amp;limit=25000&amp;download=true</x:v>
      </x:c>
    </x:row>
    <x:row r="28">
      <x:c r="A28" s="237" t="n">
        <x:f>RANK(D28,$D$5:$D$121,0)</x:f>
        <x:v>24</x:v>
      </x:c>
      <x:c r="B28" s="236" t="str">
        <x:f>'Raw Inputs'!A19</x:f>
        <x:v>THG</x:v>
      </x:c>
      <x:c r="C28" s="236" t="str">
        <x:f>'Raw Inputs'!B19</x:f>
        <x:v>The Hanover Insurance Group Inc.</x:v>
      </x:c>
      <x:c r="D28" s="238" t="n">
        <x:f>IF(COUNT('Raw Inputs'!AQ19,'Raw Inputs'!AS19,'Raw Inputs'!AU19,'Raw Inputs'!AW19)=0,"",1+9*AVERAGE('Raw Inputs'!AQ19,'Raw Inputs'!AS19,'Raw Inputs'!AU19,'Raw Inputs'!AW19))</x:f>
        <x:v>7.788793103448276</x:v>
      </x:c>
      <x:c r="E28" s="270" t="n">
        <x:f>'Raw Inputs'!L19</x:f>
        <x:v>213.99000549316406</x:v>
      </x:c>
      <x:c r="F28" s="271" t="n">
        <x:f>'Raw Inputs'!M19</x:f>
        <x:v>7309264606</x:v>
      </x:c>
      <x:c r="G28" s="268" t="n">
        <x:f>'Raw Inputs'!AP19</x:f>
        <x:v>0.09865561569738032</x:v>
      </x:c>
      <x:c r="H28" s="268" t="n">
        <x:f>'Raw Inputs'!AR19</x:f>
        <x:v>0.17082429865448492</x:v>
      </x:c>
      <x:c r="I28" s="268" t="n">
        <x:f>'Raw Inputs'!AT19</x:f>
        <x:v>0.4886264477370598</x:v>
      </x:c>
      <x:c r="J28" s="268" t="n">
        <x:f>'Raw Inputs'!AV19</x:f>
        <x:v>0.9520240253685478</x:v>
      </x:c>
      <x:c r="K28" s="236" t="str">
        <x:f>'Raw Inputs'!N19</x:f>
        <x:v>Nasdaq screener</x:v>
      </x:c>
      <x:c r="L28" s="236" t="str">
        <x:f>IF('Raw Inputs'!AC19,"Financial / RE: E/P + B/P","Four-component")</x:f>
        <x:v>Financial / RE: E/P + B/P</x:v>
      </x:c>
      <x:c r="M28" s="269" t="n">
        <x:f>'Raw Inputs'!K19</x:f>
        <x:v>46213</x:v>
      </x:c>
      <x:c r="N28" s="20" t="str">
        <x:f>'Raw Inputs'!CE19</x:f>
        <x:v>https://api.nasdaq.com/api/screener/stocks?tableonly=true&amp;limit=25000&amp;download=true</x:v>
      </x:c>
    </x:row>
    <x:row r="29">
      <x:c r="A29" s="237" t="n">
        <x:f>RANK(D29,$D$5:$D$121,0)</x:f>
        <x:v>25</x:v>
      </x:c>
      <x:c r="B29" s="236" t="str">
        <x:f>'Raw Inputs'!A8</x:f>
        <x:v>TRV</x:v>
      </x:c>
      <x:c r="C29" s="236" t="str">
        <x:f>'Raw Inputs'!B8</x:f>
        <x:v>The Travelers Cos. Inc.</x:v>
      </x:c>
      <x:c r="D29" s="238" t="n">
        <x:f>IF(COUNT('Raw Inputs'!AQ8,'Raw Inputs'!AS8,'Raw Inputs'!AU8,'Raw Inputs'!AW8)=0,"",1+9*AVERAGE('Raw Inputs'!AQ8,'Raw Inputs'!AS8,'Raw Inputs'!AU8,'Raw Inputs'!AW8))</x:f>
        <x:v>7.75</x:v>
      </x:c>
      <x:c r="E29" s="270" t="n">
        <x:f>'Raw Inputs'!L8</x:f>
        <x:v>338.9200134277344</x:v>
      </x:c>
      <x:c r="F29" s="271" t="n">
        <x:f>'Raw Inputs'!M8</x:f>
        <x:v>70374761148</x:v>
      </x:c>
      <x:c r="G29" s="268" t="n">
        <x:f>'Raw Inputs'!AP8</x:f>
        <x:v>0.10805010029104874</x:v>
      </x:c>
      <x:c r="H29" s="268" t="n">
        <x:f>'Raw Inputs'!AR8</x:f>
        <x:v>0</x:v>
      </x:c>
      <x:c r="I29" s="268" t="n">
        <x:f>'Raw Inputs'!AT8</x:f>
        <x:v>0.4674118883447866</x:v>
      </x:c>
      <x:c r="J29" s="268" t="n">
        <x:f>'Raw Inputs'!AV8</x:f>
        <x:v>0.6954481862762372</x:v>
      </x:c>
      <x:c r="K29" s="236" t="str">
        <x:f>'Raw Inputs'!N8</x:f>
        <x:v>Nasdaq screener</x:v>
      </x:c>
      <x:c r="L29" s="236" t="str">
        <x:f>IF('Raw Inputs'!AC8,"Financial / RE: E/P + B/P","Four-component")</x:f>
        <x:v>Financial / RE: E/P + B/P</x:v>
      </x:c>
      <x:c r="M29" s="269" t="n">
        <x:f>'Raw Inputs'!K8</x:f>
        <x:v>46213</x:v>
      </x:c>
      <x:c r="N29" s="20" t="str">
        <x:f>'Raw Inputs'!CE8</x:f>
        <x:v>https://api.nasdaq.com/api/screener/stocks?tableonly=true&amp;limit=25000&amp;download=true</x:v>
      </x:c>
    </x:row>
    <x:row r="30">
      <x:c r="A30" s="237" t="n">
        <x:f>RANK(D30,$D$5:$D$121,0)</x:f>
        <x:v>26</x:v>
      </x:c>
      <x:c r="B30" s="236" t="str">
        <x:f>'Raw Inputs'!A29</x:f>
        <x:v>DG</x:v>
      </x:c>
      <x:c r="C30" s="236" t="str">
        <x:f>'Raw Inputs'!B29</x:f>
        <x:v>Dollar General Corp.</x:v>
      </x:c>
      <x:c r="D30" s="238" t="n">
        <x:f>IF(COUNT('Raw Inputs'!AQ29,'Raw Inputs'!AS29,'Raw Inputs'!AU29,'Raw Inputs'!AW29)=0,"",1+9*AVERAGE('Raw Inputs'!AQ29,'Raw Inputs'!AS29,'Raw Inputs'!AU29,'Raw Inputs'!AW29))</x:f>
        <x:v>7.331068215892054</x:v>
      </x:c>
      <x:c r="E30" s="270" t="n">
        <x:f>'Raw Inputs'!L29</x:f>
        <x:v>118.91999816894531</x:v>
      </x:c>
      <x:c r="F30" s="271" t="n">
        <x:f>'Raw Inputs'!M29</x:f>
        <x:v>26951276530</x:v>
      </x:c>
      <x:c r="G30" s="268" t="n">
        <x:f>'Raw Inputs'!AP29</x:f>
        <x:v>0.058049569498443344</x:v>
      </x:c>
      <x:c r="H30" s="268" t="n">
        <x:f>'Raw Inputs'!AR29</x:f>
        <x:v>0.0816916407484169</x:v>
      </x:c>
      <x:c r="I30" s="268" t="n">
        <x:f>'Raw Inputs'!AT29</x:f>
        <x:v>0.3158277861356647</x:v>
      </x:c>
      <x:c r="J30" s="268" t="n">
        <x:f>'Raw Inputs'!AV29</x:f>
        <x:v>1.6687610733660612</x:v>
      </x:c>
      <x:c r="K30" s="236" t="str">
        <x:f>'Raw Inputs'!N29</x:f>
        <x:v>Nasdaq screener</x:v>
      </x:c>
      <x:c r="L30" s="236" t="str">
        <x:f>IF('Raw Inputs'!AC29,"Financial / RE: E/P + B/P","Four-component")</x:f>
        <x:v>Four-component</x:v>
      </x:c>
      <x:c r="M30" s="269" t="n">
        <x:f>'Raw Inputs'!K29</x:f>
        <x:v>46213</x:v>
      </x:c>
      <x:c r="N30" s="20" t="str">
        <x:f>'Raw Inputs'!CE29</x:f>
        <x:v>https://api.nasdaq.com/api/screener/stocks?tableonly=true&amp;limit=25000&amp;download=true</x:v>
      </x:c>
    </x:row>
    <x:row r="31">
      <x:c r="A31" s="237" t="n">
        <x:f>RANK(D31,$D$5:$D$121,0)</x:f>
        <x:v>27</x:v>
      </x:c>
      <x:c r="B31" s="236" t="str">
        <x:f>'Raw Inputs'!A10</x:f>
        <x:v>AFL</x:v>
      </x:c>
      <x:c r="C31" s="236" t="str">
        <x:f>'Raw Inputs'!B10</x:f>
        <x:v>Aflac Inc.</x:v>
      </x:c>
      <x:c r="D31" s="238" t="n">
        <x:f>IF(COUNT('Raw Inputs'!AQ10,'Raw Inputs'!AS10,'Raw Inputs'!AU10,'Raw Inputs'!AW10)=0,"",1+9*AVERAGE('Raw Inputs'!AQ10,'Raw Inputs'!AS10,'Raw Inputs'!AU10,'Raw Inputs'!AW10))</x:f>
        <x:v>7.2844827586206895</x:v>
      </x:c>
      <x:c r="E31" s="270" t="n">
        <x:f>'Raw Inputs'!L10</x:f>
        <x:v>121.91000366210938</x:v>
      </x:c>
      <x:c r="F31" s="271" t="n">
        <x:f>'Raw Inputs'!M10</x:f>
        <x:v>62144511854</x:v>
      </x:c>
      <x:c r="G31" s="268" t="n">
        <x:f>'Raw Inputs'!AP10</x:f>
        <x:v>0.07460031242809737</x:v>
      </x:c>
      <x:c r="H31" s="268" t="n">
        <x:f>'Raw Inputs'!AR10</x:f>
        <x:v>0</x:v>
      </x:c>
      <x:c r="I31" s="268" t="n">
        <x:f>'Raw Inputs'!AT10</x:f>
        <x:v>0.47453908833144764</x:v>
      </x:c>
      <x:c r="J31" s="268" t="n">
        <x:f>'Raw Inputs'!AV10</x:f>
        <x:v>0.32400998504790984</x:v>
      </x:c>
      <x:c r="K31" s="236" t="str">
        <x:f>'Raw Inputs'!N10</x:f>
        <x:v>Nasdaq screener</x:v>
      </x:c>
      <x:c r="L31" s="236" t="str">
        <x:f>IF('Raw Inputs'!AC10,"Financial / RE: E/P + B/P","Four-component")</x:f>
        <x:v>Financial / RE: E/P + B/P</x:v>
      </x:c>
      <x:c r="M31" s="269" t="n">
        <x:f>'Raw Inputs'!K10</x:f>
        <x:v>46213</x:v>
      </x:c>
      <x:c r="N31" s="20" t="str">
        <x:f>'Raw Inputs'!CE10</x:f>
        <x:v>https://api.nasdaq.com/api/screener/stocks?tableonly=true&amp;limit=25000&amp;download=true</x:v>
      </x:c>
    </x:row>
    <x:row r="32">
      <x:c r="A32" s="237" t="n">
        <x:f>RANK(D32,$D$5:$D$121,0)</x:f>
        <x:v>28</x:v>
      </x:c>
      <x:c r="B32" s="236" t="str">
        <x:f>'Raw Inputs'!A9</x:f>
        <x:v>CF</x:v>
      </x:c>
      <x:c r="C32" s="236" t="str">
        <x:f>'Raw Inputs'!B9</x:f>
        <x:v>CF Industries Holdings Inc.</x:v>
      </x:c>
      <x:c r="D32" s="238" t="n">
        <x:f>IF(COUNT('Raw Inputs'!AQ9,'Raw Inputs'!AS9,'Raw Inputs'!AU9,'Raw Inputs'!AW9)=0,"",1+9*AVERAGE('Raw Inputs'!AQ9,'Raw Inputs'!AS9,'Raw Inputs'!AU9,'Raw Inputs'!AW9))</x:f>
        <x:v>7.16284107946027</x:v>
      </x:c>
      <x:c r="E32" s="270" t="n">
        <x:f>'Raw Inputs'!L9</x:f>
        <x:v>116.91999816894531</x:v>
      </x:c>
      <x:c r="F32" s="271" t="n">
        <x:f>'Raw Inputs'!M9</x:f>
        <x:v>17596697044</x:v>
      </x:c>
      <x:c r="G32" s="268" t="n">
        <x:f>'Raw Inputs'!AP9</x:f>
        <x:v>0.12064764169613784</x:v>
      </x:c>
      <x:c r="H32" s="268" t="n">
        <x:f>'Raw Inputs'!AR9</x:f>
        <x:v>0.0921195606167873</x:v>
      </x:c>
      <x:c r="I32" s="268" t="n">
        <x:f>'Raw Inputs'!AT9</x:f>
        <x:v>0.27493796068107157</x:v>
      </x:c>
      <x:c r="J32" s="268" t="n">
        <x:f>'Raw Inputs'!AV9</x:f>
        <x:v>0.35590562289755384</x:v>
      </x:c>
      <x:c r="K32" s="236" t="str">
        <x:f>'Raw Inputs'!N9</x:f>
        <x:v>Nasdaq screener</x:v>
      </x:c>
      <x:c r="L32" s="236" t="str">
        <x:f>IF('Raw Inputs'!AC9,"Financial / RE: E/P + B/P","Four-component")</x:f>
        <x:v>Four-component</x:v>
      </x:c>
      <x:c r="M32" s="269" t="n">
        <x:f>'Raw Inputs'!K9</x:f>
        <x:v>46213</x:v>
      </x:c>
      <x:c r="N32" s="20" t="str">
        <x:f>'Raw Inputs'!CE9</x:f>
        <x:v>https://api.nasdaq.com/api/screener/stocks?tableonly=true&amp;limit=25000&amp;download=true</x:v>
      </x:c>
    </x:row>
    <x:row r="33">
      <x:c r="A33" s="237" t="n">
        <x:f>RANK(D33,$D$5:$D$121,0)</x:f>
        <x:v>29</x:v>
      </x:c>
      <x:c r="B33" s="236" t="str">
        <x:f>'Raw Inputs'!A59</x:f>
        <x:v>DLB</x:v>
      </x:c>
      <x:c r="C33" s="236" t="str">
        <x:f>'Raw Inputs'!B59</x:f>
        <x:v>Dolby Laboratories Inc.</x:v>
      </x:c>
      <x:c r="D33" s="238" t="n">
        <x:f>IF(COUNT('Raw Inputs'!AQ59,'Raw Inputs'!AS59,'Raw Inputs'!AU59,'Raw Inputs'!AW59)=0,"",1+9*AVERAGE('Raw Inputs'!AQ59,'Raw Inputs'!AS59,'Raw Inputs'!AU59,'Raw Inputs'!AW59))</x:f>
        <x:v>6.974137931034482</x:v>
      </x:c>
      <x:c r="E33" s="270" t="n">
        <x:f>'Raw Inputs'!L59</x:f>
        <x:v>49.79999923706055</x:v>
      </x:c>
      <x:c r="F33" s="271" t="n">
        <x:f>'Raw Inputs'!M59</x:f>
        <x:v>4705783231</x:v>
      </x:c>
      <x:c r="G33" s="268" t="n">
        <x:f>'Raw Inputs'!AP59</x:f>
        <x:v>0.05177565307193811</x:v>
      </x:c>
      <x:c r="H33" s="268" t="n">
        <x:f>'Raw Inputs'!AR59</x:f>
        <x:v>0.06406266187827299</x:v>
      </x:c>
      <x:c r="I33" s="268" t="n">
        <x:f>'Raw Inputs'!AT59</x:f>
        <x:v>0.557305101247236</x:v>
      </x:c>
      <x:c r="J33" s="268" t="n">
        <x:f>'Raw Inputs'!AV59</x:f>
        <x:v>0.34089495996475033</x:v>
      </x:c>
      <x:c r="K33" s="236" t="str">
        <x:f>'Raw Inputs'!N59</x:f>
        <x:v>Nasdaq screener</x:v>
      </x:c>
      <x:c r="L33" s="236" t="str">
        <x:f>IF('Raw Inputs'!AC59,"Financial / RE: E/P + B/P","Four-component")</x:f>
        <x:v>Financial / RE: E/P + B/P</x:v>
      </x:c>
      <x:c r="M33" s="269" t="n">
        <x:f>'Raw Inputs'!K59</x:f>
        <x:v>46213</x:v>
      </x:c>
      <x:c r="N33" s="20" t="str">
        <x:f>'Raw Inputs'!CE59</x:f>
        <x:v>https://api.nasdaq.com/api/screener/stocks?tableonly=true&amp;limit=25000&amp;download=true</x:v>
      </x:c>
    </x:row>
    <x:row r="34">
      <x:c r="A34" s="237" t="n">
        <x:f>RANK(D34,$D$5:$D$121,0)</x:f>
        <x:v>30</x:v>
      </x:c>
      <x:c r="B34" s="236" t="str">
        <x:f>'Raw Inputs'!A27</x:f>
        <x:v>WRB</x:v>
      </x:c>
      <x:c r="C34" s="236" t="str">
        <x:f>'Raw Inputs'!B27</x:f>
        <x:v>W. R. Berkley Corp.</x:v>
      </x:c>
      <x:c r="D34" s="238" t="n">
        <x:f>IF(COUNT('Raw Inputs'!AQ27,'Raw Inputs'!AS27,'Raw Inputs'!AU27,'Raw Inputs'!AW27)=0,"",1+9*AVERAGE('Raw Inputs'!AQ27,'Raw Inputs'!AS27,'Raw Inputs'!AU27,'Raw Inputs'!AW27))</x:f>
        <x:v>6.780172413793103</x:v>
      </x:c>
      <x:c r="E34" s="270" t="n">
        <x:f>'Raw Inputs'!L27</x:f>
        <x:v>72.19000244140625</x:v>
      </x:c>
      <x:c r="F34" s="271" t="n">
        <x:f>'Raw Inputs'!M27</x:f>
        <x:v>26411172752</x:v>
      </x:c>
      <x:c r="G34" s="268" t="n">
        <x:f>'Raw Inputs'!AP27</x:f>
        <x:v>0.07107018751592012</x:v>
      </x:c>
      <x:c r="H34" s="268" t="n">
        <x:f>'Raw Inputs'!AR27</x:f>
        <x:v>0.1304826193202282</x:v>
      </x:c>
      <x:c r="I34" s="268" t="n">
        <x:f>'Raw Inputs'!AT27</x:f>
        <x:v>0.36729978222059073</x:v>
      </x:c>
      <x:c r="J34" s="268" t="n">
        <x:f>'Raw Inputs'!AV27</x:f>
        <x:v>0.6221207723138729</x:v>
      </x:c>
      <x:c r="K34" s="236" t="str">
        <x:f>'Raw Inputs'!N27</x:f>
        <x:v>Nasdaq screener</x:v>
      </x:c>
      <x:c r="L34" s="236" t="str">
        <x:f>IF('Raw Inputs'!AC27,"Financial / RE: E/P + B/P","Four-component")</x:f>
        <x:v>Financial / RE: E/P + B/P</x:v>
      </x:c>
      <x:c r="M34" s="269" t="n">
        <x:f>'Raw Inputs'!K27</x:f>
        <x:v>46213</x:v>
      </x:c>
      <x:c r="N34" s="20" t="str">
        <x:f>'Raw Inputs'!CE27</x:f>
        <x:v>https://api.nasdaq.com/api/screener/stocks?tableonly=true&amp;limit=25000&amp;download=true</x:v>
      </x:c>
    </x:row>
    <x:row r="35">
      <x:c r="A35" s="237" t="n">
        <x:f>RANK(D35,$D$5:$D$121,0)</x:f>
        <x:v>31</x:v>
      </x:c>
      <x:c r="B35" s="236" t="str">
        <x:f>'Raw Inputs'!A107</x:f>
        <x:v>CE</x:v>
      </x:c>
      <x:c r="C35" s="236" t="str">
        <x:f>'Raw Inputs'!B107</x:f>
        <x:v>Celanese Corp.</x:v>
      </x:c>
      <x:c r="D35" s="238" t="n">
        <x:f>IF(COUNT('Raw Inputs'!AQ107,'Raw Inputs'!AS107,'Raw Inputs'!AU107,'Raw Inputs'!AW107)=0,"",1+9*AVERAGE('Raw Inputs'!AQ107,'Raw Inputs'!AS107,'Raw Inputs'!AU107,'Raw Inputs'!AW107))</x:f>
        <x:v>6.778317091454273</x:v>
      </x:c>
      <x:c r="E35" s="270" t="n">
        <x:f>'Raw Inputs'!L107</x:f>
        <x:v>46.91999816894531</x:v>
      </x:c>
      <x:c r="F35" s="271" t="n">
        <x:f>'Raw Inputs'!M107</x:f>
        <x:v>5178637944</x:v>
      </x:c>
      <x:c r="G35" s="268" t="n">
        <x:f>'Raw Inputs'!AP107</x:f>
        <x:v>-0.21144555997946785</x:v>
      </x:c>
      <x:c r="H35" s="268" t="n">
        <x:f>'Raw Inputs'!AR107</x:f>
        <x:v>0.16954264991960982</x:v>
      </x:c>
      <x:c r="I35" s="268" t="n">
        <x:f>'Raw Inputs'!AT107</x:f>
        <x:v>0.7818658195039866</x:v>
      </x:c>
      <x:c r="J35" s="268" t="n">
        <x:f>'Raw Inputs'!AV107</x:f>
        <x:v>0.5334790731916665</x:v>
      </x:c>
      <x:c r="K35" s="236" t="str">
        <x:f>'Raw Inputs'!N107</x:f>
        <x:v>Nasdaq screener</x:v>
      </x:c>
      <x:c r="L35" s="236" t="str">
        <x:f>IF('Raw Inputs'!AC107,"Financial / RE: E/P + B/P","Four-component")</x:f>
        <x:v>Four-component</x:v>
      </x:c>
      <x:c r="M35" s="269" t="n">
        <x:f>'Raw Inputs'!K107</x:f>
        <x:v>46213</x:v>
      </x:c>
      <x:c r="N35" s="20" t="str">
        <x:f>'Raw Inputs'!CE107</x:f>
        <x:v>https://api.nasdaq.com/api/screener/stocks?tableonly=true&amp;limit=25000&amp;download=true</x:v>
      </x:c>
    </x:row>
    <x:row r="36">
      <x:c r="A36" s="237" t="n">
        <x:f>RANK(D36,$D$5:$D$121,0)</x:f>
        <x:v>32</x:v>
      </x:c>
      <x:c r="B36" s="236" t="str">
        <x:f>'Raw Inputs'!A102</x:f>
        <x:v>BRO</x:v>
      </x:c>
      <x:c r="C36" s="236" t="str">
        <x:f>'Raw Inputs'!B102</x:f>
        <x:v>Brown &amp; Brown Inc.</x:v>
      </x:c>
      <x:c r="D36" s="238" t="n">
        <x:f>IF(COUNT('Raw Inputs'!AQ102,'Raw Inputs'!AS102,'Raw Inputs'!AU102,'Raw Inputs'!AW102)=0,"",1+9*AVERAGE('Raw Inputs'!AQ102,'Raw Inputs'!AS102,'Raw Inputs'!AU102,'Raw Inputs'!AW102))</x:f>
        <x:v>6.702586206896552</x:v>
      </x:c>
      <x:c r="E36" s="270" t="n">
        <x:f>'Raw Inputs'!L102</x:f>
        <x:v>67.66000366210938</x:v>
      </x:c>
      <x:c r="F36" s="271" t="n">
        <x:f>'Raw Inputs'!M102</x:f>
        <x:v>23129800670</x:v>
      </x:c>
      <x:c r="G36" s="268" t="n">
        <x:f>'Raw Inputs'!AP102</x:f>
        <x:v>0.04963293961668196</x:v>
      </x:c>
      <x:c r="H36" s="268" t="n">
        <x:f>'Raw Inputs'!AR102</x:f>
        <x:v>0.0616953003771822</x:v>
      </x:c>
      <x:c r="I36" s="268" t="n">
        <x:f>'Raw Inputs'!AT102</x:f>
        <x:v>0.5435844510457686</x:v>
      </x:c>
      <x:c r="J36" s="268" t="n">
        <x:f>'Raw Inputs'!AV102</x:f>
        <x:v>0.21571746895102098</x:v>
      </x:c>
      <x:c r="K36" s="236" t="str">
        <x:f>'Raw Inputs'!N102</x:f>
        <x:v>Nasdaq screener</x:v>
      </x:c>
      <x:c r="L36" s="236" t="str">
        <x:f>IF('Raw Inputs'!AC102,"Financial / RE: E/P + B/P","Four-component")</x:f>
        <x:v>Financial / RE: E/P + B/P</x:v>
      </x:c>
      <x:c r="M36" s="269" t="n">
        <x:f>'Raw Inputs'!K102</x:f>
        <x:v>46213</x:v>
      </x:c>
      <x:c r="N36" s="20" t="str">
        <x:f>'Raw Inputs'!CE102</x:f>
        <x:v>https://api.nasdaq.com/api/screener/stocks?tableonly=true&amp;limit=25000&amp;download=true</x:v>
      </x:c>
    </x:row>
    <x:row r="37">
      <x:c r="A37" s="237" t="n">
        <x:f>RANK(D37,$D$5:$D$121,0)</x:f>
        <x:v>33</x:v>
      </x:c>
      <x:c r="B37" s="236" t="str">
        <x:f>'Raw Inputs'!A42</x:f>
        <x:v>RLI</x:v>
      </x:c>
      <x:c r="C37" s="236" t="str">
        <x:f>'Raw Inputs'!B42</x:f>
        <x:v>RLI Corp.</x:v>
      </x:c>
      <x:c r="D37" s="238" t="n">
        <x:f>IF(COUNT('Raw Inputs'!AQ42,'Raw Inputs'!AS42,'Raw Inputs'!AU42,'Raw Inputs'!AW42)=0,"",1+9*AVERAGE('Raw Inputs'!AQ42,'Raw Inputs'!AS42,'Raw Inputs'!AU42,'Raw Inputs'!AW42))</x:f>
        <x:v>6.625</x:v>
      </x:c>
      <x:c r="E37" s="270" t="n">
        <x:f>'Raw Inputs'!L42</x:f>
        <x:v>60.650001525878906</x:v>
      </x:c>
      <x:c r="F37" s="271" t="n">
        <x:f>'Raw Inputs'!M42</x:f>
        <x:v>5422063071</x:v>
      </x:c>
      <x:c r="G37" s="268" t="n">
        <x:f>'Raw Inputs'!AP42</x:f>
        <x:v>0.0728519743919445</x:v>
      </x:c>
      <x:c r="H37" s="268" t="n">
        <x:f>'Raw Inputs'!AR42</x:f>
        <x:v>0.10106927802647835</x:v>
      </x:c>
      <x:c r="I37" s="268" t="n">
        <x:f>'Raw Inputs'!AT42</x:f>
        <x:v>0.3279556096480531</x:v>
      </x:c>
      <x:c r="J37" s="268" t="n">
        <x:f>'Raw Inputs'!AV42</x:f>
        <x:v>0.34383037201640826</x:v>
      </x:c>
      <x:c r="K37" s="236" t="str">
        <x:f>'Raw Inputs'!N42</x:f>
        <x:v>Nasdaq screener</x:v>
      </x:c>
      <x:c r="L37" s="236" t="str">
        <x:f>IF('Raw Inputs'!AC42,"Financial / RE: E/P + B/P","Four-component")</x:f>
        <x:v>Financial / RE: E/P + B/P</x:v>
      </x:c>
      <x:c r="M37" s="269" t="n">
        <x:f>'Raw Inputs'!K42</x:f>
        <x:v>46213</x:v>
      </x:c>
      <x:c r="N37" s="20" t="str">
        <x:f>'Raw Inputs'!CE42</x:f>
        <x:v>https://api.nasdaq.com/api/screener/stocks?tableonly=true&amp;limit=25000&amp;download=true</x:v>
      </x:c>
    </x:row>
    <x:row r="38">
      <x:c r="A38" s="237" t="n">
        <x:f>RANK(D38,$D$5:$D$121,0)</x:f>
        <x:v>34</x:v>
      </x:c>
      <x:c r="B38" s="236" t="str">
        <x:f>'Raw Inputs'!A50</x:f>
        <x:v>FCN</x:v>
      </x:c>
      <x:c r="C38" s="236" t="str">
        <x:f>'Raw Inputs'!B50</x:f>
        <x:v>FTI Consulting Inc.</x:v>
      </x:c>
      <x:c r="D38" s="238" t="n">
        <x:f>IF(COUNT('Raw Inputs'!AQ50,'Raw Inputs'!AS50,'Raw Inputs'!AU50,'Raw Inputs'!AW50)=0,"",1+9*AVERAGE('Raw Inputs'!AQ50,'Raw Inputs'!AS50,'Raw Inputs'!AU50,'Raw Inputs'!AW50))</x:f>
        <x:v>6.597676161919041</x:v>
      </x:c>
      <x:c r="E38" s="270" t="n">
        <x:f>'Raw Inputs'!L50</x:f>
        <x:v>156.86000061035156</x:v>
      </x:c>
      <x:c r="F38" s="271" t="n">
        <x:f>'Raw Inputs'!M50</x:f>
        <x:v>4875045354</x:v>
      </x:c>
      <x:c r="G38" s="268" t="n">
        <x:f>'Raw Inputs'!AP50</x:f>
        <x:v>0.05470267056719571</x:v>
      </x:c>
      <x:c r="H38" s="268" t="n">
        <x:f>'Raw Inputs'!AR50</x:f>
        <x:v>0.052506793560386636</x:v>
      </x:c>
      <x:c r="I38" s="268" t="n">
        <x:f>'Raw Inputs'!AT50</x:f>
        <x:v>0.35563381960692214</x:v>
      </x:c>
      <x:c r="J38" s="268" t="n">
        <x:f>'Raw Inputs'!AV50</x:f>
        <x:v>0.778684531423944</x:v>
      </x:c>
      <x:c r="K38" s="236" t="str">
        <x:f>'Raw Inputs'!N50</x:f>
        <x:v>Nasdaq screener</x:v>
      </x:c>
      <x:c r="L38" s="236" t="str">
        <x:f>IF('Raw Inputs'!AC50,"Financial / RE: E/P + B/P","Four-component")</x:f>
        <x:v>Four-component</x:v>
      </x:c>
      <x:c r="M38" s="269" t="n">
        <x:f>'Raw Inputs'!K50</x:f>
        <x:v>46213</x:v>
      </x:c>
      <x:c r="N38" s="20" t="str">
        <x:f>'Raw Inputs'!CE50</x:f>
        <x:v>https://api.nasdaq.com/api/screener/stocks?tableonly=true&amp;limit=25000&amp;download=true</x:v>
      </x:c>
    </x:row>
    <x:row r="39">
      <x:c r="A39" s="237" t="n">
        <x:f>RANK(D39,$D$5:$D$121,0)</x:f>
        <x:v>35</x:v>
      </x:c>
      <x:c r="B39" s="236" t="str">
        <x:f>'Raw Inputs'!A116</x:f>
        <x:v>MTDR</x:v>
      </x:c>
      <x:c r="C39" s="236" t="str">
        <x:f>'Raw Inputs'!B116</x:f>
        <x:v>Matador Resources Co.</x:v>
      </x:c>
      <x:c r="D39" s="238" t="n">
        <x:f>IF(COUNT('Raw Inputs'!AQ116,'Raw Inputs'!AS116,'Raw Inputs'!AU116,'Raw Inputs'!AW116)=0,"",1+9*AVERAGE('Raw Inputs'!AQ116,'Raw Inputs'!AS116,'Raw Inputs'!AU116,'Raw Inputs'!AW116))</x:f>
        <x:v>6.583440779610195</x:v>
      </x:c>
      <x:c r="E39" s="270" t="n">
        <x:f>'Raw Inputs'!L116</x:f>
        <x:v>51.34000015258789</x:v>
      </x:c>
      <x:c r="F39" s="271" t="n">
        <x:f>'Raw Inputs'!M116</x:f>
        <x:v>6446712655</x:v>
      </x:c>
      <x:c r="G39" s="268" t="n">
        <x:f>'Raw Inputs'!AP116</x:f>
        <x:v>0.07496285717421974</x:v>
      </x:c>
      <x:c r="H39" s="268" t="n">
        <x:f>'Raw Inputs'!AR116</x:f>
        <x:v>0.01079697571847182</x:v>
      </x:c>
      <x:c r="I39" s="268" t="n">
        <x:f>'Raw Inputs'!AT116</x:f>
        <x:v>0.8776784855784766</x:v>
      </x:c>
      <x:c r="J39" s="268" t="n">
        <x:f>'Raw Inputs'!AV116</x:f>
        <x:v>0.3652763269175783</x:v>
      </x:c>
      <x:c r="K39" s="236" t="str">
        <x:f>'Raw Inputs'!N116</x:f>
        <x:v>Nasdaq screener</x:v>
      </x:c>
      <x:c r="L39" s="236" t="str">
        <x:f>IF('Raw Inputs'!AC116,"Financial / RE: E/P + B/P","Four-component")</x:f>
        <x:v>Four-component</x:v>
      </x:c>
      <x:c r="M39" s="269" t="n">
        <x:f>'Raw Inputs'!K116</x:f>
        <x:v>46213</x:v>
      </x:c>
      <x:c r="N39" s="20" t="str">
        <x:f>'Raw Inputs'!CE116</x:f>
        <x:v>https://api.nasdaq.com/api/screener/stocks?tableonly=true&amp;limit=25000&amp;download=true</x:v>
      </x:c>
    </x:row>
    <x:row r="40">
      <x:c r="A40" s="237" t="n">
        <x:f>RANK(D40,$D$5:$D$121,0)</x:f>
        <x:v>36</x:v>
      </x:c>
      <x:c r="B40" s="236" t="str">
        <x:f>'Raw Inputs'!A18</x:f>
        <x:v>SFM</x:v>
      </x:c>
      <x:c r="C40" s="236" t="str">
        <x:f>'Raw Inputs'!B18</x:f>
        <x:v>Sprouts Farmers Market Inc.</x:v>
      </x:c>
      <x:c r="D40" s="238" t="n">
        <x:f>IF(COUNT('Raw Inputs'!AQ18,'Raw Inputs'!AS18,'Raw Inputs'!AU18,'Raw Inputs'!AW18)=0,"",1+9*AVERAGE('Raw Inputs'!AQ18,'Raw Inputs'!AS18,'Raw Inputs'!AU18,'Raw Inputs'!AW18))</x:f>
        <x:v>6.5323688155922035</x:v>
      </x:c>
      <x:c r="E40" s="270" t="n">
        <x:f>'Raw Inputs'!L18</x:f>
        <x:v>80.86000061035156</x:v>
      </x:c>
      <x:c r="F40" s="271" t="n">
        <x:f>'Raw Inputs'!M18</x:f>
        <x:v>6967272040</x:v>
      </x:c>
      <x:c r="G40" s="268" t="n">
        <x:f>'Raw Inputs'!AP18</x:f>
        <x:v>0.07282161469900061</x:v>
      </x:c>
      <x:c r="H40" s="268" t="n">
        <x:f>'Raw Inputs'!AR18</x:f>
        <x:v>0.05199409437728802</x:v>
      </x:c>
      <x:c r="I40" s="268" t="n">
        <x:f>'Raw Inputs'!AT18</x:f>
        <x:v>0.20138068270404438</x:v>
      </x:c>
      <x:c r="J40" s="268" t="n">
        <x:f>'Raw Inputs'!AV18</x:f>
        <x:v>1.3262168717019436</x:v>
      </x:c>
      <x:c r="K40" s="236" t="str">
        <x:f>'Raw Inputs'!N18</x:f>
        <x:v>Nasdaq screener</x:v>
      </x:c>
      <x:c r="L40" s="236" t="str">
        <x:f>IF('Raw Inputs'!AC18,"Financial / RE: E/P + B/P","Four-component")</x:f>
        <x:v>Four-component</x:v>
      </x:c>
      <x:c r="M40" s="269" t="n">
        <x:f>'Raw Inputs'!K18</x:f>
        <x:v>46213</x:v>
      </x:c>
      <x:c r="N40" s="20" t="str">
        <x:f>'Raw Inputs'!CE18</x:f>
        <x:v>https://api.nasdaq.com/api/screener/stocks?tableonly=true&amp;limit=25000&amp;download=true</x:v>
      </x:c>
    </x:row>
    <x:row r="41">
      <x:c r="A41" s="237" t="n">
        <x:f>RANK(D41,$D$5:$D$121,0)</x:f>
        <x:v>37</x:v>
      </x:c>
      <x:c r="B41" s="236" t="str">
        <x:f>'Raw Inputs'!A85</x:f>
        <x:v>CACI</x:v>
      </x:c>
      <x:c r="C41" s="236" t="str">
        <x:f>'Raw Inputs'!B85</x:f>
        <x:v>CACI International Inc.</x:v>
      </x:c>
      <x:c r="D41" s="238" t="n">
        <x:f>IF(COUNT('Raw Inputs'!AQ85,'Raw Inputs'!AS85,'Raw Inputs'!AU85,'Raw Inputs'!AW85)=0,"",1+9*AVERAGE('Raw Inputs'!AQ85,'Raw Inputs'!AS85,'Raw Inputs'!AU85,'Raw Inputs'!AW85))</x:f>
        <x:v>6.525790854572713</x:v>
      </x:c>
      <x:c r="E41" s="270" t="n">
        <x:f>'Raw Inputs'!L85</x:f>
        <x:v>486.45001220703125</x:v>
      </x:c>
      <x:c r="F41" s="271" t="n">
        <x:f>'Raw Inputs'!M85</x:f>
        <x:v>10468627613</x:v>
      </x:c>
      <x:c r="G41" s="268" t="n">
        <x:f>'Raw Inputs'!AP85</x:f>
        <x:v>0.05128781153064022</x:v>
      </x:c>
      <x:c r="H41" s="268" t="n">
        <x:f>'Raw Inputs'!AR85</x:f>
        <x:v>0.055077611059924515</x:v>
      </x:c>
      <x:c r="I41" s="268" t="n">
        <x:f>'Raw Inputs'!AT85</x:f>
        <x:v>0.37196327388362516</x:v>
      </x:c>
      <x:c r="J41" s="268" t="n">
        <x:f>'Raw Inputs'!AV85</x:f>
        <x:v>0.6899547631415028</x:v>
      </x:c>
      <x:c r="K41" s="236" t="str">
        <x:f>'Raw Inputs'!N85</x:f>
        <x:v>Nasdaq screener</x:v>
      </x:c>
      <x:c r="L41" s="236" t="str">
        <x:f>IF('Raw Inputs'!AC85,"Financial / RE: E/P + B/P","Four-component")</x:f>
        <x:v>Four-component</x:v>
      </x:c>
      <x:c r="M41" s="269" t="n">
        <x:f>'Raw Inputs'!K85</x:f>
        <x:v>46213</x:v>
      </x:c>
      <x:c r="N41" s="20" t="str">
        <x:f>'Raw Inputs'!CE85</x:f>
        <x:v>https://api.nasdaq.com/api/screener/stocks?tableonly=true&amp;limit=25000&amp;download=true</x:v>
      </x:c>
    </x:row>
    <x:row r="42">
      <x:c r="A42" s="237" t="n">
        <x:f>RANK(D42,$D$5:$D$121,0)</x:f>
        <x:v>38</x:v>
      </x:c>
      <x:c r="B42" s="236" t="str">
        <x:f>'Raw Inputs'!A11</x:f>
        <x:v>MKTX</x:v>
      </x:c>
      <x:c r="C42" s="236" t="str">
        <x:f>'Raw Inputs'!B11</x:f>
        <x:v>MarketAxess Holdings Inc.</x:v>
      </x:c>
      <x:c r="D42" s="238" t="n">
        <x:f>IF(COUNT('Raw Inputs'!AQ11,'Raw Inputs'!AS11,'Raw Inputs'!AU11,'Raw Inputs'!AW11)=0,"",1+9*AVERAGE('Raw Inputs'!AQ11,'Raw Inputs'!AS11,'Raw Inputs'!AU11,'Raw Inputs'!AW11))</x:f>
        <x:v>6.353448275862069</x:v>
      </x:c>
      <x:c r="E42" s="270" t="n">
        <x:f>'Raw Inputs'!L11</x:f>
        <x:v>113.86000061035156</x:v>
      </x:c>
      <x:c r="F42" s="271" t="n">
        <x:f>'Raw Inputs'!M11</x:f>
        <x:v>4127018980</x:v>
      </x:c>
      <x:c r="G42" s="268" t="n">
        <x:f>'Raw Inputs'!AP11</x:f>
        <x:v>0.07498002832058698</x:v>
      </x:c>
      <x:c r="H42" s="268" t="n">
        <x:f>'Raw Inputs'!AR11</x:f>
        <x:v>0.0655795384784007</x:v>
      </x:c>
      <x:c r="I42" s="268" t="n">
        <x:f>'Raw Inputs'!AT11</x:f>
        <x:v>0.2776015825350045</x:v>
      </x:c>
      <x:c r="J42" s="268" t="n">
        <x:f>'Raw Inputs'!AV11</x:f>
        <x:v>0.22759528087192504</x:v>
      </x:c>
      <x:c r="K42" s="236" t="str">
        <x:f>'Raw Inputs'!N11</x:f>
        <x:v>Nasdaq screener</x:v>
      </x:c>
      <x:c r="L42" s="236" t="str">
        <x:f>IF('Raw Inputs'!AC11,"Financial / RE: E/P + B/P","Four-component")</x:f>
        <x:v>Financial / RE: E/P + B/P</x:v>
      </x:c>
      <x:c r="M42" s="269" t="n">
        <x:f>'Raw Inputs'!K11</x:f>
        <x:v>46213</x:v>
      </x:c>
      <x:c r="N42" s="20" t="str">
        <x:f>'Raw Inputs'!CE11</x:f>
        <x:v>https://api.nasdaq.com/api/screener/stocks?tableonly=true&amp;limit=25000&amp;download=true</x:v>
      </x:c>
    </x:row>
    <x:row r="43">
      <x:c r="A43" s="237" t="n">
        <x:f>RANK(D43,$D$5:$D$121,0)</x:f>
        <x:v>39</x:v>
      </x:c>
      <x:c r="B43" s="236" t="str">
        <x:f>'Raw Inputs'!A76</x:f>
        <x:v>TMUS</x:v>
      </x:c>
      <x:c r="C43" s="236" t="str">
        <x:f>'Raw Inputs'!B76</x:f>
        <x:v>T-Mobile US Inc.</x:v>
      </x:c>
      <x:c r="D43" s="238" t="n">
        <x:f>IF(COUNT('Raw Inputs'!AQ76,'Raw Inputs'!AS76,'Raw Inputs'!AU76,'Raw Inputs'!AW76)=0,"",1+9*AVERAGE('Raw Inputs'!AQ76,'Raw Inputs'!AS76,'Raw Inputs'!AU76,'Raw Inputs'!AW76))</x:f>
        <x:v>6.285206146926537</x:v>
      </x:c>
      <x:c r="E43" s="270" t="n">
        <x:f>'Raw Inputs'!L76</x:f>
        <x:v>187.61000061035156</x:v>
      </x:c>
      <x:c r="F43" s="271" t="n">
        <x:f>'Raw Inputs'!M76</x:f>
        <x:v>204147097815</x:v>
      </x:c>
      <x:c r="G43" s="268" t="n">
        <x:f>'Raw Inputs'!AP76</x:f>
        <x:v>0.05164413363130033</x:v>
      </x:c>
      <x:c r="H43" s="268" t="n">
        <x:f>'Raw Inputs'!AR76</x:f>
        <x:v>0.08914160521885645</x:v>
      </x:c>
      <x:c r="I43" s="268" t="n">
        <x:f>'Raw Inputs'!AT76</x:f>
        <x:v>0.2900016734680711</x:v>
      </x:c>
      <x:c r="J43" s="268" t="n">
        <x:f>'Raw Inputs'!AV76</x:f>
        <x:v>0.31783748577481497</x:v>
      </x:c>
      <x:c r="K43" s="236" t="str">
        <x:f>'Raw Inputs'!N76</x:f>
        <x:v>Nasdaq screener</x:v>
      </x:c>
      <x:c r="L43" s="236" t="str">
        <x:f>IF('Raw Inputs'!AC76,"Financial / RE: E/P + B/P","Four-component")</x:f>
        <x:v>Four-component</x:v>
      </x:c>
      <x:c r="M43" s="269" t="n">
        <x:f>'Raw Inputs'!K76</x:f>
        <x:v>46213</x:v>
      </x:c>
      <x:c r="N43" s="20" t="str">
        <x:f>'Raw Inputs'!CE76</x:f>
        <x:v>https://api.nasdaq.com/api/screener/stocks?tableonly=true&amp;limit=25000&amp;download=true</x:v>
      </x:c>
    </x:row>
    <x:row r="44">
      <x:c r="A44" s="237" t="n">
        <x:f>RANK(D44,$D$5:$D$121,0)</x:f>
        <x:v>40</x:v>
      </x:c>
      <x:c r="B44" s="236" t="str">
        <x:f>'Raw Inputs'!A30</x:f>
        <x:v>PGR</x:v>
      </x:c>
      <x:c r="C44" s="236" t="str">
        <x:f>'Raw Inputs'!B30</x:f>
        <x:v>The Progressive Corp.</x:v>
      </x:c>
      <x:c r="D44" s="238" t="n">
        <x:f>IF(COUNT('Raw Inputs'!AQ30,'Raw Inputs'!AS30,'Raw Inputs'!AU30,'Raw Inputs'!AW30)=0,"",1+9*AVERAGE('Raw Inputs'!AQ30,'Raw Inputs'!AS30,'Raw Inputs'!AU30,'Raw Inputs'!AW30))</x:f>
        <x:v>6.275862068965518</x:v>
      </x:c>
      <x:c r="E44" s="270" t="n">
        <x:f>'Raw Inputs'!L30</x:f>
        <x:v>230.72000122070312</x:v>
      </x:c>
      <x:c r="F44" s="271" t="n">
        <x:f>'Raw Inputs'!M30</x:f>
        <x:v>122675597252</x:v>
      </x:c>
      <x:c r="G44" s="268" t="n">
        <x:f>'Raw Inputs'!AP30</x:f>
        <x:v>0.09422411839785481</x:v>
      </x:c>
      <x:c r="H44" s="268" t="n">
        <x:f>'Raw Inputs'!AR30</x:f>
        <x:v>0.13384895095534008</x:v>
      </x:c>
      <x:c r="I44" s="268" t="n">
        <x:f>'Raw Inputs'!AT30</x:f>
        <x:v>0.24718037392318984</x:v>
      </x:c>
      <x:c r="J44" s="268" t="n">
        <x:f>'Raw Inputs'!AV30</x:f>
        <x:v>0.7291588710691334</x:v>
      </x:c>
      <x:c r="K44" s="236" t="str">
        <x:f>'Raw Inputs'!N30</x:f>
        <x:v>Nasdaq screener</x:v>
      </x:c>
      <x:c r="L44" s="236" t="str">
        <x:f>IF('Raw Inputs'!AC30,"Financial / RE: E/P + B/P","Four-component")</x:f>
        <x:v>Financial / RE: E/P + B/P</x:v>
      </x:c>
      <x:c r="M44" s="269" t="n">
        <x:f>'Raw Inputs'!K30</x:f>
        <x:v>46213</x:v>
      </x:c>
      <x:c r="N44" s="20" t="str">
        <x:f>'Raw Inputs'!CE30</x:f>
        <x:v>https://api.nasdaq.com/api/screener/stocks?tableonly=true&amp;limit=25000&amp;download=true</x:v>
      </x:c>
    </x:row>
    <x:row r="45">
      <x:c r="A45" s="237" t="n">
        <x:f>RANK(D45,$D$5:$D$121,0)</x:f>
        <x:v>41</x:v>
      </x:c>
      <x:c r="B45" s="236" t="str">
        <x:f>'Raw Inputs'!A37</x:f>
        <x:v>BF-B</x:v>
      </x:c>
      <x:c r="C45" s="236" t="str">
        <x:f>'Raw Inputs'!B37</x:f>
        <x:v>Brown-Forman Corp.</x:v>
      </x:c>
      <x:c r="D45" s="238" t="n">
        <x:f>IF(COUNT('Raw Inputs'!AQ37,'Raw Inputs'!AS37,'Raw Inputs'!AU37,'Raw Inputs'!AW37)=0,"",1+9*AVERAGE('Raw Inputs'!AQ37,'Raw Inputs'!AS37,'Raw Inputs'!AU37,'Raw Inputs'!AW37))</x:f>
        <x:v>6.259535232383808</x:v>
      </x:c>
      <x:c r="E45" s="270" t="n">
        <x:f>'Raw Inputs'!L37</x:f>
        <x:v>26.170000076293945</x:v>
      </x:c>
      <x:c r="F45" s="271" t="n">
        <x:f>'Raw Inputs'!M37</x:f>
        <x:v>12369747766.061783</x:v>
      </x:c>
      <x:c r="G45" s="268" t="n">
        <x:f>'Raw Inputs'!AP37</x:f>
        <x:v>0.05780231040455872</x:v>
      </x:c>
      <x:c r="H45" s="268" t="n">
        <x:f>'Raw Inputs'!AR37</x:f>
        <x:v>0.07219225621156775</x:v>
      </x:c>
      <x:c r="I45" s="268" t="n">
        <x:f>'Raw Inputs'!AT37</x:f>
        <x:v>0.3249864165403162</x:v>
      </x:c>
      <x:c r="J45" s="268" t="n">
        <x:f>'Raw Inputs'!AV37</x:f>
        <x:v>0.27097601747710065</x:v>
      </x:c>
      <x:c r="K45" s="236" t="str">
        <x:f>'Raw Inputs'!N37</x:f>
        <x:v>Yahoo price x SEC shares</x:v>
      </x:c>
      <x:c r="L45" s="236" t="str">
        <x:f>IF('Raw Inputs'!AC37,"Financial / RE: E/P + B/P","Four-component")</x:f>
        <x:v>Four-component</x:v>
      </x:c>
      <x:c r="M45" s="269" t="n">
        <x:f>'Raw Inputs'!K37</x:f>
        <x:v>46213</x:v>
      </x:c>
      <x:c r="N45" s="20" t="str">
        <x:f>'Raw Inputs'!CE37</x:f>
        <x:v>https://api.nasdaq.com/api/screener/stocks?tableonly=true&amp;limit=25000&amp;download=true</x:v>
      </x:c>
    </x:row>
    <x:row r="46">
      <x:c r="A46" s="237" t="n">
        <x:f>RANK(D46,$D$5:$D$121,0)</x:f>
        <x:v>42</x:v>
      </x:c>
      <x:c r="B46" s="236" t="str">
        <x:f>'Raw Inputs'!A109</x:f>
        <x:v>EIX</x:v>
      </x:c>
      <x:c r="C46" s="236" t="str">
        <x:f>'Raw Inputs'!B109</x:f>
        <x:v>Edison International</x:v>
      </x:c>
      <x:c r="D46" s="238" t="n">
        <x:f>IF(COUNT('Raw Inputs'!AQ109,'Raw Inputs'!AS109,'Raw Inputs'!AU109,'Raw Inputs'!AW109)=0,"",1+9*AVERAGE('Raw Inputs'!AQ109,'Raw Inputs'!AS109,'Raw Inputs'!AU109,'Raw Inputs'!AW109))</x:f>
        <x:v>6.245468515742129</x:v>
      </x:c>
      <x:c r="E46" s="270" t="n">
        <x:f>'Raw Inputs'!L109</x:f>
        <x:v>75.19999694824219</x:v>
      </x:c>
      <x:c r="F46" s="271" t="n">
        <x:f>'Raw Inputs'!M109</x:f>
        <x:v>29544478790</x:v>
      </x:c>
      <x:c r="G46" s="268" t="n">
        <x:f>'Raw Inputs'!AP109</x:f>
        <x:v>0.12029320352075164</x:v>
      </x:c>
      <x:c r="H46" s="268" t="n">
        <x:f>'Raw Inputs'!AR109</x:f>
        <x:v>-0.021763795684818038</x:v>
      </x:c>
      <x:c r="I46" s="268" t="n">
        <x:f>'Raw Inputs'!AT109</x:f>
        <x:v>0.5950011887144887</x:v>
      </x:c>
      <x:c r="J46" s="268" t="n">
        <x:f>'Raw Inputs'!AV109</x:f>
        <x:v>0.29100173143893215</x:v>
      </x:c>
      <x:c r="K46" s="236" t="str">
        <x:f>'Raw Inputs'!N109</x:f>
        <x:v>Nasdaq screener</x:v>
      </x:c>
      <x:c r="L46" s="236" t="str">
        <x:f>IF('Raw Inputs'!AC109,"Financial / RE: E/P + B/P","Four-component")</x:f>
        <x:v>Four-component</x:v>
      </x:c>
      <x:c r="M46" s="269" t="n">
        <x:f>'Raw Inputs'!K109</x:f>
        <x:v>46213</x:v>
      </x:c>
      <x:c r="N46" s="20" t="str">
        <x:f>'Raw Inputs'!CE109</x:f>
        <x:v>https://api.nasdaq.com/api/screener/stocks?tableonly=true&amp;limit=25000&amp;download=true</x:v>
      </x:c>
    </x:row>
    <x:row r="47">
      <x:c r="A47" s="237" t="n">
        <x:f>RANK(D47,$D$5:$D$121,0)</x:f>
        <x:v>43</x:v>
      </x:c>
      <x:c r="B47" s="236" t="str">
        <x:f>'Raw Inputs'!A51</x:f>
        <x:v>INTU</x:v>
      </x:c>
      <x:c r="C47" s="236" t="str">
        <x:f>'Raw Inputs'!B51</x:f>
        <x:v>Intuit Inc.</x:v>
      </x:c>
      <x:c r="D47" s="238" t="n">
        <x:f>IF(COUNT('Raw Inputs'!AQ51,'Raw Inputs'!AS51,'Raw Inputs'!AU51,'Raw Inputs'!AW51)=0,"",1+9*AVERAGE('Raw Inputs'!AQ51,'Raw Inputs'!AS51,'Raw Inputs'!AU51,'Raw Inputs'!AW51))</x:f>
        <x:v>6.215412293853074</x:v>
      </x:c>
      <x:c r="E47" s="270" t="n">
        <x:f>'Raw Inputs'!L51</x:f>
        <x:v>274.9599914550781</x:v>
      </x:c>
      <x:c r="F47" s="271" t="n">
        <x:f>'Raw Inputs'!M51</x:f>
        <x:v>77575093200</x:v>
      </x:c>
      <x:c r="G47" s="268" t="n">
        <x:f>'Raw Inputs'!AP51</x:f>
        <x:v>0.059091131069372665</x:v>
      </x:c>
      <x:c r="H47" s="268" t="n">
        <x:f>'Raw Inputs'!AR51</x:f>
        <x:v>0.09996765301984839</x:v>
      </x:c>
      <x:c r="I47" s="268" t="n">
        <x:f>'Raw Inputs'!AT51</x:f>
        <x:v>0.25407639471582355</x:v>
      </x:c>
      <x:c r="J47" s="268" t="n">
        <x:f>'Raw Inputs'!AV51</x:f>
        <x:v>0.2594091022398055</x:v>
      </x:c>
      <x:c r="K47" s="236" t="str">
        <x:f>'Raw Inputs'!N51</x:f>
        <x:v>Nasdaq screener</x:v>
      </x:c>
      <x:c r="L47" s="236" t="str">
        <x:f>IF('Raw Inputs'!AC51,"Financial / RE: E/P + B/P","Four-component")</x:f>
        <x:v>Four-component</x:v>
      </x:c>
      <x:c r="M47" s="269" t="n">
        <x:f>'Raw Inputs'!K51</x:f>
        <x:v>46213</x:v>
      </x:c>
      <x:c r="N47" s="20" t="str">
        <x:f>'Raw Inputs'!CE51</x:f>
        <x:v>https://api.nasdaq.com/api/screener/stocks?tableonly=true&amp;limit=25000&amp;download=true</x:v>
      </x:c>
    </x:row>
    <x:row r="48">
      <x:c r="A48" s="237" t="n">
        <x:f>RANK(D48,$D$5:$D$121,0)</x:f>
        <x:v>44</x:v>
      </x:c>
      <x:c r="B48" s="236" t="str">
        <x:f>'Raw Inputs'!A40</x:f>
        <x:v>REGN</x:v>
      </x:c>
      <x:c r="C48" s="236" t="str">
        <x:f>'Raw Inputs'!B40</x:f>
        <x:v>Regeneron Pharmaceuticals Inc.</x:v>
      </x:c>
      <x:c r="D48" s="238" t="n">
        <x:f>IF(COUNT('Raw Inputs'!AQ40,'Raw Inputs'!AS40,'Raw Inputs'!AU40,'Raw Inputs'!AW40)=0,"",1+9*AVERAGE('Raw Inputs'!AQ40,'Raw Inputs'!AS40,'Raw Inputs'!AU40,'Raw Inputs'!AW40))</x:f>
        <x:v>6.126053223388306</x:v>
      </x:c>
      <x:c r="E48" s="270" t="n">
        <x:f>'Raw Inputs'!L40</x:f>
        <x:v>664.52001953125</x:v>
      </x:c>
      <x:c r="F48" s="271" t="n">
        <x:f>'Raw Inputs'!M40</x:f>
        <x:v>69986344202</x:v>
      </x:c>
      <x:c r="G48" s="268" t="n">
        <x:f>'Raw Inputs'!AP40</x:f>
        <x:v>0.06320375853942078</x:v>
      </x:c>
      <x:c r="H48" s="268" t="n">
        <x:f>'Raw Inputs'!AR40</x:f>
        <x:v>0.058768607603345326</x:v>
      </x:c>
      <x:c r="I48" s="268" t="n">
        <x:f>'Raw Inputs'!AT40</x:f>
        <x:v>0.44661426963214307</x:v>
      </x:c>
      <x:c r="J48" s="268" t="n">
        <x:f>'Raw Inputs'!AV40</x:f>
        <x:v>0.2166841251592614</x:v>
      </x:c>
      <x:c r="K48" s="236" t="str">
        <x:f>'Raw Inputs'!N40</x:f>
        <x:v>Nasdaq screener</x:v>
      </x:c>
      <x:c r="L48" s="236" t="str">
        <x:f>IF('Raw Inputs'!AC40,"Financial / RE: E/P + B/P","Four-component")</x:f>
        <x:v>Four-component</x:v>
      </x:c>
      <x:c r="M48" s="269" t="n">
        <x:f>'Raw Inputs'!K40</x:f>
        <x:v>46213</x:v>
      </x:c>
      <x:c r="N48" s="20" t="str">
        <x:f>'Raw Inputs'!CE40</x:f>
        <x:v>https://api.nasdaq.com/api/screener/stocks?tableonly=true&amp;limit=25000&amp;download=true</x:v>
      </x:c>
    </x:row>
    <x:row r="49">
      <x:c r="A49" s="237" t="n">
        <x:f>RANK(D49,$D$5:$D$121,0)</x:f>
        <x:v>45</x:v>
      </x:c>
      <x:c r="B49" s="236" t="str">
        <x:f>'Raw Inputs'!A71</x:f>
        <x:v>ROP</x:v>
      </x:c>
      <x:c r="C49" s="236" t="str">
        <x:f>'Raw Inputs'!B71</x:f>
        <x:v>Roper Technologies Inc.</x:v>
      </x:c>
      <x:c r="D49" s="238" t="n">
        <x:f>IF(COUNT('Raw Inputs'!AQ71,'Raw Inputs'!AS71,'Raw Inputs'!AU71,'Raw Inputs'!AW71)=0,"",1+9*AVERAGE('Raw Inputs'!AQ71,'Raw Inputs'!AS71,'Raw Inputs'!AU71,'Raw Inputs'!AW71))</x:f>
        <x:v>6.055483508245877</x:v>
      </x:c>
      <x:c r="E49" s="270" t="n">
        <x:f>'Raw Inputs'!L71</x:f>
        <x:v>355.8999938964844</x:v>
      </x:c>
      <x:c r="F49" s="271" t="n">
        <x:f>'Raw Inputs'!M71</x:f>
        <x:v>35371534330</x:v>
      </x:c>
      <x:c r="G49" s="268" t="n">
        <x:f>'Raw Inputs'!AP71</x:f>
        <x:v>0.048459871262813835</x:v>
      </x:c>
      <x:c r="H49" s="268" t="n">
        <x:f>'Raw Inputs'!AR71</x:f>
        <x:v>0.07199574596457715</x:v>
      </x:c>
      <x:c r="I49" s="268" t="n">
        <x:f>'Raw Inputs'!AT71</x:f>
        <x:v>0.5620762677274566</x:v>
      </x:c>
      <x:c r="J49" s="268" t="n">
        <x:f>'Raw Inputs'!AV71</x:f>
        <x:v>0.18287268585266725</x:v>
      </x:c>
      <x:c r="K49" s="236" t="str">
        <x:f>'Raw Inputs'!N71</x:f>
        <x:v>Nasdaq screener</x:v>
      </x:c>
      <x:c r="L49" s="236" t="str">
        <x:f>IF('Raw Inputs'!AC71,"Financial / RE: E/P + B/P","Four-component")</x:f>
        <x:v>Four-component</x:v>
      </x:c>
      <x:c r="M49" s="269" t="n">
        <x:f>'Raw Inputs'!K71</x:f>
        <x:v>46213</x:v>
      </x:c>
      <x:c r="N49" s="20" t="str">
        <x:f>'Raw Inputs'!CE71</x:f>
        <x:v>https://api.nasdaq.com/api/screener/stocks?tableonly=true&amp;limit=25000&amp;download=true</x:v>
      </x:c>
    </x:row>
    <x:row r="50">
      <x:c r="A50" s="237" t="n">
        <x:f>RANK(D50,$D$5:$D$121,0)</x:f>
        <x:v>46</x:v>
      </x:c>
      <x:c r="B50" s="236" t="str">
        <x:f>'Raw Inputs'!A66</x:f>
        <x:v>ACI</x:v>
      </x:c>
      <x:c r="C50" s="236" t="str">
        <x:f>'Raw Inputs'!B66</x:f>
        <x:v>Albertsons Cos. Inc.</x:v>
      </x:c>
      <x:c r="D50" s="238" t="n">
        <x:f>IF(COUNT('Raw Inputs'!AQ66,'Raw Inputs'!AS66,'Raw Inputs'!AU66,'Raw Inputs'!AW66)=0,"",1+9*AVERAGE('Raw Inputs'!AQ66,'Raw Inputs'!AS66,'Raw Inputs'!AU66,'Raw Inputs'!AW66))</x:f>
        <x:v>6.033793103448276</x:v>
      </x:c>
      <x:c r="E50" s="270" t="n">
        <x:f>'Raw Inputs'!L66</x:f>
        <x:v>14.760000228881836</x:v>
      </x:c>
      <x:c r="F50" s="271" t="n">
        <x:f>'Raw Inputs'!M66</x:f>
        <x:v>7316642987</x:v>
      </x:c>
      <x:c r="G50" s="268" t="n">
        <x:f>'Raw Inputs'!AP66</x:f>
        <x:v>0.029713080218109596</x:v>
      </x:c>
      <x:c r="H50" s="268" t="n">
        <x:f>'Raw Inputs'!AR66</x:f>
        <x:v>0.07206857037262737</x:v>
      </x:c>
      <x:c r="I50" s="268" t="n">
        <x:f>'Raw Inputs'!AT66</x:f>
        <x:v>0.25096208784035345</x:v>
      </x:c>
      <x:c r="J50" s="268" t="n">
        <x:f>'Raw Inputs'!AV66</x:f>
        <x:v>11.684742583305784</x:v>
      </x:c>
      <x:c r="K50" s="236" t="str">
        <x:f>'Raw Inputs'!N66</x:f>
        <x:v>Nasdaq screener</x:v>
      </x:c>
      <x:c r="L50" s="236" t="str">
        <x:f>IF('Raw Inputs'!AC66,"Financial / RE: E/P + B/P","Four-component")</x:f>
        <x:v>Four-component</x:v>
      </x:c>
      <x:c r="M50" s="269" t="n">
        <x:f>'Raw Inputs'!K66</x:f>
        <x:v>46213</x:v>
      </x:c>
      <x:c r="N50" s="20" t="str">
        <x:f>'Raw Inputs'!CE66</x:f>
        <x:v>https://api.nasdaq.com/api/screener/stocks?tableonly=true&amp;limit=25000&amp;download=true</x:v>
      </x:c>
    </x:row>
    <x:row r="51">
      <x:c r="A51" s="237" t="n">
        <x:f>RANK(D51,$D$5:$D$121,0)</x:f>
        <x:v>47</x:v>
      </x:c>
      <x:c r="B51" s="236" t="str">
        <x:f>'Raw Inputs'!A17</x:f>
        <x:v>GD</x:v>
      </x:c>
      <x:c r="C51" s="236" t="str">
        <x:f>'Raw Inputs'!B17</x:f>
        <x:v>General Dynamics Corp.</x:v>
      </x:c>
      <x:c r="D51" s="238" t="n">
        <x:f>IF(COUNT('Raw Inputs'!AQ17,'Raw Inputs'!AS17,'Raw Inputs'!AU17,'Raw Inputs'!AW17)=0,"",1+9*AVERAGE('Raw Inputs'!AQ17,'Raw Inputs'!AS17,'Raw Inputs'!AU17,'Raw Inputs'!AW17))</x:f>
        <x:v>5.892721139430285</x:v>
      </x:c>
      <x:c r="E51" s="270" t="n">
        <x:f>'Raw Inputs'!L17</x:f>
        <x:v>375.05999755859375</x:v>
      </x:c>
      <x:c r="F51" s="271" t="n">
        <x:f>'Raw Inputs'!M17</x:f>
        <x:v>99485857194</x:v>
      </x:c>
      <x:c r="G51" s="268" t="n">
        <x:f>'Raw Inputs'!AP17</x:f>
        <x:v>0.04363434283462962</x:v>
      </x:c>
      <x:c r="H51" s="268" t="n">
        <x:f>'Raw Inputs'!AR17</x:f>
        <x:v>0.06233046761518966</x:v>
      </x:c>
      <x:c r="I51" s="268" t="n">
        <x:f>'Raw Inputs'!AT17</x:f>
        <x:v>0.2575441446922092</x:v>
      </x:c>
      <x:c r="J51" s="268" t="n">
        <x:f>'Raw Inputs'!AV17</x:f>
        <x:v>0.5113523432596456</x:v>
      </x:c>
      <x:c r="K51" s="236" t="str">
        <x:f>'Raw Inputs'!N17</x:f>
        <x:v>Nasdaq screener</x:v>
      </x:c>
      <x:c r="L51" s="236" t="str">
        <x:f>IF('Raw Inputs'!AC17,"Financial / RE: E/P + B/P","Four-component")</x:f>
        <x:v>Four-component</x:v>
      </x:c>
      <x:c r="M51" s="269" t="n">
        <x:f>'Raw Inputs'!K17</x:f>
        <x:v>46213</x:v>
      </x:c>
      <x:c r="N51" s="20" t="str">
        <x:f>'Raw Inputs'!CE17</x:f>
        <x:v>https://api.nasdaq.com/api/screener/stocks?tableonly=true&amp;limit=25000&amp;download=true</x:v>
      </x:c>
    </x:row>
    <x:row r="52">
      <x:c r="A52" s="237" t="n">
        <x:f>RANK(D52,$D$5:$D$121,0)</x:f>
        <x:v>48</x:v>
      </x:c>
      <x:c r="B52" s="236" t="str">
        <x:f>'Raw Inputs'!A44</x:f>
        <x:v>LYB</x:v>
      </x:c>
      <x:c r="C52" s="236" t="str">
        <x:f>'Raw Inputs'!B44</x:f>
        <x:v>LyondellBasell Industries NV</x:v>
      </x:c>
      <x:c r="D52" s="238" t="n">
        <x:f>IF(COUNT('Raw Inputs'!AQ44,'Raw Inputs'!AS44,'Raw Inputs'!AU44,'Raw Inputs'!AW44)=0,"",1+9*AVERAGE('Raw Inputs'!AQ44,'Raw Inputs'!AS44,'Raw Inputs'!AU44,'Raw Inputs'!AW44))</x:f>
        <x:v>5.8807121439280365</x:v>
      </x:c>
      <x:c r="E52" s="270" t="n">
        <x:f>'Raw Inputs'!L44</x:f>
        <x:v>56.349998474121094</x:v>
      </x:c>
      <x:c r="F52" s="271" t="n">
        <x:f>'Raw Inputs'!M44</x:f>
        <x:v>18602086468</x:v>
      </x:c>
      <x:c r="G52" s="268" t="n">
        <x:f>'Raw Inputs'!AP44</x:f>
        <x:v>-0.04246835436223712</x:v>
      </x:c>
      <x:c r="H52" s="268" t="n">
        <x:f>'Raw Inputs'!AR44</x:f>
        <x:v>0.04881172881128014</x:v>
      </x:c>
      <x:c r="I52" s="268" t="n">
        <x:f>'Raw Inputs'!AT44</x:f>
        <x:v>0.5419822135190819</x:v>
      </x:c>
      <x:c r="J52" s="268" t="n">
        <x:f>'Raw Inputs'!AV44</x:f>
        <x:v>1.9286859428263825</x:v>
      </x:c>
      <x:c r="K52" s="236" t="str">
        <x:f>'Raw Inputs'!N44</x:f>
        <x:v>Nasdaq screener</x:v>
      </x:c>
      <x:c r="L52" s="236" t="str">
        <x:f>IF('Raw Inputs'!AC44,"Financial / RE: E/P + B/P","Four-component")</x:f>
        <x:v>Four-component</x:v>
      </x:c>
      <x:c r="M52" s="269" t="n">
        <x:f>'Raw Inputs'!K44</x:f>
        <x:v>46213</x:v>
      </x:c>
      <x:c r="N52" s="20" t="str">
        <x:f>'Raw Inputs'!CE44</x:f>
        <x:v>https://api.nasdaq.com/api/screener/stocks?tableonly=true&amp;limit=25000&amp;download=true</x:v>
      </x:c>
    </x:row>
    <x:row r="53">
      <x:c r="A53" s="237" t="n">
        <x:f>RANK(D53,$D$5:$D$121,0)</x:f>
        <x:v>49</x:v>
      </x:c>
      <x:c r="B53" s="236" t="str">
        <x:f>'Raw Inputs'!A94</x:f>
        <x:v>PR</x:v>
      </x:c>
      <x:c r="C53" s="236" t="str">
        <x:f>'Raw Inputs'!B94</x:f>
        <x:v>Permian Resources Corp.</x:v>
      </x:c>
      <x:c r="D53" s="238" t="n">
        <x:f>IF(COUNT('Raw Inputs'!AQ94,'Raw Inputs'!AS94,'Raw Inputs'!AU94,'Raw Inputs'!AW94)=0,"",1+9*AVERAGE('Raw Inputs'!AQ94,'Raw Inputs'!AS94,'Raw Inputs'!AU94,'Raw Inputs'!AW94))</x:f>
        <x:v>5.873313343328336</x:v>
      </x:c>
      <x:c r="E53" s="270" t="n">
        <x:f>'Raw Inputs'!L94</x:f>
        <x:v>19.149999618530273</x:v>
      </x:c>
      <x:c r="F53" s="271" t="n">
        <x:f>'Raw Inputs'!M94</x:f>
        <x:v>16255948927</x:v>
      </x:c>
      <x:c r="G53" s="268" t="n">
        <x:f>'Raw Inputs'!AP94</x:f>
        <x:v>0.03995435781181819</x:v>
      </x:c>
      <x:c r="H53" s="268" t="n">
        <x:f>'Raw Inputs'!AR94</x:f>
        <x:v>0</x:v>
      </x:c>
      <x:c r="I53" s="268" t="n">
        <x:f>'Raw Inputs'!AT94</x:f>
        <x:v>0.632278192196365</x:v>
      </x:c>
      <x:c r="J53" s="268" t="n">
        <x:f>'Raw Inputs'!AV94</x:f>
        <x:v>0.2583948986834965</x:v>
      </x:c>
      <x:c r="K53" s="236" t="str">
        <x:f>'Raw Inputs'!N94</x:f>
        <x:v>Nasdaq screener</x:v>
      </x:c>
      <x:c r="L53" s="236" t="str">
        <x:f>IF('Raw Inputs'!AC94,"Financial / RE: E/P + B/P","Four-component")</x:f>
        <x:v>Four-component</x:v>
      </x:c>
      <x:c r="M53" s="269" t="n">
        <x:f>'Raw Inputs'!K94</x:f>
        <x:v>46213</x:v>
      </x:c>
      <x:c r="N53" s="20" t="str">
        <x:f>'Raw Inputs'!CE94</x:f>
        <x:v>https://api.nasdaq.com/api/screener/stocks?tableonly=true&amp;limit=25000&amp;download=true</x:v>
      </x:c>
    </x:row>
    <x:row r="54">
      <x:c r="A54" s="237" t="n">
        <x:f>RANK(D54,$D$5:$D$121,0)</x:f>
        <x:v>50</x:v>
      </x:c>
      <x:c r="B54" s="236" t="str">
        <x:f>'Raw Inputs'!A31</x:f>
        <x:v>DGX</x:v>
      </x:c>
      <x:c r="C54" s="236" t="str">
        <x:f>'Raw Inputs'!B31</x:f>
        <x:v>Quest Diagnostics Inc.</x:v>
      </x:c>
      <x:c r="D54" s="238" t="n">
        <x:f>IF(COUNT('Raw Inputs'!AQ31,'Raw Inputs'!AS31,'Raw Inputs'!AU31,'Raw Inputs'!AW31)=0,"",1+9*AVERAGE('Raw Inputs'!AQ31,'Raw Inputs'!AS31,'Raw Inputs'!AU31,'Raw Inputs'!AW31))</x:f>
        <x:v>5.853860569715142</x:v>
      </x:c>
      <x:c r="E54" s="270" t="n">
        <x:f>'Raw Inputs'!L31</x:f>
        <x:v>207.44000244140625</x:v>
      </x:c>
      <x:c r="F54" s="271" t="n">
        <x:f>'Raw Inputs'!M31</x:f>
        <x:v>22823943213</x:v>
      </x:c>
      <x:c r="G54" s="268" t="n">
        <x:f>'Raw Inputs'!AP31</x:f>
        <x:v>0.044865165955055165</x:v>
      </x:c>
      <x:c r="H54" s="268" t="n">
        <x:f>'Raw Inputs'!AR31</x:f>
        <x:v>0.0580968848207062</x:v>
      </x:c>
      <x:c r="I54" s="268" t="n">
        <x:f>'Raw Inputs'!AT31</x:f>
        <x:v>0.3141437889626421</x:v>
      </x:c>
      <x:c r="J54" s="268" t="n">
        <x:f>'Raw Inputs'!AV31</x:f>
        <x:v>0.4017105186797943</x:v>
      </x:c>
      <x:c r="K54" s="236" t="str">
        <x:f>'Raw Inputs'!N31</x:f>
        <x:v>Nasdaq screener</x:v>
      </x:c>
      <x:c r="L54" s="236" t="str">
        <x:f>IF('Raw Inputs'!AC31,"Financial / RE: E/P + B/P","Four-component")</x:f>
        <x:v>Four-component</x:v>
      </x:c>
      <x:c r="M54" s="269" t="n">
        <x:f>'Raw Inputs'!K31</x:f>
        <x:v>46213</x:v>
      </x:c>
      <x:c r="N54" s="20" t="str">
        <x:f>'Raw Inputs'!CE31</x:f>
        <x:v>https://api.nasdaq.com/api/screener/stocks?tableonly=true&amp;limit=25000&amp;download=true</x:v>
      </x:c>
    </x:row>
    <x:row r="55">
      <x:c r="A55" s="237" t="n">
        <x:f>RANK(D55,$D$5:$D$121,0)</x:f>
        <x:v>51</x:v>
      </x:c>
      <x:c r="B55" s="236" t="str">
        <x:f>'Raw Inputs'!A97</x:f>
        <x:v>MCK</x:v>
      </x:c>
      <x:c r="C55" s="236" t="str">
        <x:f>'Raw Inputs'!B97</x:f>
        <x:v>McKesson Corp.</x:v>
      </x:c>
      <x:c r="D55" s="238" t="n">
        <x:f>IF(COUNT('Raw Inputs'!AQ97,'Raw Inputs'!AS97,'Raw Inputs'!AU97,'Raw Inputs'!AW97)=0,"",1+9*AVERAGE('Raw Inputs'!AQ97,'Raw Inputs'!AS97,'Raw Inputs'!AU97,'Raw Inputs'!AW97))</x:f>
        <x:v>5.844145427286357</x:v>
      </x:c>
      <x:c r="E55" s="270" t="n">
        <x:f>'Raw Inputs'!L97</x:f>
        <x:v>805.9600219726562</x:v>
      </x:c>
      <x:c r="F55" s="271" t="n">
        <x:f>'Raw Inputs'!M97</x:f>
        <x:v>97365281310</x:v>
      </x:c>
      <x:c r="G55" s="268" t="n">
        <x:f>'Raw Inputs'!AP97</x:f>
        <x:v>0.048908604134140304</x:v>
      </x:c>
      <x:c r="H55" s="268" t="n">
        <x:f>'Raw Inputs'!AR97</x:f>
        <x:v>0.05873756972766662</x:v>
      </x:c>
      <x:c r="I55" s="268" t="n">
        <x:f>'Raw Inputs'!AT97</x:f>
        <x:v>-0.022307746362736823</x:v>
      </x:c>
      <x:c r="J55" s="268" t="n">
        <x:f>'Raw Inputs'!AV97</x:f>
        <x:v>4.037680293047727</x:v>
      </x:c>
      <x:c r="K55" s="236" t="str">
        <x:f>'Raw Inputs'!N97</x:f>
        <x:v>Nasdaq screener</x:v>
      </x:c>
      <x:c r="L55" s="236" t="str">
        <x:f>IF('Raw Inputs'!AC97,"Financial / RE: E/P + B/P","Four-component")</x:f>
        <x:v>Four-component</x:v>
      </x:c>
      <x:c r="M55" s="269" t="n">
        <x:f>'Raw Inputs'!K97</x:f>
        <x:v>46213</x:v>
      </x:c>
      <x:c r="N55" s="20" t="str">
        <x:f>'Raw Inputs'!CE97</x:f>
        <x:v>https://api.nasdaq.com/api/screener/stocks?tableonly=true&amp;limit=25000&amp;download=true</x:v>
      </x:c>
    </x:row>
    <x:row r="56">
      <x:c r="A56" s="237" t="n">
        <x:f>RANK(D56,$D$5:$D$121,0)</x:f>
        <x:v>52</x:v>
      </x:c>
      <x:c r="B56" s="236" t="str">
        <x:f>'Raw Inputs'!A89</x:f>
        <x:v>KR</x:v>
      </x:c>
      <x:c r="C56" s="236" t="str">
        <x:f>'Raw Inputs'!B89</x:f>
        <x:v>The Kroger Co.</x:v>
      </x:c>
      <x:c r="D56" s="238" t="n">
        <x:f>IF(COUNT('Raw Inputs'!AQ89,'Raw Inputs'!AS89,'Raw Inputs'!AU89,'Raw Inputs'!AW89)=0,"",1+9*AVERAGE('Raw Inputs'!AQ89,'Raw Inputs'!AS89,'Raw Inputs'!AU89,'Raw Inputs'!AW89))</x:f>
        <x:v>5.735356071964018</x:v>
      </x:c>
      <x:c r="E56" s="270" t="n">
        <x:f>'Raw Inputs'!L89</x:f>
        <x:v>60.540000915527344</x:v>
      </x:c>
      <x:c r="F56" s="271" t="n">
        <x:f>'Raw Inputs'!M89</x:f>
        <x:v>35613186503</x:v>
      </x:c>
      <x:c r="G56" s="268" t="n">
        <x:f>'Raw Inputs'!AP89</x:f>
        <x:v>0.029567699591029208</x:v>
      </x:c>
      <x:c r="H56" s="268" t="n">
        <x:f>'Raw Inputs'!AR89</x:f>
        <x:v>0.07952110659239764</x:v>
      </x:c>
      <x:c r="I56" s="268" t="n">
        <x:f>'Raw Inputs'!AT89</x:f>
        <x:v>0.16642711821085482</x:v>
      </x:c>
      <x:c r="J56" s="268" t="n">
        <x:f>'Raw Inputs'!AV89</x:f>
        <x:v>3.0868551790557075</x:v>
      </x:c>
      <x:c r="K56" s="236" t="str">
        <x:f>'Raw Inputs'!N89</x:f>
        <x:v>Nasdaq screener</x:v>
      </x:c>
      <x:c r="L56" s="236" t="str">
        <x:f>IF('Raw Inputs'!AC89,"Financial / RE: E/P + B/P","Four-component")</x:f>
        <x:v>Four-component</x:v>
      </x:c>
      <x:c r="M56" s="269" t="n">
        <x:f>'Raw Inputs'!K89</x:f>
        <x:v>46213</x:v>
      </x:c>
      <x:c r="N56" s="20" t="str">
        <x:f>'Raw Inputs'!CE89</x:f>
        <x:v>https://api.nasdaq.com/api/screener/stocks?tableonly=true&amp;limit=25000&amp;download=true</x:v>
      </x:c>
    </x:row>
    <x:row r="57">
      <x:c r="A57" s="237" t="n">
        <x:f>RANK(D57,$D$5:$D$121,0)</x:f>
        <x:v>53</x:v>
      </x:c>
      <x:c r="B57" s="236" t="str">
        <x:f>'Raw Inputs'!A52</x:f>
        <x:v>TSCO</x:v>
      </x:c>
      <x:c r="C57" s="236" t="str">
        <x:f>'Raw Inputs'!B52</x:f>
        <x:v>Tractor Supply Co.</x:v>
      </x:c>
      <x:c r="D57" s="238" t="n">
        <x:f>IF(COUNT('Raw Inputs'!AQ52,'Raw Inputs'!AS52,'Raw Inputs'!AU52,'Raw Inputs'!AW52)=0,"",1+9*AVERAGE('Raw Inputs'!AQ52,'Raw Inputs'!AS52,'Raw Inputs'!AU52,'Raw Inputs'!AW52))</x:f>
        <x:v>5.620056221889055</x:v>
      </x:c>
      <x:c r="E57" s="270" t="n">
        <x:f>'Raw Inputs'!L52</x:f>
        <x:v>30.43000030517578</x:v>
      </x:c>
      <x:c r="F57" s="271" t="n">
        <x:f>'Raw Inputs'!M52</x:f>
        <x:v>16250071352</x:v>
      </x:c>
      <x:c r="G57" s="268" t="n">
        <x:f>'Raw Inputs'!AP52</x:f>
        <x:v>0.06653767707099481</x:v>
      </x:c>
      <x:c r="H57" s="268" t="n">
        <x:f>'Raw Inputs'!AR52</x:f>
        <x:v>0.034061635054413265</x:v>
      </x:c>
      <x:c r="I57" s="268" t="n">
        <x:f>'Raw Inputs'!AT52</x:f>
        <x:v>0.15884810251508857</x:v>
      </x:c>
      <x:c r="J57" s="268" t="n">
        <x:f>'Raw Inputs'!AV52</x:f>
        <x:v>0.965640833916211</x:v>
      </x:c>
      <x:c r="K57" s="236" t="str">
        <x:f>'Raw Inputs'!N52</x:f>
        <x:v>Nasdaq screener</x:v>
      </x:c>
      <x:c r="L57" s="236" t="str">
        <x:f>IF('Raw Inputs'!AC52,"Financial / RE: E/P + B/P","Four-component")</x:f>
        <x:v>Four-component</x:v>
      </x:c>
      <x:c r="M57" s="269" t="n">
        <x:f>'Raw Inputs'!K52</x:f>
        <x:v>46213</x:v>
      </x:c>
      <x:c r="N57" s="20" t="str">
        <x:f>'Raw Inputs'!CE52</x:f>
        <x:v>https://api.nasdaq.com/api/screener/stocks?tableonly=true&amp;limit=25000&amp;download=true</x:v>
      </x:c>
    </x:row>
    <x:row r="58">
      <x:c r="A58" s="237" t="n">
        <x:f>RANK(D58,$D$5:$D$121,0)</x:f>
        <x:v>54</x:v>
      </x:c>
      <x:c r="B58" s="236" t="str">
        <x:f>'Raw Inputs'!A2</x:f>
        <x:v>MUSA</x:v>
      </x:c>
      <x:c r="C58" s="236" t="str">
        <x:f>'Raw Inputs'!B2</x:f>
        <x:v>Murphy USA Inc.</x:v>
      </x:c>
      <x:c r="D58" s="238" t="n">
        <x:f>IF(COUNT('Raw Inputs'!AQ2,'Raw Inputs'!AS2,'Raw Inputs'!AU2,'Raw Inputs'!AW2)=0,"",1+9*AVERAGE('Raw Inputs'!AQ2,'Raw Inputs'!AS2,'Raw Inputs'!AU2,'Raw Inputs'!AW2))</x:f>
        <x:v>5.617458770614693</x:v>
      </x:c>
      <x:c r="E58" s="270" t="n">
        <x:f>'Raw Inputs'!L2</x:f>
        <x:v>590.22998046875</x:v>
      </x:c>
      <x:c r="F58" s="271" t="n">
        <x:f>'Raw Inputs'!M2</x:f>
        <x:v>11016470655</x:v>
      </x:c>
      <x:c r="G58" s="268" t="n">
        <x:f>'Raw Inputs'!AP2</x:f>
        <x:v>0.050261106060196736</x:v>
      </x:c>
      <x:c r="H58" s="268" t="n">
        <x:f>'Raw Inputs'!AR2</x:f>
        <x:v>0.050406343137488256</x:v>
      </x:c>
      <x:c r="I58" s="268" t="n">
        <x:f>'Raw Inputs'!AT2</x:f>
        <x:v>0.05659707355703931</x:v>
      </x:c>
      <x:c r="J58" s="268" t="n">
        <x:f>'Raw Inputs'!AV2</x:f>
        <x:v>1.245869121557881</x:v>
      </x:c>
      <x:c r="K58" s="236" t="str">
        <x:f>'Raw Inputs'!N2</x:f>
        <x:v>Nasdaq screener</x:v>
      </x:c>
      <x:c r="L58" s="236" t="str">
        <x:f>IF('Raw Inputs'!AC2,"Financial / RE: E/P + B/P","Four-component")</x:f>
        <x:v>Four-component</x:v>
      </x:c>
      <x:c r="M58" s="269" t="n">
        <x:f>'Raw Inputs'!K2</x:f>
        <x:v>46213</x:v>
      </x:c>
      <x:c r="N58" s="20" t="str">
        <x:f>'Raw Inputs'!CE2</x:f>
        <x:v>https://api.nasdaq.com/api/screener/stocks?tableonly=true&amp;limit=25000&amp;download=true</x:v>
      </x:c>
    </x:row>
    <x:row r="59">
      <x:c r="A59" s="237" t="n">
        <x:f>RANK(D59,$D$5:$D$121,0)</x:f>
        <x:v>55</x:v>
      </x:c>
      <x:c r="B59" s="236" t="str">
        <x:f>'Raw Inputs'!A62</x:f>
        <x:v>NOC</x:v>
      </x:c>
      <x:c r="C59" s="236" t="str">
        <x:f>'Raw Inputs'!B62</x:f>
        <x:v>Northrop Grumman Corp.</x:v>
      </x:c>
      <x:c r="D59" s="238" t="n">
        <x:f>IF(COUNT('Raw Inputs'!AQ62,'Raw Inputs'!AS62,'Raw Inputs'!AU62,'Raw Inputs'!AW62)=0,"",1+9*AVERAGE('Raw Inputs'!AQ62,'Raw Inputs'!AS62,'Raw Inputs'!AU62,'Raw Inputs'!AW62))</x:f>
        <x:v>5.550228635682158</x:v>
      </x:c>
      <x:c r="E59" s="270" t="n">
        <x:f>'Raw Inputs'!L62</x:f>
        <x:v>539.6300048828125</x:v>
      </x:c>
      <x:c r="F59" s="271" t="n">
        <x:f>'Raw Inputs'!M62</x:f>
        <x:v>75313250649</x:v>
      </x:c>
      <x:c r="G59" s="268" t="n">
        <x:f>'Raw Inputs'!AP62</x:f>
        <x:v>0.06075956037705245</x:v>
      </x:c>
      <x:c r="H59" s="268" t="n">
        <x:f>'Raw Inputs'!AR62</x:f>
        <x:v>0.04388338003631083</x:v>
      </x:c>
      <x:c r="I59" s="268" t="n">
        <x:f>'Raw Inputs'!AT62</x:f>
        <x:v>0.22139530369907617</x:v>
      </x:c>
      <x:c r="J59" s="268" t="n">
        <x:f>'Raw Inputs'!AV62</x:f>
        <x:v>0.4891910189220181</x:v>
      </x:c>
      <x:c r="K59" s="236" t="str">
        <x:f>'Raw Inputs'!N62</x:f>
        <x:v>Nasdaq screener</x:v>
      </x:c>
      <x:c r="L59" s="236" t="str">
        <x:f>IF('Raw Inputs'!AC62,"Financial / RE: E/P + B/P","Four-component")</x:f>
        <x:v>Four-component</x:v>
      </x:c>
      <x:c r="M59" s="269" t="n">
        <x:f>'Raw Inputs'!K62</x:f>
        <x:v>46213</x:v>
      </x:c>
      <x:c r="N59" s="20" t="str">
        <x:f>'Raw Inputs'!CE62</x:f>
        <x:v>https://api.nasdaq.com/api/screener/stocks?tableonly=true&amp;limit=25000&amp;download=true</x:v>
      </x:c>
    </x:row>
    <x:row r="60">
      <x:c r="A60" s="237" t="n">
        <x:f>RANK(D60,$D$5:$D$121,0)</x:f>
        <x:v>56</x:v>
      </x:c>
      <x:c r="B60" s="236" t="str">
        <x:f>'Raw Inputs'!A88</x:f>
        <x:v>MOS</x:v>
      </x:c>
      <x:c r="C60" s="236" t="str">
        <x:f>'Raw Inputs'!B88</x:f>
        <x:v>The Mosaic Co.</x:v>
      </x:c>
      <x:c r="D60" s="238" t="n">
        <x:f>IF(COUNT('Raw Inputs'!AQ88,'Raw Inputs'!AS88,'Raw Inputs'!AU88,'Raw Inputs'!AW88)=0,"",1+9*AVERAGE('Raw Inputs'!AQ88,'Raw Inputs'!AS88,'Raw Inputs'!AU88,'Raw Inputs'!AW88))</x:f>
        <x:v>5.488227136431784</x:v>
      </x:c>
      <x:c r="E60" s="270" t="n">
        <x:f>'Raw Inputs'!L88</x:f>
        <x:v>21.510000228881836</x:v>
      </x:c>
      <x:c r="F60" s="271" t="n">
        <x:f>'Raw Inputs'!M88</x:f>
        <x:v>7129300225</x:v>
      </x:c>
      <x:c r="G60" s="268" t="n">
        <x:f>'Raw Inputs'!AP88</x:f>
        <x:v>0.0063119799390970385</x:v>
      </x:c>
      <x:c r="H60" s="268" t="n">
        <x:f>'Raw Inputs'!AR88</x:f>
        <x:v>-0.06863226187111512</x:v>
      </x:c>
      <x:c r="I60" s="268" t="n">
        <x:f>'Raw Inputs'!AT88</x:f>
        <x:v>1.69510325257764</x:v>
      </x:c>
      <x:c r="J60" s="268" t="n">
        <x:f>'Raw Inputs'!AV88</x:f>
        <x:v>1.6327535444697545</x:v>
      </x:c>
      <x:c r="K60" s="236" t="str">
        <x:f>'Raw Inputs'!N88</x:f>
        <x:v>Nasdaq screener</x:v>
      </x:c>
      <x:c r="L60" s="236" t="str">
        <x:f>IF('Raw Inputs'!AC88,"Financial / RE: E/P + B/P","Four-component")</x:f>
        <x:v>Four-component</x:v>
      </x:c>
      <x:c r="M60" s="269" t="n">
        <x:f>'Raw Inputs'!K88</x:f>
        <x:v>46213</x:v>
      </x:c>
      <x:c r="N60" s="20" t="str">
        <x:f>'Raw Inputs'!CE88</x:f>
        <x:v>https://api.nasdaq.com/api/screener/stocks?tableonly=true&amp;limit=25000&amp;download=true</x:v>
      </x:c>
    </x:row>
    <x:row r="61">
      <x:c r="A61" s="237" t="n">
        <x:f>RANK(D61,$D$5:$D$121,0)</x:f>
        <x:v>57</x:v>
      </x:c>
      <x:c r="B61" s="236" t="str">
        <x:f>'Raw Inputs'!A63</x:f>
        <x:v>DOW</x:v>
      </x:c>
      <x:c r="C61" s="236" t="str">
        <x:f>'Raw Inputs'!B63</x:f>
        <x:v>Dow Inc.</x:v>
      </x:c>
      <x:c r="D61" s="238" t="n">
        <x:f>IF(COUNT('Raw Inputs'!AQ63,'Raw Inputs'!AS63,'Raw Inputs'!AU63,'Raw Inputs'!AW63)=0,"",1+9*AVERAGE('Raw Inputs'!AQ63,'Raw Inputs'!AS63,'Raw Inputs'!AU63,'Raw Inputs'!AW63))</x:f>
        <x:v>5.481311844077961</x:v>
      </x:c>
      <x:c r="E61" s="270" t="n">
        <x:f>'Raw Inputs'!L63</x:f>
        <x:v>29.030000686645508</x:v>
      </x:c>
      <x:c r="F61" s="271" t="n">
        <x:f>'Raw Inputs'!M63</x:f>
        <x:v>21153761205</x:v>
      </x:c>
      <x:c r="G61" s="268" t="n">
        <x:f>'Raw Inputs'!AP63</x:f>
        <x:v>-0.12621868868260205</x:v>
      </x:c>
      <x:c r="H61" s="268" t="n">
        <x:f>'Raw Inputs'!AR63</x:f>
        <x:v>-0.010967316769424598</x:v>
      </x:c>
      <x:c r="I61" s="268" t="n">
        <x:f>'Raw Inputs'!AT63</x:f>
        <x:v>0.7567448570902973</x:v>
      </x:c>
      <x:c r="J61" s="268" t="n">
        <x:f>'Raw Inputs'!AV63</x:f>
        <x:v>2.2685166518879853</x:v>
      </x:c>
      <x:c r="K61" s="236" t="str">
        <x:f>'Raw Inputs'!N63</x:f>
        <x:v>Nasdaq screener</x:v>
      </x:c>
      <x:c r="L61" s="236" t="str">
        <x:f>IF('Raw Inputs'!AC63,"Financial / RE: E/P + B/P","Four-component")</x:f>
        <x:v>Four-component</x:v>
      </x:c>
      <x:c r="M61" s="269" t="n">
        <x:f>'Raw Inputs'!K63</x:f>
        <x:v>46213</x:v>
      </x:c>
      <x:c r="N61" s="20" t="str">
        <x:f>'Raw Inputs'!CE63</x:f>
        <x:v>https://api.nasdaq.com/api/screener/stocks?tableonly=true&amp;limit=25000&amp;download=true</x:v>
      </x:c>
    </x:row>
    <x:row r="62">
      <x:c r="A62" s="237" t="n">
        <x:f>RANK(D62,$D$5:$D$121,0)</x:f>
        <x:v>58</x:v>
      </x:c>
      <x:c r="B62" s="236" t="str">
        <x:f>'Raw Inputs'!A86</x:f>
        <x:v>ED</x:v>
      </x:c>
      <x:c r="C62" s="236" t="str">
        <x:f>'Raw Inputs'!B86</x:f>
        <x:v>Consolidated Edison Inc.</x:v>
      </x:c>
      <x:c r="D62" s="238" t="n">
        <x:f>IF(COUNT('Raw Inputs'!AQ86,'Raw Inputs'!AS86,'Raw Inputs'!AU86,'Raw Inputs'!AW86)=0,"",1+9*AVERAGE('Raw Inputs'!AQ86,'Raw Inputs'!AS86,'Raw Inputs'!AU86,'Raw Inputs'!AW86))</x:f>
        <x:v>5.477736131934033</x:v>
      </x:c>
      <x:c r="E62" s="270" t="n">
        <x:f>'Raw Inputs'!L86</x:f>
        <x:v>111.12000274658203</x:v>
      </x:c>
      <x:c r="F62" s="271" t="n">
        <x:f>'Raw Inputs'!M86</x:f>
        <x:v>41050523840</x:v>
      </x:c>
      <x:c r="G62" s="268" t="n">
        <x:f>'Raw Inputs'!AP86</x:f>
        <x:v>0.0524962850267004</x:v>
      </x:c>
      <x:c r="H62" s="268" t="n">
        <x:f>'Raw Inputs'!AR86</x:f>
        <x:v>0.011230063757451919</x:v>
      </x:c>
      <x:c r="I62" s="268" t="n">
        <x:f>'Raw Inputs'!AT86</x:f>
        <x:v>0.5892738444528458</x:v>
      </x:c>
      <x:c r="J62" s="268" t="n">
        <x:f>'Raw Inputs'!AV86</x:f>
        <x:v>0.26665634777741837</x:v>
      </x:c>
      <x:c r="K62" s="236" t="str">
        <x:f>'Raw Inputs'!N86</x:f>
        <x:v>Nasdaq screener</x:v>
      </x:c>
      <x:c r="L62" s="236" t="str">
        <x:f>IF('Raw Inputs'!AC86,"Financial / RE: E/P + B/P","Four-component")</x:f>
        <x:v>Four-component</x:v>
      </x:c>
      <x:c r="M62" s="269" t="n">
        <x:f>'Raw Inputs'!K86</x:f>
        <x:v>46213</x:v>
      </x:c>
      <x:c r="N62" s="20" t="str">
        <x:f>'Raw Inputs'!CE86</x:f>
        <x:v>https://api.nasdaq.com/api/screener/stocks?tableonly=true&amp;limit=25000&amp;download=true</x:v>
      </x:c>
    </x:row>
    <x:row r="63">
      <x:c r="A63" s="237" t="n">
        <x:f>RANK(D63,$D$5:$D$121,0)</x:f>
        <x:v>59</x:v>
      </x:c>
      <x:c r="B63" s="236" t="str">
        <x:f>'Raw Inputs'!A103</x:f>
        <x:v>PCG</x:v>
      </x:c>
      <x:c r="C63" s="236" t="str">
        <x:f>'Raw Inputs'!B103</x:f>
        <x:v>PG&amp;E Corp.</x:v>
      </x:c>
      <x:c r="D63" s="238" t="n">
        <x:f>IF(COUNT('Raw Inputs'!AQ103,'Raw Inputs'!AS103,'Raw Inputs'!AU103,'Raw Inputs'!AW103)=0,"",1+9*AVERAGE('Raw Inputs'!AQ103,'Raw Inputs'!AS103,'Raw Inputs'!AU103,'Raw Inputs'!AW103))</x:f>
        <x:v>5.453009745127436</x:v>
      </x:c>
      <x:c r="E63" s="270" t="n">
        <x:f>'Raw Inputs'!L103</x:f>
        <x:v>17.170000076293945</x:v>
      </x:c>
      <x:c r="F63" s="271" t="n">
        <x:f>'Raw Inputs'!M103</x:f>
        <x:v>46778846991</x:v>
      </x:c>
      <x:c r="G63" s="268" t="n">
        <x:f>'Raw Inputs'!AP103</x:f>
        <x:v>0.06314820030874925</x:v>
      </x:c>
      <x:c r="H63" s="268" t="n">
        <x:f>'Raw Inputs'!AR103</x:f>
        <x:v>-0.08999794289093918</x:v>
      </x:c>
      <x:c r="I63" s="268" t="n">
        <x:f>'Raw Inputs'!AT103</x:f>
        <x:v>0.6956135538411309</x:v>
      </x:c>
      <x:c r="J63" s="268" t="n">
        <x:f>'Raw Inputs'!AV103</x:f>
        <x:v>0.24970796600935857</x:v>
      </x:c>
      <x:c r="K63" s="236" t="str">
        <x:f>'Raw Inputs'!N103</x:f>
        <x:v>Nasdaq screener</x:v>
      </x:c>
      <x:c r="L63" s="236" t="str">
        <x:f>IF('Raw Inputs'!AC103,"Financial / RE: E/P + B/P","Four-component")</x:f>
        <x:v>Four-component</x:v>
      </x:c>
      <x:c r="M63" s="269" t="n">
        <x:f>'Raw Inputs'!K103</x:f>
        <x:v>46213</x:v>
      </x:c>
      <x:c r="N63" s="20" t="str">
        <x:f>'Raw Inputs'!CE103</x:f>
        <x:v>https://api.nasdaq.com/api/screener/stocks?tableonly=true&amp;limit=25000&amp;download=true</x:v>
      </x:c>
    </x:row>
    <x:row r="64">
      <x:c r="A64" s="237" t="n">
        <x:f>RANK(D64,$D$5:$D$121,0)</x:f>
        <x:v>60</x:v>
      </x:c>
      <x:c r="B64" s="236" t="str">
        <x:f>'Raw Inputs'!A47</x:f>
        <x:v>OHI</x:v>
      </x:c>
      <x:c r="C64" s="236" t="str">
        <x:f>'Raw Inputs'!B47</x:f>
        <x:v>Omega Healthcare Investors Inc. REIT</x:v>
      </x:c>
      <x:c r="D64" s="238" t="n">
        <x:f>IF(COUNT('Raw Inputs'!AQ47,'Raw Inputs'!AS47,'Raw Inputs'!AU47,'Raw Inputs'!AW47)=0,"",1+9*AVERAGE('Raw Inputs'!AQ47,'Raw Inputs'!AS47,'Raw Inputs'!AU47,'Raw Inputs'!AW47))</x:f>
        <x:v>5.422413793103448</x:v>
      </x:c>
      <x:c r="E64" s="270" t="n">
        <x:f>'Raw Inputs'!L47</x:f>
        <x:v>48.29999923706055</x:v>
      </x:c>
      <x:c r="F64" s="271" t="n">
        <x:f>'Raw Inputs'!M47</x:f>
        <x:v>14321298180</x:v>
      </x:c>
      <x:c r="G64" s="268" t="n">
        <x:f>'Raw Inputs'!AP47</x:f>
        <x:v>0.044144182465447414</x:v>
      </x:c>
      <x:c r="H64" s="268" t="n">
        <x:f>'Raw Inputs'!AR47</x:f>
        <x:v>0</x:v>
      </x:c>
      <x:c r="I64" s="268" t="n">
        <x:f>'Raw Inputs'!AT47</x:f>
        <x:v>0.3617897578053221</x:v>
      </x:c>
      <x:c r="J64" s="268" t="n">
        <x:f>'Raw Inputs'!AV47</x:f>
        <x:v>0.04959336156146361</x:v>
      </x:c>
      <x:c r="K64" s="236" t="str">
        <x:f>'Raw Inputs'!N47</x:f>
        <x:v>Nasdaq screener</x:v>
      </x:c>
      <x:c r="L64" s="236" t="str">
        <x:f>IF('Raw Inputs'!AC47,"Financial / RE: E/P + B/P","Four-component")</x:f>
        <x:v>Financial / RE: E/P + B/P</x:v>
      </x:c>
      <x:c r="M64" s="269" t="n">
        <x:f>'Raw Inputs'!K47</x:f>
        <x:v>46213</x:v>
      </x:c>
      <x:c r="N64" s="20" t="str">
        <x:f>'Raw Inputs'!CE47</x:f>
        <x:v>https://api.nasdaq.com/api/screener/stocks?tableonly=true&amp;limit=25000&amp;download=true</x:v>
      </x:c>
    </x:row>
    <x:row r="65">
      <x:c r="A65" s="237" t="n">
        <x:f>RANK(D65,$D$5:$D$121,0)</x:f>
        <x:v>61</x:v>
      </x:c>
      <x:c r="B65" s="236" t="str">
        <x:f>'Raw Inputs'!A114</x:f>
        <x:v>EXC</x:v>
      </x:c>
      <x:c r="C65" s="236" t="str">
        <x:f>'Raw Inputs'!B114</x:f>
        <x:v>Exelon Corp.</x:v>
      </x:c>
      <x:c r="D65" s="238" t="n">
        <x:f>IF(COUNT('Raw Inputs'!AQ114,'Raw Inputs'!AS114,'Raw Inputs'!AU114,'Raw Inputs'!AW114)=0,"",1+9*AVERAGE('Raw Inputs'!AQ114,'Raw Inputs'!AS114,'Raw Inputs'!AU114,'Raw Inputs'!AW114))</x:f>
        <x:v>5.391109445277361</x:v>
      </x:c>
      <x:c r="E65" s="270" t="n">
        <x:f>'Raw Inputs'!L114</x:f>
        <x:v>46.79999923706055</x:v>
      </x:c>
      <x:c r="F65" s="271" t="n">
        <x:f>'Raw Inputs'!M114</x:f>
        <x:v>47630339010</x:v>
      </x:c>
      <x:c r="G65" s="268" t="n">
        <x:f>'Raw Inputs'!AP114</x:f>
        <x:v>0.05834516524051085</x:v>
      </x:c>
      <x:c r="H65" s="268" t="n">
        <x:f>'Raw Inputs'!AR114</x:f>
        <x:v>-0.04541223188745051</x:v>
      </x:c>
      <x:c r="I65" s="268" t="n">
        <x:f>'Raw Inputs'!AT114</x:f>
        <x:v>0.6046146342555708</x:v>
      </x:c>
      <x:c r="J65" s="268" t="n">
        <x:f>'Raw Inputs'!AV114</x:f>
        <x:v>0.2570299575273156</x:v>
      </x:c>
      <x:c r="K65" s="236" t="str">
        <x:f>'Raw Inputs'!N114</x:f>
        <x:v>Nasdaq screener</x:v>
      </x:c>
      <x:c r="L65" s="236" t="str">
        <x:f>IF('Raw Inputs'!AC114,"Financial / RE: E/P + B/P","Four-component")</x:f>
        <x:v>Four-component</x:v>
      </x:c>
      <x:c r="M65" s="269" t="n">
        <x:f>'Raw Inputs'!K114</x:f>
        <x:v>46213</x:v>
      </x:c>
      <x:c r="N65" s="20" t="str">
        <x:f>'Raw Inputs'!CE114</x:f>
        <x:v>https://api.nasdaq.com/api/screener/stocks?tableonly=true&amp;limit=25000&amp;download=true</x:v>
      </x:c>
    </x:row>
    <x:row r="66">
      <x:c r="A66" s="237" t="n">
        <x:f>RANK(D66,$D$5:$D$121,0)</x:f>
        <x:v>62</x:v>
      </x:c>
      <x:c r="B66" s="236" t="str">
        <x:f>'Raw Inputs'!A110</x:f>
        <x:v>WTRG</x:v>
      </x:c>
      <x:c r="C66" s="236" t="str">
        <x:f>'Raw Inputs'!B110</x:f>
        <x:v>Essential Utilities Inc.</x:v>
      </x:c>
      <x:c r="D66" s="238" t="n">
        <x:f>IF(COUNT('Raw Inputs'!AQ110,'Raw Inputs'!AS110,'Raw Inputs'!AU110,'Raw Inputs'!AW110)=0,"",1+9*AVERAGE('Raw Inputs'!AQ110,'Raw Inputs'!AS110,'Raw Inputs'!AU110,'Raw Inputs'!AW110))</x:f>
        <x:v>5.349752623688156</x:v>
      </x:c>
      <x:c r="E66" s="270" t="n">
        <x:f>'Raw Inputs'!L110</x:f>
        <x:v>38.58000183105469</x:v>
      </x:c>
      <x:c r="F66" s="271" t="n">
        <x:f>'Raw Inputs'!M110</x:f>
        <x:v>10939724154</x:v>
      </x:c>
      <x:c r="G66" s="268" t="n">
        <x:f>'Raw Inputs'!AP110</x:f>
        <x:v>0.05091280110535043</x:v>
      </x:c>
      <x:c r="H66" s="268" t="n">
        <x:f>'Raw Inputs'!AR110</x:f>
        <x:v>0.04393255197611814</x:v>
      </x:c>
      <x:c r="I66" s="268" t="n">
        <x:f>'Raw Inputs'!AT110</x:f>
        <x:v>0.6268399370465516</x:v>
      </x:c>
      <x:c r="J66" s="268" t="n">
        <x:f>'Raw Inputs'!AV110</x:f>
        <x:v>0.13409448418820832</x:v>
      </x:c>
      <x:c r="K66" s="236" t="str">
        <x:f>'Raw Inputs'!N110</x:f>
        <x:v>Nasdaq screener</x:v>
      </x:c>
      <x:c r="L66" s="236" t="str">
        <x:f>IF('Raw Inputs'!AC110,"Financial / RE: E/P + B/P","Four-component")</x:f>
        <x:v>Four-component</x:v>
      </x:c>
      <x:c r="M66" s="269" t="n">
        <x:f>'Raw Inputs'!K110</x:f>
        <x:v>46213</x:v>
      </x:c>
      <x:c r="N66" s="20" t="str">
        <x:f>'Raw Inputs'!CE110</x:f>
        <x:v>https://api.nasdaq.com/api/screener/stocks?tableonly=true&amp;limit=25000&amp;download=true</x:v>
      </x:c>
    </x:row>
    <x:row r="67">
      <x:c r="A67" s="237" t="n">
        <x:f>RANK(D67,$D$5:$D$121,0)</x:f>
        <x:v>63</x:v>
      </x:c>
      <x:c r="B67" s="236" t="str">
        <x:f>'Raw Inputs'!A36</x:f>
        <x:v>CME</x:v>
      </x:c>
      <x:c r="C67" s="236" t="str">
        <x:f>'Raw Inputs'!B36</x:f>
        <x:v>CME Group Inc.</x:v>
      </x:c>
      <x:c r="D67" s="238" t="n">
        <x:f>IF(COUNT('Raw Inputs'!AQ36,'Raw Inputs'!AS36,'Raw Inputs'!AU36,'Raw Inputs'!AW36)=0,"",1+9*AVERAGE('Raw Inputs'!AQ36,'Raw Inputs'!AS36,'Raw Inputs'!AU36,'Raw Inputs'!AW36))</x:f>
        <x:v>5.344827586206897</x:v>
      </x:c>
      <x:c r="E67" s="270" t="n">
        <x:f>'Raw Inputs'!L36</x:f>
        <x:v>240.27000427246094</x:v>
      </x:c>
      <x:c r="F67" s="271" t="n">
        <x:f>'Raw Inputs'!M36</x:f>
        <x:v>89122281395</x:v>
      </x:c>
      <x:c r="G67" s="268" t="n">
        <x:f>'Raw Inputs'!AP36</x:f>
        <x:v>0.04791506605484602</x:v>
      </x:c>
      <x:c r="H67" s="268" t="n">
        <x:f>'Raw Inputs'!AR36</x:f>
        <x:v>0.04857707783323066</x:v>
      </x:c>
      <x:c r="I67" s="268" t="n">
        <x:f>'Raw Inputs'!AT36</x:f>
        <x:v>0.3223458774879581</x:v>
      </x:c>
      <x:c r="J67" s="268" t="n">
        <x:f>'Raw Inputs'!AV36</x:f>
        <x:v>0.07978713853472993</x:v>
      </x:c>
      <x:c r="K67" s="236" t="str">
        <x:f>'Raw Inputs'!N36</x:f>
        <x:v>Nasdaq screener</x:v>
      </x:c>
      <x:c r="L67" s="236" t="str">
        <x:f>IF('Raw Inputs'!AC36,"Financial / RE: E/P + B/P","Four-component")</x:f>
        <x:v>Financial / RE: E/P + B/P</x:v>
      </x:c>
      <x:c r="M67" s="269" t="n">
        <x:f>'Raw Inputs'!K36</x:f>
        <x:v>46213</x:v>
      </x:c>
      <x:c r="N67" s="20" t="str">
        <x:f>'Raw Inputs'!CE36</x:f>
        <x:v>https://api.nasdaq.com/api/screener/stocks?tableonly=true&amp;limit=25000&amp;download=true</x:v>
      </x:c>
    </x:row>
    <x:row r="68">
      <x:c r="A68" s="237" t="n">
        <x:f>RANK(D68,$D$5:$D$121,0)</x:f>
        <x:v>64</x:v>
      </x:c>
      <x:c r="B68" s="236" t="str">
        <x:f>'Raw Inputs'!A95</x:f>
        <x:v>ADC</x:v>
      </x:c>
      <x:c r="C68" s="236" t="str">
        <x:f>'Raw Inputs'!B95</x:f>
        <x:v>Agree Realty Corp. REIT</x:v>
      </x:c>
      <x:c r="D68" s="238" t="n">
        <x:f>IF(COUNT('Raw Inputs'!AQ95,'Raw Inputs'!AS95,'Raw Inputs'!AU95,'Raw Inputs'!AW95)=0,"",1+9*AVERAGE('Raw Inputs'!AQ95,'Raw Inputs'!AS95,'Raw Inputs'!AU95,'Raw Inputs'!AW95))</x:f>
        <x:v>5.306034482758621</x:v>
      </x:c>
      <x:c r="E68" s="270" t="n">
        <x:f>'Raw Inputs'!L95</x:f>
        <x:v>77.94999694824219</x:v>
      </x:c>
      <x:c r="F68" s="271" t="n">
        <x:f>'Raw Inputs'!M95</x:f>
        <x:v>9386038431</x:v>
      </x:c>
      <x:c r="G68" s="268" t="n">
        <x:f>'Raw Inputs'!AP95</x:f>
        <x:v>0.02337546363281026</x:v>
      </x:c>
      <x:c r="H68" s="268" t="n">
        <x:f>'Raw Inputs'!AR95</x:f>
        <x:v>-0.0375413975331932</x:v>
      </x:c>
      <x:c r="I68" s="268" t="n">
        <x:f>'Raw Inputs'!AT95</x:f>
        <x:v>0.66811840225247</x:v>
      </x:c>
      <x:c r="J68" s="268" t="n">
        <x:f>'Raw Inputs'!AV95</x:f>
        <x:v>0.08004968391327129</x:v>
      </x:c>
      <x:c r="K68" s="236" t="str">
        <x:f>'Raw Inputs'!N95</x:f>
        <x:v>Nasdaq screener</x:v>
      </x:c>
      <x:c r="L68" s="236" t="str">
        <x:f>IF('Raw Inputs'!AC95,"Financial / RE: E/P + B/P","Four-component")</x:f>
        <x:v>Financial / RE: E/P + B/P</x:v>
      </x:c>
      <x:c r="M68" s="269" t="n">
        <x:f>'Raw Inputs'!K95</x:f>
        <x:v>46213</x:v>
      </x:c>
      <x:c r="N68" s="20" t="str">
        <x:f>'Raw Inputs'!CE95</x:f>
        <x:v>https://api.nasdaq.com/api/screener/stocks?tableonly=true&amp;limit=25000&amp;download=true</x:v>
      </x:c>
    </x:row>
    <x:row r="69">
      <x:c r="A69" s="237" t="n">
        <x:f>RANK(D69,$D$5:$D$121,0)</x:f>
        <x:v>64</x:v>
      </x:c>
      <x:c r="B69" s="236" t="str">
        <x:f>'Raw Inputs'!A84</x:f>
        <x:v>SBRA</x:v>
      </x:c>
      <x:c r="C69" s="236" t="str">
        <x:f>'Raw Inputs'!B84</x:f>
        <x:v>Sabra Health Care REIT Inc.</x:v>
      </x:c>
      <x:c r="D69" s="238" t="n">
        <x:f>IF(COUNT('Raw Inputs'!AQ84,'Raw Inputs'!AS84,'Raw Inputs'!AU84,'Raw Inputs'!AW84)=0,"",1+9*AVERAGE('Raw Inputs'!AQ84,'Raw Inputs'!AS84,'Raw Inputs'!AU84,'Raw Inputs'!AW84))</x:f>
        <x:v>5.306034482758621</x:v>
      </x:c>
      <x:c r="E69" s="270" t="n">
        <x:f>'Raw Inputs'!L84</x:f>
        <x:v>19.6200008392334</x:v>
      </x:c>
      <x:c r="F69" s="271" t="n">
        <x:f>'Raw Inputs'!M84</x:f>
        <x:v>4974449624</x:v>
      </x:c>
      <x:c r="G69" s="268" t="n">
        <x:f>'Raw Inputs'!AP84</x:f>
        <x:v>0.03139744329633199</x:v>
      </x:c>
      <x:c r="H69" s="268" t="n">
        <x:f>'Raw Inputs'!AR84</x:f>
        <x:v>0</x:v>
      </x:c>
      <x:c r="I69" s="268" t="n">
        <x:f>'Raw Inputs'!AT84</x:f>
        <x:v>0.5672669769104892</x:v>
      </x:c>
      <x:c r="J69" s="268" t="n">
        <x:f>'Raw Inputs'!AV84</x:f>
        <x:v>0.05330075356364559</x:v>
      </x:c>
      <x:c r="K69" s="236" t="str">
        <x:f>'Raw Inputs'!N84</x:f>
        <x:v>Nasdaq screener</x:v>
      </x:c>
      <x:c r="L69" s="236" t="str">
        <x:f>IF('Raw Inputs'!AC84,"Financial / RE: E/P + B/P","Four-component")</x:f>
        <x:v>Financial / RE: E/P + B/P</x:v>
      </x:c>
      <x:c r="M69" s="269" t="n">
        <x:f>'Raw Inputs'!K84</x:f>
        <x:v>46213</x:v>
      </x:c>
      <x:c r="N69" s="20" t="str">
        <x:f>'Raw Inputs'!CE84</x:f>
        <x:v>https://api.nasdaq.com/api/screener/stocks?tableonly=true&amp;limit=25000&amp;download=true</x:v>
      </x:c>
    </x:row>
    <x:row r="70">
      <x:c r="A70" s="237" t="n">
        <x:f>RANK(D70,$D$5:$D$121,0)</x:f>
        <x:v>66</x:v>
      </x:c>
      <x:c r="B70" s="236" t="str">
        <x:f>'Raw Inputs'!A81</x:f>
        <x:v>BJ</x:v>
      </x:c>
      <x:c r="C70" s="236" t="str">
        <x:f>'Raw Inputs'!B81</x:f>
        <x:v>BJ's Wholesale Club Holdings Inc.</x:v>
      </x:c>
      <x:c r="D70" s="238" t="n">
        <x:f>IF(COUNT('Raw Inputs'!AQ81,'Raw Inputs'!AS81,'Raw Inputs'!AU81,'Raw Inputs'!AW81)=0,"",1+9*AVERAGE('Raw Inputs'!AQ81,'Raw Inputs'!AS81,'Raw Inputs'!AU81,'Raw Inputs'!AW81))</x:f>
        <x:v>5.276922788605697</x:v>
      </x:c>
      <x:c r="E70" s="270" t="n">
        <x:f>'Raw Inputs'!L81</x:f>
        <x:v>88.05000305175781</x:v>
      </x:c>
      <x:c r="F70" s="271" t="n">
        <x:f>'Raw Inputs'!M81</x:f>
        <x:v>11668676532</x:v>
      </x:c>
      <x:c r="G70" s="268" t="n">
        <x:f>'Raw Inputs'!AP81</x:f>
        <x:v>0.04896313634482708</x:v>
      </x:c>
      <x:c r="H70" s="268" t="n">
        <x:f>'Raw Inputs'!AR81</x:f>
        <x:v>0.01871386179925002</x:v>
      </x:c>
      <x:c r="I70" s="268" t="n">
        <x:f>'Raw Inputs'!AT81</x:f>
        <x:v>0.18833832559958052</x:v>
      </x:c>
      <x:c r="J70" s="268" t="n">
        <x:f>'Raw Inputs'!AV81</x:f>
        <x:v>1.8271626014283953</x:v>
      </x:c>
      <x:c r="K70" s="236" t="str">
        <x:f>'Raw Inputs'!N81</x:f>
        <x:v>Nasdaq screener</x:v>
      </x:c>
      <x:c r="L70" s="236" t="str">
        <x:f>IF('Raw Inputs'!AC81,"Financial / RE: E/P + B/P","Four-component")</x:f>
        <x:v>Four-component</x:v>
      </x:c>
      <x:c r="M70" s="269" t="n">
        <x:f>'Raw Inputs'!K81</x:f>
        <x:v>46213</x:v>
      </x:c>
      <x:c r="N70" s="20" t="str">
        <x:f>'Raw Inputs'!CE81</x:f>
        <x:v>https://api.nasdaq.com/api/screener/stocks?tableonly=true&amp;limit=25000&amp;download=true</x:v>
      </x:c>
    </x:row>
    <x:row r="71">
      <x:c r="A71" s="237" t="n">
        <x:f>RANK(D71,$D$5:$D$121,0)</x:f>
        <x:v>67</x:v>
      </x:c>
      <x:c r="B71" s="236" t="str">
        <x:f>'Raw Inputs'!A49</x:f>
        <x:v>JKHY</x:v>
      </x:c>
      <x:c r="C71" s="236" t="str">
        <x:f>'Raw Inputs'!B49</x:f>
        <x:v>Jack Henry and Associates Inc.</x:v>
      </x:c>
      <x:c r="D71" s="238" t="n">
        <x:f>IF(COUNT('Raw Inputs'!AQ49,'Raw Inputs'!AS49,'Raw Inputs'!AU49,'Raw Inputs'!AW49)=0,"",1+9*AVERAGE('Raw Inputs'!AQ49,'Raw Inputs'!AS49,'Raw Inputs'!AU49,'Raw Inputs'!AW49))</x:f>
        <x:v>5.217417541229385</x:v>
      </x:c>
      <x:c r="E71" s="270" t="n">
        <x:f>'Raw Inputs'!L49</x:f>
        <x:v>150.32000732421875</x:v>
      </x:c>
      <x:c r="F71" s="271" t="n">
        <x:f>'Raw Inputs'!M49</x:f>
        <x:v>10627775672</x:v>
      </x:c>
      <x:c r="G71" s="268" t="n">
        <x:f>'Raw Inputs'!AP49</x:f>
        <x:v>0.04884860351049382</x:v>
      </x:c>
      <x:c r="H71" s="268" t="n">
        <x:f>'Raw Inputs'!AR49</x:f>
        <x:v>0.06846305590707617</x:v>
      </x:c>
      <x:c r="I71" s="268" t="n">
        <x:f>'Raw Inputs'!AT49</x:f>
        <x:v>0.2004965164642967</x:v>
      </x:c>
      <x:c r="J71" s="268" t="n">
        <x:f>'Raw Inputs'!AV49</x:f>
        <x:v>0.2367088916477461</x:v>
      </x:c>
      <x:c r="K71" s="236" t="str">
        <x:f>'Raw Inputs'!N49</x:f>
        <x:v>Nasdaq screener</x:v>
      </x:c>
      <x:c r="L71" s="236" t="str">
        <x:f>IF('Raw Inputs'!AC49,"Financial / RE: E/P + B/P","Four-component")</x:f>
        <x:v>Four-component</x:v>
      </x:c>
      <x:c r="M71" s="269" t="n">
        <x:f>'Raw Inputs'!K49</x:f>
        <x:v>46213</x:v>
      </x:c>
      <x:c r="N71" s="20" t="str">
        <x:f>'Raw Inputs'!CE49</x:f>
        <x:v>https://api.nasdaq.com/api/screener/stocks?tableonly=true&amp;limit=25000&amp;download=true</x:v>
      </x:c>
    </x:row>
    <x:row r="72">
      <x:c r="A72" s="237" t="n">
        <x:f>RANK(D72,$D$5:$D$121,0)</x:f>
        <x:v>68</x:v>
      </x:c>
      <x:c r="B72" s="236" t="str">
        <x:f>'Raw Inputs'!A74</x:f>
        <x:v>ENSG</x:v>
      </x:c>
      <x:c r="C72" s="236" t="str">
        <x:f>'Raw Inputs'!B74</x:f>
        <x:v>The Ensign Group Inc.</x:v>
      </x:c>
      <x:c r="D72" s="238" t="n">
        <x:f>IF(COUNT('Raw Inputs'!AQ74,'Raw Inputs'!AS74,'Raw Inputs'!AU74,'Raw Inputs'!AW74)=0,"",1+9*AVERAGE('Raw Inputs'!AQ74,'Raw Inputs'!AS74,'Raw Inputs'!AU74,'Raw Inputs'!AW74))</x:f>
        <x:v>5.177275112443779</x:v>
      </x:c>
      <x:c r="E72" s="270" t="n">
        <x:f>'Raw Inputs'!L74</x:f>
        <x:v>168.58999633789062</x:v>
      </x:c>
      <x:c r="F72" s="271" t="n">
        <x:f>'Raw Inputs'!M74</x:f>
        <x:v>9917307699</x:v>
      </x:c>
      <x:c r="G72" s="268" t="n">
        <x:f>'Raw Inputs'!AP74</x:f>
        <x:v>0.036639177791835495</x:v>
      </x:c>
      <x:c r="H72" s="268" t="n">
        <x:f>'Raw Inputs'!AR74</x:f>
        <x:v>0.05250043820385854</x:v>
      </x:c>
      <x:c r="I72" s="268" t="n">
        <x:f>'Raw Inputs'!AT74</x:f>
        <x:v>0.22503335257259724</x:v>
      </x:c>
      <x:c r="J72" s="268" t="n">
        <x:f>'Raw Inputs'!AV74</x:f>
        <x:v>0.5490167920030432</x:v>
      </x:c>
      <x:c r="K72" s="236" t="str">
        <x:f>'Raw Inputs'!N74</x:f>
        <x:v>Nasdaq screener</x:v>
      </x:c>
      <x:c r="L72" s="236" t="str">
        <x:f>IF('Raw Inputs'!AC74,"Financial / RE: E/P + B/P","Four-component")</x:f>
        <x:v>Four-component</x:v>
      </x:c>
      <x:c r="M72" s="269" t="n">
        <x:f>'Raw Inputs'!K74</x:f>
        <x:v>46213</x:v>
      </x:c>
      <x:c r="N72" s="20" t="str">
        <x:f>'Raw Inputs'!CE74</x:f>
        <x:v>https://api.nasdaq.com/api/screener/stocks?tableonly=true&amp;limit=25000&amp;download=true</x:v>
      </x:c>
    </x:row>
    <x:row r="73">
      <x:c r="A73" s="237" t="n">
        <x:f>RANK(D73,$D$5:$D$121,0)</x:f>
        <x:v>69</x:v>
      </x:c>
      <x:c r="B73" s="236" t="str">
        <x:f>'Raw Inputs'!A73</x:f>
        <x:v>REG</x:v>
      </x:c>
      <x:c r="C73" s="236" t="str">
        <x:f>'Raw Inputs'!B73</x:f>
        <x:v>Regency Centers Corp. REIT</x:v>
      </x:c>
      <x:c r="D73" s="238" t="n">
        <x:f>IF(COUNT('Raw Inputs'!AQ73,'Raw Inputs'!AS73,'Raw Inputs'!AU73,'Raw Inputs'!AW73)=0,"",1+9*AVERAGE('Raw Inputs'!AQ73,'Raw Inputs'!AS73,'Raw Inputs'!AU73,'Raw Inputs'!AW73))</x:f>
        <x:v>5.150862068965517</x:v>
      </x:c>
      <x:c r="E73" s="270" t="n">
        <x:f>'Raw Inputs'!L73</x:f>
        <x:v>79.62000274658203</x:v>
      </x:c>
      <x:c r="F73" s="271" t="n">
        <x:f>'Raw Inputs'!M73</x:f>
        <x:v>14709996109</x:v>
      </x:c>
      <x:c r="G73" s="268" t="n">
        <x:f>'Raw Inputs'!AP73</x:f>
        <x:v>0.03714630486310484</x:v>
      </x:c>
      <x:c r="H73" s="268" t="n">
        <x:f>'Raw Inputs'!AR73</x:f>
        <x:v>0</x:v>
      </x:c>
      <x:c r="I73" s="268" t="n">
        <x:f>'Raw Inputs'!AT73</x:f>
        <x:v>0.4695371738252307</x:v>
      </x:c>
      <x:c r="J73" s="268" t="n">
        <x:f>'Raw Inputs'!AV73</x:f>
        <x:v>0.08149728965097275</x:v>
      </x:c>
      <x:c r="K73" s="236" t="str">
        <x:f>'Raw Inputs'!N73</x:f>
        <x:v>Nasdaq screener</x:v>
      </x:c>
      <x:c r="L73" s="236" t="str">
        <x:f>IF('Raw Inputs'!AC73,"Financial / RE: E/P + B/P","Four-component")</x:f>
        <x:v>Financial / RE: E/P + B/P</x:v>
      </x:c>
      <x:c r="M73" s="269" t="n">
        <x:f>'Raw Inputs'!K73</x:f>
        <x:v>46213</x:v>
      </x:c>
      <x:c r="N73" s="20" t="str">
        <x:f>'Raw Inputs'!CE73</x:f>
        <x:v>https://api.nasdaq.com/api/screener/stocks?tableonly=true&amp;limit=25000&amp;download=true</x:v>
      </x:c>
    </x:row>
    <x:row r="74">
      <x:c r="A74" s="237" t="n">
        <x:f>RANK(D74,$D$5:$D$121,0)</x:f>
        <x:v>70</x:v>
      </x:c>
      <x:c r="B74" s="236" t="str">
        <x:f>'Raw Inputs'!A83</x:f>
        <x:v>ABT</x:v>
      </x:c>
      <x:c r="C74" s="236" t="str">
        <x:f>'Raw Inputs'!B83</x:f>
        <x:v>Abbott Laboratories</x:v>
      </x:c>
      <x:c r="D74" s="238" t="n">
        <x:f>IF(COUNT('Raw Inputs'!AQ83,'Raw Inputs'!AS83,'Raw Inputs'!AU83,'Raw Inputs'!AW83)=0,"",1+9*AVERAGE('Raw Inputs'!AQ83,'Raw Inputs'!AS83,'Raw Inputs'!AU83,'Raw Inputs'!AW83))</x:f>
        <x:v>5.122458770614693</x:v>
      </x:c>
      <x:c r="E74" s="270" t="n">
        <x:f>'Raw Inputs'!L83</x:f>
        <x:v>93.93000030517578</x:v>
      </x:c>
      <x:c r="F74" s="271" t="n">
        <x:f>'Raw Inputs'!M83</x:f>
        <x:v>155787703650</x:v>
      </x:c>
      <x:c r="G74" s="268" t="n">
        <x:f>'Raw Inputs'!AP83</x:f>
        <x:v>0.04028559284820038</x:v>
      </x:c>
      <x:c r="H74" s="268" t="n">
        <x:f>'Raw Inputs'!AR83</x:f>
        <x:v>0.04735932186647903</x:v>
      </x:c>
      <x:c r="I74" s="268" t="n">
        <x:f>'Raw Inputs'!AT83</x:f>
        <x:v>0.33462204512056815</x:v>
      </x:c>
      <x:c r="J74" s="268" t="n">
        <x:f>'Raw Inputs'!AV83</x:f>
        <x:v>0.2817446455571379</x:v>
      </x:c>
      <x:c r="K74" s="236" t="str">
        <x:f>'Raw Inputs'!N83</x:f>
        <x:v>Nasdaq screener</x:v>
      </x:c>
      <x:c r="L74" s="236" t="str">
        <x:f>IF('Raw Inputs'!AC83,"Financial / RE: E/P + B/P","Four-component")</x:f>
        <x:v>Four-component</x:v>
      </x:c>
      <x:c r="M74" s="269" t="n">
        <x:f>'Raw Inputs'!K83</x:f>
        <x:v>46213</x:v>
      </x:c>
      <x:c r="N74" s="20" t="str">
        <x:f>'Raw Inputs'!CE83</x:f>
        <x:v>https://api.nasdaq.com/api/screener/stocks?tableonly=true&amp;limit=25000&amp;download=true</x:v>
      </x:c>
    </x:row>
    <x:row r="75">
      <x:c r="A75" s="237" t="n">
        <x:f>RANK(D75,$D$5:$D$121,0)</x:f>
        <x:v>71</x:v>
      </x:c>
      <x:c r="B75" s="236" t="str">
        <x:f>'Raw Inputs'!A75</x:f>
        <x:v>ERIE</x:v>
      </x:c>
      <x:c r="C75" s="236" t="str">
        <x:f>'Raw Inputs'!B75</x:f>
        <x:v>Erie Indemnity Co.</x:v>
      </x:c>
      <x:c r="D75" s="238" t="n">
        <x:f>IF(COUNT('Raw Inputs'!AQ75,'Raw Inputs'!AS75,'Raw Inputs'!AU75,'Raw Inputs'!AW75)=0,"",1+9*AVERAGE('Raw Inputs'!AQ75,'Raw Inputs'!AS75,'Raw Inputs'!AU75,'Raw Inputs'!AW75))</x:f>
        <x:v>5.112068965517241</x:v>
      </x:c>
      <x:c r="E75" s="270" t="n">
        <x:f>'Raw Inputs'!L75</x:f>
        <x:v>251.80999755859375</x:v>
      </x:c>
      <x:c r="F75" s="271" t="n">
        <x:f>'Raw Inputs'!M75</x:f>
        <x:v>10743013696</x:v>
      </x:c>
      <x:c r="G75" s="268" t="n">
        <x:f>'Raw Inputs'!AP75</x:f>
        <x:v>0.05318731002016215</x:v>
      </x:c>
      <x:c r="H75" s="268" t="n">
        <x:f>'Raw Inputs'!AR75</x:f>
        <x:v>0.04998588061001388</x:v>
      </x:c>
      <x:c r="I75" s="268" t="n">
        <x:f>'Raw Inputs'!AT75</x:f>
        <x:v>0.21254501433337836</x:v>
      </x:c>
      <x:c r="J75" s="268" t="n">
        <x:f>'Raw Inputs'!AV75</x:f>
        <x:v>0.3806911278092073</x:v>
      </x:c>
      <x:c r="K75" s="236" t="str">
        <x:f>'Raw Inputs'!N75</x:f>
        <x:v>Nasdaq screener</x:v>
      </x:c>
      <x:c r="L75" s="236" t="str">
        <x:f>IF('Raw Inputs'!AC75,"Financial / RE: E/P + B/P","Four-component")</x:f>
        <x:v>Financial / RE: E/P + B/P</x:v>
      </x:c>
      <x:c r="M75" s="269" t="n">
        <x:f>'Raw Inputs'!K75</x:f>
        <x:v>46213</x:v>
      </x:c>
      <x:c r="N75" s="20" t="str">
        <x:f>'Raw Inputs'!CE75</x:f>
        <x:v>https://api.nasdaq.com/api/screener/stocks?tableonly=true&amp;limit=25000&amp;download=true</x:v>
      </x:c>
    </x:row>
    <x:row r="76">
      <x:c r="A76" s="237" t="n">
        <x:f>RANK(D76,$D$5:$D$121,0)</x:f>
        <x:v>72</x:v>
      </x:c>
      <x:c r="B76" s="236" t="str">
        <x:f>'Raw Inputs'!A39</x:f>
        <x:v>LHX</x:v>
      </x:c>
      <x:c r="C76" s="236" t="str">
        <x:f>'Raw Inputs'!B39</x:f>
        <x:v>L3Harris Technologies Inc.</x:v>
      </x:c>
      <x:c r="D76" s="238" t="n">
        <x:f>IF(COUNT('Raw Inputs'!AQ39,'Raw Inputs'!AS39,'Raw Inputs'!AU39,'Raw Inputs'!AW39)=0,"",1+9*AVERAGE('Raw Inputs'!AQ39,'Raw Inputs'!AS39,'Raw Inputs'!AU39,'Raw Inputs'!AW39))</x:f>
        <x:v>5.091559220389805</x:v>
      </x:c>
      <x:c r="E76" s="270" t="n">
        <x:f>'Raw Inputs'!L39</x:f>
        <x:v>290.7699890136719</x:v>
      </x:c>
      <x:c r="F76" s="271" t="n">
        <x:f>'Raw Inputs'!M39</x:f>
        <x:v>53611029524</x:v>
      </x:c>
      <x:c r="G76" s="268" t="n">
        <x:f>'Raw Inputs'!AP39</x:f>
        <x:v>0.032306784916798455</x:v>
      </x:c>
      <x:c r="H76" s="268" t="n">
        <x:f>'Raw Inputs'!AR39</x:f>
        <x:v>0.04829230147205035</x:v>
      </x:c>
      <x:c r="I76" s="268" t="n">
        <x:f>'Raw Inputs'!AT39</x:f>
        <x:v>0.3662492620331049</x:v>
      </x:c>
      <x:c r="J76" s="268" t="n">
        <x:f>'Raw Inputs'!AV39</x:f>
        <x:v>0.3486701548918369</x:v>
      </x:c>
      <x:c r="K76" s="236" t="str">
        <x:f>'Raw Inputs'!N39</x:f>
        <x:v>Nasdaq screener</x:v>
      </x:c>
      <x:c r="L76" s="236" t="str">
        <x:f>IF('Raw Inputs'!AC39,"Financial / RE: E/P + B/P","Four-component")</x:f>
        <x:v>Four-component</x:v>
      </x:c>
      <x:c r="M76" s="269" t="n">
        <x:f>'Raw Inputs'!K39</x:f>
        <x:v>46213</x:v>
      </x:c>
      <x:c r="N76" s="20" t="str">
        <x:f>'Raw Inputs'!CE39</x:f>
        <x:v>https://api.nasdaq.com/api/screener/stocks?tableonly=true&amp;limit=25000&amp;download=true</x:v>
      </x:c>
    </x:row>
    <x:row r="77">
      <x:c r="A77" s="237" t="n">
        <x:f>RANK(D77,$D$5:$D$121,0)</x:f>
        <x:v>73</x:v>
      </x:c>
      <x:c r="B77" s="236" t="str">
        <x:f>'Raw Inputs'!A48</x:f>
        <x:v>MO</x:v>
      </x:c>
      <x:c r="C77" s="236" t="str">
        <x:f>'Raw Inputs'!B48</x:f>
        <x:v>Altria Group Inc.</x:v>
      </x:c>
      <x:c r="D77" s="238" t="n">
        <x:f>IF(COUNT('Raw Inputs'!AQ48,'Raw Inputs'!AS48,'Raw Inputs'!AU48,'Raw Inputs'!AW48)=0,"",1+9*AVERAGE('Raw Inputs'!AQ48,'Raw Inputs'!AS48,'Raw Inputs'!AU48,'Raw Inputs'!AW48))</x:f>
        <x:v>4.959021739130435</x:v>
      </x:c>
      <x:c r="E77" s="270" t="n">
        <x:f>'Raw Inputs'!L48</x:f>
        <x:v>71.79000091552734</x:v>
      </x:c>
      <x:c r="F77" s="271" t="n">
        <x:f>'Raw Inputs'!M48</x:f>
        <x:v>118679170071</x:v>
      </x:c>
      <x:c r="G77" s="268" t="n">
        <x:f>'Raw Inputs'!AP48</x:f>
        <x:v>0.06785520993433203</x:v>
      </x:c>
      <x:c r="H77" s="268" t="n">
        <x:f>'Raw Inputs'!AR48</x:f>
        <x:v>0.07265807466332362</x:v>
      </x:c>
      <x:c r="I77" s="268" t="n">
        <x:f>'Raw Inputs'!AT48</x:f>
        <x:v>-0.029508126808646562</x:v>
      </x:c>
      <x:c r="J77" s="268" t="n">
        <x:f>'Raw Inputs'!AV48</x:f>
        <x:v>0.1675884578960174</x:v>
      </x:c>
      <x:c r="K77" s="236" t="str">
        <x:f>'Raw Inputs'!N48</x:f>
        <x:v>Nasdaq screener</x:v>
      </x:c>
      <x:c r="L77" s="236" t="str">
        <x:f>IF('Raw Inputs'!AC48,"Financial / RE: E/P + B/P","Four-component")</x:f>
        <x:v>Four-component</x:v>
      </x:c>
      <x:c r="M77" s="269" t="n">
        <x:f>'Raw Inputs'!K48</x:f>
        <x:v>46213</x:v>
      </x:c>
      <x:c r="N77" s="20" t="str">
        <x:f>'Raw Inputs'!CE48</x:f>
        <x:v>https://api.nasdaq.com/api/screener/stocks?tableonly=true&amp;limit=25000&amp;download=true</x:v>
      </x:c>
    </x:row>
    <x:row r="78">
      <x:c r="A78" s="237" t="n">
        <x:f>RANK(D78,$D$5:$D$121,0)</x:f>
        <x:v>74</x:v>
      </x:c>
      <x:c r="B78" s="236" t="str">
        <x:f>'Raw Inputs'!A90</x:f>
        <x:v>CCC</x:v>
      </x:c>
      <x:c r="C78" s="236" t="str">
        <x:f>'Raw Inputs'!B90</x:f>
        <x:v>CCC Intelligent Solutions Holdings Inc.</x:v>
      </x:c>
      <x:c r="D78" s="238" t="n">
        <x:f>IF(COUNT('Raw Inputs'!AQ90,'Raw Inputs'!AS90,'Raw Inputs'!AU90,'Raw Inputs'!AW90)=0,"",1+9*AVERAGE('Raw Inputs'!AQ90,'Raw Inputs'!AS90,'Raw Inputs'!AU90,'Raw Inputs'!AW90))</x:f>
        <x:v>4.92906671664168</x:v>
      </x:c>
      <x:c r="E78" s="270" t="n">
        <x:f>'Raw Inputs'!L90</x:f>
        <x:v>5.920000076293945</x:v>
      </x:c>
      <x:c r="F78" s="271" t="n">
        <x:f>'Raw Inputs'!M90</x:f>
        <x:v>3668378350</x:v>
      </x:c>
      <x:c r="G78" s="268" t="n">
        <x:f>'Raw Inputs'!AP90</x:f>
        <x:v>0.0004601488284325961</x:v>
      </x:c>
      <x:c r="H78" s="268" t="n">
        <x:f>'Raw Inputs'!AR90</x:f>
        <x:v>0.0693788850869213</x:v>
      </x:c>
      <x:c r="I78" s="268" t="n">
        <x:f>'Raw Inputs'!AT90</x:f>
        <x:v>0.4871389561003161</x:v>
      </x:c>
      <x:c r="J78" s="268" t="n">
        <x:f>'Raw Inputs'!AV90</x:f>
        <x:v>0.21802032840657704</x:v>
      </x:c>
      <x:c r="K78" s="236" t="str">
        <x:f>'Raw Inputs'!N90</x:f>
        <x:v>Nasdaq screener</x:v>
      </x:c>
      <x:c r="L78" s="236" t="str">
        <x:f>IF('Raw Inputs'!AC90,"Financial / RE: E/P + B/P","Four-component")</x:f>
        <x:v>Four-component</x:v>
      </x:c>
      <x:c r="M78" s="269" t="n">
        <x:f>'Raw Inputs'!K90</x:f>
        <x:v>46213</x:v>
      </x:c>
      <x:c r="N78" s="20" t="str">
        <x:f>'Raw Inputs'!CE90</x:f>
        <x:v>https://api.nasdaq.com/api/screener/stocks?tableonly=true&amp;limit=25000&amp;download=true</x:v>
      </x:c>
    </x:row>
    <x:row r="79">
      <x:c r="A79" s="237" t="n">
        <x:f>RANK(D79,$D$5:$D$121,0)</x:f>
        <x:v>75</x:v>
      </x:c>
      <x:c r="B79" s="236" t="str">
        <x:f>'Raw Inputs'!A28</x:f>
        <x:v>GILD</x:v>
      </x:c>
      <x:c r="C79" s="236" t="str">
        <x:f>'Raw Inputs'!B28</x:f>
        <x:v>Gilead Sciences Inc.</x:v>
      </x:c>
      <x:c r="D79" s="238" t="n">
        <x:f>IF(COUNT('Raw Inputs'!AQ28,'Raw Inputs'!AS28,'Raw Inputs'!AU28,'Raw Inputs'!AW28)=0,"",1+9*AVERAGE('Raw Inputs'!AQ28,'Raw Inputs'!AS28,'Raw Inputs'!AU28,'Raw Inputs'!AW28))</x:f>
        <x:v>4.853167166416792</x:v>
      </x:c>
      <x:c r="E79" s="270" t="n">
        <x:f>'Raw Inputs'!L28</x:f>
        <x:v>129.8300018310547</x:v>
      </x:c>
      <x:c r="F79" s="271" t="n">
        <x:f>'Raw Inputs'!M28</x:f>
        <x:v>164805985075</x:v>
      </x:c>
      <x:c r="G79" s="268" t="n">
        <x:f>'Raw Inputs'!AP28</x:f>
        <x:v>0.05592029922824694</x:v>
      </x:c>
      <x:c r="H79" s="268" t="n">
        <x:f>'Raw Inputs'!AR28</x:f>
        <x:v>0.062072988401146514</x:v>
      </x:c>
      <x:c r="I79" s="268" t="n">
        <x:f>'Raw Inputs'!AT28</x:f>
        <x:v>0.1377559194204525</x:v>
      </x:c>
      <x:c r="J79" s="268" t="n">
        <x:f>'Raw Inputs'!AV28</x:f>
        <x:v>0.15671725617812013</x:v>
      </x:c>
      <x:c r="K79" s="236" t="str">
        <x:f>'Raw Inputs'!N28</x:f>
        <x:v>Nasdaq screener</x:v>
      </x:c>
      <x:c r="L79" s="236" t="str">
        <x:f>IF('Raw Inputs'!AC28,"Financial / RE: E/P + B/P","Four-component")</x:f>
        <x:v>Four-component</x:v>
      </x:c>
      <x:c r="M79" s="269" t="n">
        <x:f>'Raw Inputs'!K28</x:f>
        <x:v>46213</x:v>
      </x:c>
      <x:c r="N79" s="20" t="str">
        <x:f>'Raw Inputs'!CE28</x:f>
        <x:v>https://api.nasdaq.com/api/screener/stocks?tableonly=true&amp;limit=25000&amp;download=true</x:v>
      </x:c>
    </x:row>
    <x:row r="80">
      <x:c r="A80" s="237" t="n">
        <x:f>RANK(D80,$D$5:$D$121,0)</x:f>
        <x:v>76</x:v>
      </x:c>
      <x:c r="B80" s="236" t="str">
        <x:f>'Raw Inputs'!A65</x:f>
        <x:v>COR</x:v>
      </x:c>
      <x:c r="C80" s="236" t="str">
        <x:f>'Raw Inputs'!B65</x:f>
        <x:v>Cencora Inc.</x:v>
      </x:c>
      <x:c r="D80" s="238" t="n">
        <x:f>IF(COUNT('Raw Inputs'!AQ65,'Raw Inputs'!AS65,'Raw Inputs'!AU65,'Raw Inputs'!AW65)=0,"",1+9*AVERAGE('Raw Inputs'!AQ65,'Raw Inputs'!AS65,'Raw Inputs'!AU65,'Raw Inputs'!AW65))</x:f>
        <x:v>4.824831334332834</x:v>
      </x:c>
      <x:c r="E80" s="270" t="n">
        <x:f>'Raw Inputs'!L65</x:f>
        <x:v>303.44000244140625</x:v>
      </x:c>
      <x:c r="F80" s="271" t="n">
        <x:f>'Raw Inputs'!M65</x:f>
        <x:v>59314857557</x:v>
      </x:c>
      <x:c r="G80" s="268" t="n">
        <x:f>'Raw Inputs'!AP65</x:f>
        <x:v>0.0429686103106762</x:v>
      </x:c>
      <x:c r="H80" s="268" t="n">
        <x:f>'Raw Inputs'!AR65</x:f>
        <x:v>0.026268494339764633</x:v>
      </x:c>
      <x:c r="I80" s="268" t="n">
        <x:f>'Raw Inputs'!AT65</x:f>
        <x:v>0.025423967317983253</x:v>
      </x:c>
      <x:c r="J80" s="268" t="n">
        <x:f>'Raw Inputs'!AV65</x:f>
        <x:v>5.248845121202728</x:v>
      </x:c>
      <x:c r="K80" s="236" t="str">
        <x:f>'Raw Inputs'!N65</x:f>
        <x:v>Nasdaq screener</x:v>
      </x:c>
      <x:c r="L80" s="236" t="str">
        <x:f>IF('Raw Inputs'!AC65,"Financial / RE: E/P + B/P","Four-component")</x:f>
        <x:v>Four-component</x:v>
      </x:c>
      <x:c r="M80" s="269" t="n">
        <x:f>'Raw Inputs'!K65</x:f>
        <x:v>46213</x:v>
      </x:c>
      <x:c r="N80" s="20" t="str">
        <x:f>'Raw Inputs'!CE65</x:f>
        <x:v>https://api.nasdaq.com/api/screener/stocks?tableonly=true&amp;limit=25000&amp;download=true</x:v>
      </x:c>
    </x:row>
    <x:row r="81">
      <x:c r="A81" s="237" t="n">
        <x:f>RANK(D81,$D$5:$D$121,0)</x:f>
        <x:v>77</x:v>
      </x:c>
      <x:c r="B81" s="236" t="str">
        <x:f>'Raw Inputs'!A80</x:f>
        <x:v>LMT</x:v>
      </x:c>
      <x:c r="C81" s="236" t="str">
        <x:f>'Raw Inputs'!B80</x:f>
        <x:v>Lockheed Martin Corp.</x:v>
      </x:c>
      <x:c r="D81" s="238" t="n">
        <x:f>IF(COUNT('Raw Inputs'!AQ80,'Raw Inputs'!AS80,'Raw Inputs'!AU80,'Raw Inputs'!AW80)=0,"",1+9*AVERAGE('Raw Inputs'!AQ80,'Raw Inputs'!AS80,'Raw Inputs'!AU80,'Raw Inputs'!AW80))</x:f>
        <x:v>4.800374812593703</x:v>
      </x:c>
      <x:c r="E81" s="270" t="n">
        <x:f>'Raw Inputs'!L80</x:f>
        <x:v>523.219970703125</x:v>
      </x:c>
      <x:c r="F81" s="271" t="n">
        <x:f>'Raw Inputs'!M80</x:f>
        <x:v>118329854898</x:v>
      </x:c>
      <x:c r="G81" s="268" t="n">
        <x:f>'Raw Inputs'!AP80</x:f>
        <x:v>0.040505416018058606</x:v>
      </x:c>
      <x:c r="H81" s="268" t="n">
        <x:f>'Raw Inputs'!AR80</x:f>
        <x:v>0.04784929386485454</x:v>
      </x:c>
      <x:c r="I81" s="268" t="n">
        <x:f>'Raw Inputs'!AT80</x:f>
        <x:v>0.05679885271382681</x:v>
      </x:c>
      <x:c r="J81" s="268" t="n">
        <x:f>'Raw Inputs'!AV80</x:f>
        <x:v>0.5526203576387078</x:v>
      </x:c>
      <x:c r="K81" s="236" t="str">
        <x:f>'Raw Inputs'!N80</x:f>
        <x:v>Nasdaq screener</x:v>
      </x:c>
      <x:c r="L81" s="236" t="str">
        <x:f>IF('Raw Inputs'!AC80,"Financial / RE: E/P + B/P","Four-component")</x:f>
        <x:v>Four-component</x:v>
      </x:c>
      <x:c r="M81" s="269" t="n">
        <x:f>'Raw Inputs'!K80</x:f>
        <x:v>46213</x:v>
      </x:c>
      <x:c r="N81" s="20" t="str">
        <x:f>'Raw Inputs'!CE80</x:f>
        <x:v>https://api.nasdaq.com/api/screener/stocks?tableonly=true&amp;limit=25000&amp;download=true</x:v>
      </x:c>
    </x:row>
    <x:row r="82">
      <x:c r="A82" s="237" t="n">
        <x:f>RANK(D82,$D$5:$D$121,0)</x:f>
        <x:v>78</x:v>
      </x:c>
      <x:c r="B82" s="236" t="str">
        <x:f>'Raw Inputs'!A53</x:f>
        <x:v>FE</x:v>
      </x:c>
      <x:c r="C82" s="236" t="str">
        <x:f>'Raw Inputs'!B53</x:f>
        <x:v>FirstEnergy Corp.</x:v>
      </x:c>
      <x:c r="D82" s="238" t="n">
        <x:f>IF(COUNT('Raw Inputs'!AQ53,'Raw Inputs'!AS53,'Raw Inputs'!AU53,'Raw Inputs'!AW53)=0,"",1+9*AVERAGE('Raw Inputs'!AQ53,'Raw Inputs'!AS53,'Raw Inputs'!AU53,'Raw Inputs'!AW53))</x:f>
        <x:v>4.73098575712144</x:v>
      </x:c>
      <x:c r="E82" s="270" t="n">
        <x:f>'Raw Inputs'!L53</x:f>
        <x:v>47.91999816894531</x:v>
      </x:c>
      <x:c r="F82" s="271" t="n">
        <x:f>'Raw Inputs'!M53</x:f>
        <x:v>28387146187</x:v>
      </x:c>
      <x:c r="G82" s="268" t="n">
        <x:f>'Raw Inputs'!AP53</x:f>
        <x:v>0.037516980149548136</x:v>
      </x:c>
      <x:c r="H82" s="268" t="n">
        <x:f>'Raw Inputs'!AR53</x:f>
        <x:v>-0.061436256695598074</x:v>
      </x:c>
      <x:c r="I82" s="268" t="n">
        <x:f>'Raw Inputs'!AT53</x:f>
        <x:v>0.44069241471441045</x:v>
      </x:c>
      <x:c r="J82" s="268" t="n">
        <x:f>'Raw Inputs'!AV53</x:f>
        <x:v>0.5418572949749649</x:v>
      </x:c>
      <x:c r="K82" s="236" t="str">
        <x:f>'Raw Inputs'!N53</x:f>
        <x:v>Nasdaq screener</x:v>
      </x:c>
      <x:c r="L82" s="236" t="str">
        <x:f>IF('Raw Inputs'!AC53,"Financial / RE: E/P + B/P","Four-component")</x:f>
        <x:v>Four-component</x:v>
      </x:c>
      <x:c r="M82" s="269" t="n">
        <x:f>'Raw Inputs'!K53</x:f>
        <x:v>46213</x:v>
      </x:c>
      <x:c r="N82" s="20" t="str">
        <x:f>'Raw Inputs'!CE53</x:f>
        <x:v>https://api.nasdaq.com/api/screener/stocks?tableonly=true&amp;limit=25000&amp;download=true</x:v>
      </x:c>
    </x:row>
    <x:row r="83">
      <x:c r="A83" s="237" t="n">
        <x:f>RANK(D83,$D$5:$D$121,0)</x:f>
        <x:v>79</x:v>
      </x:c>
      <x:c r="B83" s="236" t="str">
        <x:f>'Raw Inputs'!A68</x:f>
        <x:v>CTVA</x:v>
      </x:c>
      <x:c r="C83" s="236" t="str">
        <x:f>'Raw Inputs'!B68</x:f>
        <x:v>Corteva Inc.</x:v>
      </x:c>
      <x:c r="D83" s="238" t="n">
        <x:f>IF(COUNT('Raw Inputs'!AQ68,'Raw Inputs'!AS68,'Raw Inputs'!AU68,'Raw Inputs'!AW68)=0,"",1+9*AVERAGE('Raw Inputs'!AQ68,'Raw Inputs'!AS68,'Raw Inputs'!AU68,'Raw Inputs'!AW68))</x:f>
        <x:v>4.479066716641679</x:v>
      </x:c>
      <x:c r="E83" s="270" t="n">
        <x:f>'Raw Inputs'!L68</x:f>
        <x:v>85.68000030517578</x:v>
      </x:c>
      <x:c r="F83" s="271" t="n">
        <x:f>'Raw Inputs'!M68</x:f>
        <x:v>55791559878</x:v>
      </x:c>
      <x:c r="G83" s="268" t="n">
        <x:f>'Raw Inputs'!AP68</x:f>
        <x:v>0.020827523061569847</x:v>
      </x:c>
      <x:c r="H83" s="268" t="n">
        <x:f>'Raw Inputs'!AR68</x:f>
        <x:v>0.03667221358345259</x:v>
      </x:c>
      <x:c r="I83" s="268" t="n">
        <x:f>'Raw Inputs'!AT68</x:f>
        <x:v>0.4327536289144083</x:v>
      </x:c>
      <x:c r="J83" s="268" t="n">
        <x:f>'Raw Inputs'!AV68</x:f>
        <x:v>0.34367185863534794</x:v>
      </x:c>
      <x:c r="K83" s="236" t="str">
        <x:f>'Raw Inputs'!N68</x:f>
        <x:v>Nasdaq screener</x:v>
      </x:c>
      <x:c r="L83" s="236" t="str">
        <x:f>IF('Raw Inputs'!AC68,"Financial / RE: E/P + B/P","Four-component")</x:f>
        <x:v>Four-component</x:v>
      </x:c>
      <x:c r="M83" s="269" t="n">
        <x:f>'Raw Inputs'!K68</x:f>
        <x:v>46213</x:v>
      </x:c>
      <x:c r="N83" s="20" t="str">
        <x:f>'Raw Inputs'!CE68</x:f>
        <x:v>https://api.nasdaq.com/api/screener/stocks?tableonly=true&amp;limit=25000&amp;download=true</x:v>
      </x:c>
    </x:row>
    <x:row r="84">
      <x:c r="A84" s="237" t="n">
        <x:f>RANK(D84,$D$5:$D$121,0)</x:f>
        <x:v>80</x:v>
      </x:c>
      <x:c r="B84" s="236" t="str">
        <x:f>'Raw Inputs'!A108</x:f>
        <x:v>DUK</x:v>
      </x:c>
      <x:c r="C84" s="236" t="str">
        <x:f>'Raw Inputs'!B108</x:f>
        <x:v>Duke Energy Corp.</x:v>
      </x:c>
      <x:c r="D84" s="238" t="n">
        <x:f>IF(COUNT('Raw Inputs'!AQ108,'Raw Inputs'!AS108,'Raw Inputs'!AU108,'Raw Inputs'!AW108)=0,"",1+9*AVERAGE('Raw Inputs'!AQ108,'Raw Inputs'!AS108,'Raw Inputs'!AU108,'Raw Inputs'!AW108))</x:f>
        <x:v>4.461053223388305</x:v>
      </x:c>
      <x:c r="E84" s="270" t="n">
        <x:f>'Raw Inputs'!L108</x:f>
        <x:v>125.4800033569336</x:v>
      </x:c>
      <x:c r="F84" s="271" t="n">
        <x:f>'Raw Inputs'!M108</x:f>
        <x:v>97956264666</x:v>
      </x:c>
      <x:c r="G84" s="268" t="n">
        <x:f>'Raw Inputs'!AP108</x:f>
        <x:v>0.05246218827884435</x:v>
      </x:c>
      <x:c r="H84" s="268" t="n">
        <x:f>'Raw Inputs'!AR108</x:f>
        <x:v>-0.033678295219285365</x:v>
      </x:c>
      <x:c r="I84" s="268" t="n">
        <x:f>'Raw Inputs'!AT108</x:f>
        <x:v>0.5292361869530743</x:v>
      </x:c>
      <x:c r="J84" s="268" t="n">
        <x:f>'Raw Inputs'!AV108</x:f>
        <x:v>0.12298614801700247</x:v>
      </x:c>
      <x:c r="K84" s="236" t="str">
        <x:f>'Raw Inputs'!N108</x:f>
        <x:v>Nasdaq screener</x:v>
      </x:c>
      <x:c r="L84" s="236" t="str">
        <x:f>IF('Raw Inputs'!AC108,"Financial / RE: E/P + B/P","Four-component")</x:f>
        <x:v>Four-component</x:v>
      </x:c>
      <x:c r="M84" s="269" t="n">
        <x:f>'Raw Inputs'!K108</x:f>
        <x:v>46213</x:v>
      </x:c>
      <x:c r="N84" s="20" t="str">
        <x:f>'Raw Inputs'!CE108</x:f>
        <x:v>https://api.nasdaq.com/api/screener/stocks?tableonly=true&amp;limit=25000&amp;download=true</x:v>
      </x:c>
    </x:row>
    <x:row r="85">
      <x:c r="A85" s="237" t="n">
        <x:f>RANK(D85,$D$5:$D$121,0)</x:f>
        <x:v>81</x:v>
      </x:c>
      <x:c r="B85" s="236" t="str">
        <x:f>'Raw Inputs'!A69</x:f>
        <x:v>FCFS</x:v>
      </x:c>
      <x:c r="C85" s="236" t="str">
        <x:f>'Raw Inputs'!B69</x:f>
        <x:v>FirstCash Holdings Inc.</x:v>
      </x:c>
      <x:c r="D85" s="238" t="n">
        <x:f>IF(COUNT('Raw Inputs'!AQ69,'Raw Inputs'!AS69,'Raw Inputs'!AU69,'Raw Inputs'!AW69)=0,"",1+9*AVERAGE('Raw Inputs'!AQ69,'Raw Inputs'!AS69,'Raw Inputs'!AU69,'Raw Inputs'!AW69))</x:f>
        <x:v>4.458691904047976</x:v>
      </x:c>
      <x:c r="E85" s="270" t="n">
        <x:f>'Raw Inputs'!L69</x:f>
        <x:v>218.61000061035156</x:v>
      </x:c>
      <x:c r="F85" s="271" t="n">
        <x:f>'Raw Inputs'!M69</x:f>
        <x:v>9256554827</x:v>
      </x:c>
      <x:c r="G85" s="268" t="n">
        <x:f>'Raw Inputs'!AP69</x:f>
        <x:v>0.03829567334987492</x:v>
      </x:c>
      <x:c r="H85" s="268" t="n">
        <x:f>'Raw Inputs'!AR69</x:f>
        <x:v>0.061428794041323294</x:v>
      </x:c>
      <x:c r="I85" s="268" t="n">
        <x:f>'Raw Inputs'!AT69</x:f>
        <x:v>0.2459621362970835</x:v>
      </x:c>
      <x:c r="J85" s="268" t="n">
        <x:f>'Raw Inputs'!AV69</x:f>
        <x:v>0.15518551645258527</x:v>
      </x:c>
      <x:c r="K85" s="236" t="str">
        <x:f>'Raw Inputs'!N69</x:f>
        <x:v>Nasdaq screener</x:v>
      </x:c>
      <x:c r="L85" s="236" t="str">
        <x:f>IF('Raw Inputs'!AC69,"Financial / RE: E/P + B/P","Four-component")</x:f>
        <x:v>Four-component</x:v>
      </x:c>
      <x:c r="M85" s="269" t="n">
        <x:f>'Raw Inputs'!K69</x:f>
        <x:v>46213</x:v>
      </x:c>
      <x:c r="N85" s="20" t="str">
        <x:f>'Raw Inputs'!CE69</x:f>
        <x:v>https://api.nasdaq.com/api/screener/stocks?tableonly=true&amp;limit=25000&amp;download=true</x:v>
      </x:c>
    </x:row>
    <x:row r="86">
      <x:c r="A86" s="237" t="n">
        <x:f>RANK(D86,$D$5:$D$121,0)</x:f>
        <x:v>82</x:v>
      </x:c>
      <x:c r="B86" s="236" t="str">
        <x:f>'Raw Inputs'!A12</x:f>
        <x:v>FTI</x:v>
      </x:c>
      <x:c r="C86" s="236" t="str">
        <x:f>'Raw Inputs'!B12</x:f>
        <x:v>TechnipFMC PLC</x:v>
      </x:c>
      <x:c r="D86" s="238" t="n">
        <x:f>IF(COUNT('Raw Inputs'!AQ12,'Raw Inputs'!AS12,'Raw Inputs'!AU12,'Raw Inputs'!AW12)=0,"",1+9*AVERAGE('Raw Inputs'!AQ12,'Raw Inputs'!AS12,'Raw Inputs'!AU12,'Raw Inputs'!AW12))</x:f>
        <x:v>4.4430059970014995</x:v>
      </x:c>
      <x:c r="E86" s="270" t="n">
        <x:f>'Raw Inputs'!L12</x:f>
        <x:v>71.8499984741211</x:v>
      </x:c>
      <x:c r="F86" s="271" t="n">
        <x:f>'Raw Inputs'!M12</x:f>
        <x:v>28415484199</x:v>
      </x:c>
      <x:c r="G86" s="268" t="n">
        <x:f>'Raw Inputs'!AP12</x:f>
        <x:v>0.03809190765216987</x:v>
      </x:c>
      <x:c r="H86" s="268" t="n">
        <x:f>'Raw Inputs'!AR12</x:f>
        <x:v>0.0473122326751452</x:v>
      </x:c>
      <x:c r="I86" s="268" t="n">
        <x:f>'Raw Inputs'!AT12</x:f>
        <x:v>0.11837911951253602</x:v>
      </x:c>
      <x:c r="J86" s="268" t="n">
        <x:f>'Raw Inputs'!AV12</x:f>
        <x:v>0.3664288617777794</x:v>
      </x:c>
      <x:c r="K86" s="236" t="str">
        <x:f>'Raw Inputs'!N12</x:f>
        <x:v>Nasdaq screener</x:v>
      </x:c>
      <x:c r="L86" s="236" t="str">
        <x:f>IF('Raw Inputs'!AC12,"Financial / RE: E/P + B/P","Four-component")</x:f>
        <x:v>Four-component</x:v>
      </x:c>
      <x:c r="M86" s="269" t="n">
        <x:f>'Raw Inputs'!K12</x:f>
        <x:v>46213</x:v>
      </x:c>
      <x:c r="N86" s="20" t="str">
        <x:f>'Raw Inputs'!CE12</x:f>
        <x:v>https://api.nasdaq.com/api/screener/stocks?tableonly=true&amp;limit=25000&amp;download=true</x:v>
      </x:c>
    </x:row>
    <x:row r="87">
      <x:c r="A87" s="237" t="n">
        <x:f>RANK(D87,$D$5:$D$121,0)</x:f>
        <x:v>83</x:v>
      </x:c>
      <x:c r="B87" s="236" t="str">
        <x:f>'Raw Inputs'!A64</x:f>
        <x:v>SO</x:v>
      </x:c>
      <x:c r="C87" s="236" t="str">
        <x:f>'Raw Inputs'!B64</x:f>
        <x:v>The Southern Co.</x:v>
      </x:c>
      <x:c r="D87" s="238" t="n">
        <x:f>IF(COUNT('Raw Inputs'!AQ64,'Raw Inputs'!AS64,'Raw Inputs'!AU64,'Raw Inputs'!AW64)=0,"",1+9*AVERAGE('Raw Inputs'!AQ64,'Raw Inputs'!AS64,'Raw Inputs'!AU64,'Raw Inputs'!AW64))</x:f>
        <x:v>4.3770239880059965</x:v>
      </x:c>
      <x:c r="E87" s="270" t="n">
        <x:f>'Raw Inputs'!L64</x:f>
        <x:v>95.61000061035156</x:v>
      </x:c>
      <x:c r="F87" s="271" t="n">
        <x:f>'Raw Inputs'!M64</x:f>
        <x:v>107856092072</x:v>
      </x:c>
      <x:c r="G87" s="268" t="n">
        <x:f>'Raw Inputs'!AP64</x:f>
        <x:v>0.04045204972833109</x:v>
      </x:c>
      <x:c r="H87" s="268" t="n">
        <x:f>'Raw Inputs'!AR64</x:f>
        <x:v>-0.03213541241310922</x:v>
      </x:c>
      <x:c r="I87" s="268" t="n">
        <x:f>'Raw Inputs'!AT64</x:f>
        <x:v>0.333926432045742</x:v>
      </x:c>
      <x:c r="J87" s="268" t="n">
        <x:f>'Raw Inputs'!AV64</x:f>
        <x:v>0.2821606151255187</x:v>
      </x:c>
      <x:c r="K87" s="236" t="str">
        <x:f>'Raw Inputs'!N64</x:f>
        <x:v>Nasdaq screener</x:v>
      </x:c>
      <x:c r="L87" s="236" t="str">
        <x:f>IF('Raw Inputs'!AC64,"Financial / RE: E/P + B/P","Four-component")</x:f>
        <x:v>Four-component</x:v>
      </x:c>
      <x:c r="M87" s="269" t="n">
        <x:f>'Raw Inputs'!K64</x:f>
        <x:v>46213</x:v>
      </x:c>
      <x:c r="N87" s="20" t="str">
        <x:f>'Raw Inputs'!CE64</x:f>
        <x:v>https://api.nasdaq.com/api/screener/stocks?tableonly=true&amp;limit=25000&amp;download=true</x:v>
      </x:c>
    </x:row>
    <x:row r="88">
      <x:c r="A88" s="237" t="n">
        <x:f>RANK(D88,$D$5:$D$121,0)</x:f>
        <x:v>84</x:v>
      </x:c>
      <x:c r="B88" s="236" t="str">
        <x:f>'Raw Inputs'!A34</x:f>
        <x:v>HSY</x:v>
      </x:c>
      <x:c r="C88" s="236" t="str">
        <x:f>'Raw Inputs'!B34</x:f>
        <x:v>The Hershey Co.</x:v>
      </x:c>
      <x:c r="D88" s="238" t="n">
        <x:f>IF(COUNT('Raw Inputs'!AQ34,'Raw Inputs'!AS34,'Raw Inputs'!AU34,'Raw Inputs'!AW34)=0,"",1+9*AVERAGE('Raw Inputs'!AQ34,'Raw Inputs'!AS34,'Raw Inputs'!AU34,'Raw Inputs'!AW34))</x:f>
        <x:v>4.3718290854572714</x:v>
      </x:c>
      <x:c r="E88" s="270" t="n">
        <x:f>'Raw Inputs'!L34</x:f>
        <x:v>173.66000366210938</x:v>
      </x:c>
      <x:c r="F88" s="271" t="n">
        <x:f>'Raw Inputs'!M34</x:f>
        <x:v>34749098057</x:v>
      </x:c>
      <x:c r="G88" s="268" t="n">
        <x:f>'Raw Inputs'!AP34</x:f>
        <x:v>0.031487464745278124</x:v>
      </x:c>
      <x:c r="H88" s="268" t="n">
        <x:f>'Raw Inputs'!AR34</x:f>
        <x:v>0.05542008592110952</x:v>
      </x:c>
      <x:c r="I88" s="268" t="n">
        <x:f>'Raw Inputs'!AT34</x:f>
        <x:v>0.13343511801066602</x:v>
      </x:c>
      <x:c r="J88" s="268" t="n">
        <x:f>'Raw Inputs'!AV34</x:f>
        <x:v>0.3429262772308367</x:v>
      </x:c>
      <x:c r="K88" s="236" t="str">
        <x:f>'Raw Inputs'!N34</x:f>
        <x:v>Nasdaq screener</x:v>
      </x:c>
      <x:c r="L88" s="236" t="str">
        <x:f>IF('Raw Inputs'!AC34,"Financial / RE: E/P + B/P","Four-component")</x:f>
        <x:v>Four-component</x:v>
      </x:c>
      <x:c r="M88" s="269" t="n">
        <x:f>'Raw Inputs'!K34</x:f>
        <x:v>46213</x:v>
      </x:c>
      <x:c r="N88" s="20" t="str">
        <x:f>'Raw Inputs'!CE34</x:f>
        <x:v>https://api.nasdaq.com/api/screener/stocks?tableonly=true&amp;limit=25000&amp;download=true</x:v>
      </x:c>
    </x:row>
    <x:row r="89">
      <x:c r="A89" s="237" t="n">
        <x:f>RANK(D89,$D$5:$D$121,0)</x:f>
        <x:v>85</x:v>
      </x:c>
      <x:c r="B89" s="236" t="str">
        <x:f>'Raw Inputs'!A82</x:f>
        <x:v>MRSH</x:v>
      </x:c>
      <x:c r="C89" s="236" t="str">
        <x:f>'Raw Inputs'!B82</x:f>
        <x:v>Marsh and McLennan Cos. Inc.</x:v>
      </x:c>
      <x:c r="D89" s="238" t="n">
        <x:f>IF(COUNT('Raw Inputs'!AQ82,'Raw Inputs'!AS82,'Raw Inputs'!AU82,'Raw Inputs'!AW82)=0,"",1+9*AVERAGE('Raw Inputs'!AQ82,'Raw Inputs'!AS82,'Raw Inputs'!AU82,'Raw Inputs'!AW82))</x:f>
        <x:v>4.336206896551724</x:v>
      </x:c>
      <x:c r="E89" s="270" t="n">
        <x:f>'Raw Inputs'!L82</x:f>
        <x:v>178.30999755859375</x:v>
      </x:c>
      <x:c r="F89" s="271" t="n">
        <x:f>'Raw Inputs'!M82</x:f>
        <x:v>85826872408</x:v>
      </x:c>
      <x:c r="G89" s="268" t="n">
        <x:f>'Raw Inputs'!AP82</x:f>
        <x:v>0.04573159769054042</x:v>
      </x:c>
      <x:c r="H89" s="268" t="n">
        <x:f>'Raw Inputs'!AR82</x:f>
        <x:v>0.057417914246874695</x:v>
      </x:c>
      <x:c r="I89" s="268" t="n">
        <x:f>'Raw Inputs'!AT82</x:f>
        <x:v>0.1784406162116246</x:v>
      </x:c>
      <x:c r="J89" s="268" t="n">
        <x:f>'Raw Inputs'!AV82</x:f>
        <x:v>0.26786564561910164</x:v>
      </x:c>
      <x:c r="K89" s="236" t="str">
        <x:f>'Raw Inputs'!N82</x:f>
        <x:v>Nasdaq screener</x:v>
      </x:c>
      <x:c r="L89" s="236" t="str">
        <x:f>IF('Raw Inputs'!AC82,"Financial / RE: E/P + B/P","Four-component")</x:f>
        <x:v>Financial / RE: E/P + B/P</x:v>
      </x:c>
      <x:c r="M89" s="269" t="n">
        <x:f>'Raw Inputs'!K82</x:f>
        <x:v>46213</x:v>
      </x:c>
      <x:c r="N89" s="20" t="str">
        <x:f>'Raw Inputs'!CE82</x:f>
        <x:v>https://api.nasdaq.com/api/screener/stocks?tableonly=true&amp;limit=25000&amp;download=true</x:v>
      </x:c>
    </x:row>
    <x:row r="90">
      <x:c r="A90" s="237" t="n">
        <x:f>RANK(D90,$D$5:$D$121,0)</x:f>
        <x:v>86</x:v>
      </x:c>
      <x:c r="B90" s="236" t="str">
        <x:f>'Raw Inputs'!A115</x:f>
        <x:v>AZO</x:v>
      </x:c>
      <x:c r="C90" s="236" t="str">
        <x:f>'Raw Inputs'!B115</x:f>
        <x:v>AutoZone Inc.</x:v>
      </x:c>
      <x:c r="D90" s="238" t="n">
        <x:f>IF(COUNT('Raw Inputs'!AQ115,'Raw Inputs'!AS115,'Raw Inputs'!AU115,'Raw Inputs'!AW115)=0,"",1+9*AVERAGE('Raw Inputs'!AQ115,'Raw Inputs'!AS115,'Raw Inputs'!AU115,'Raw Inputs'!AW115))</x:f>
        <x:v>4.2344002998500745</x:v>
      </x:c>
      <x:c r="E90" s="270" t="n">
        <x:f>'Raw Inputs'!L115</x:f>
        <x:v>3072.639892578125</x:v>
      </x:c>
      <x:c r="F90" s="271" t="n">
        <x:f>'Raw Inputs'!M115</x:f>
        <x:v>48221833599</x:v>
      </x:c>
      <x:c r="G90" s="268" t="n">
        <x:f>'Raw Inputs'!AP115</x:f>
        <x:v>0.05139008235579391</x:v>
      </x:c>
      <x:c r="H90" s="268" t="n">
        <x:f>'Raw Inputs'!AR115</x:f>
        <x:v>0.033868931936131705</x:v>
      </x:c>
      <x:c r="I90" s="268" t="n">
        <x:f>'Raw Inputs'!AT115</x:f>
        <x:v>-0.07080429641876589</x:v>
      </x:c>
      <x:c r="J90" s="268" t="n">
        <x:f>'Raw Inputs'!AV115</x:f>
        <x:v>0.3521845368286545</x:v>
      </x:c>
      <x:c r="K90" s="236" t="str">
        <x:f>'Raw Inputs'!N115</x:f>
        <x:v>Nasdaq screener</x:v>
      </x:c>
      <x:c r="L90" s="236" t="str">
        <x:f>IF('Raw Inputs'!AC115,"Financial / RE: E/P + B/P","Four-component")</x:f>
        <x:v>Four-component</x:v>
      </x:c>
      <x:c r="M90" s="269" t="n">
        <x:f>'Raw Inputs'!K115</x:f>
        <x:v>46213</x:v>
      </x:c>
      <x:c r="N90" s="20" t="str">
        <x:f>'Raw Inputs'!CE115</x:f>
        <x:v>https://api.nasdaq.com/api/screener/stocks?tableonly=true&amp;limit=25000&amp;download=true</x:v>
      </x:c>
    </x:row>
    <x:row r="91">
      <x:c r="A91" s="237" t="n">
        <x:f>RANK(D91,$D$5:$D$121,0)</x:f>
        <x:v>87</x:v>
      </x:c>
      <x:c r="B91" s="236" t="str">
        <x:f>'Raw Inputs'!A112</x:f>
        <x:v>CMS</x:v>
      </x:c>
      <x:c r="C91" s="236" t="str">
        <x:f>'Raw Inputs'!B112</x:f>
        <x:v>CMS Energy Corp.</x:v>
      </x:c>
      <x:c r="D91" s="238" t="n">
        <x:f>IF(COUNT('Raw Inputs'!AQ112,'Raw Inputs'!AS112,'Raw Inputs'!AU112,'Raw Inputs'!AW112)=0,"",1+9*AVERAGE('Raw Inputs'!AQ112,'Raw Inputs'!AS112,'Raw Inputs'!AU112,'Raw Inputs'!AW112))</x:f>
        <x:v>4.213215892053973</x:v>
      </x:c>
      <x:c r="E91" s="270" t="n">
        <x:f>'Raw Inputs'!L112</x:f>
        <x:v>75.4000015258789</x:v>
      </x:c>
      <x:c r="F91" s="271" t="n">
        <x:f>'Raw Inputs'!M112</x:f>
        <x:v>23101007838</x:v>
      </x:c>
      <x:c r="G91" s="268" t="n">
        <x:f>'Raw Inputs'!AP112</x:f>
        <x:v>0.04791998720415308</x:v>
      </x:c>
      <x:c r="H91" s="268" t="n">
        <x:f>'Raw Inputs'!AR112</x:f>
        <x:v>-0.08003979795887899</x:v>
      </x:c>
      <x:c r="I91" s="268" t="n">
        <x:f>'Raw Inputs'!AT112</x:f>
        <x:v>0.3958268861741425</x:v>
      </x:c>
      <x:c r="J91" s="268" t="n">
        <x:f>'Raw Inputs'!AV112</x:f>
        <x:v>0.20755032463228992</x:v>
      </x:c>
      <x:c r="K91" s="236" t="str">
        <x:f>'Raw Inputs'!N112</x:f>
        <x:v>Nasdaq screener</x:v>
      </x:c>
      <x:c r="L91" s="236" t="str">
        <x:f>IF('Raw Inputs'!AC112,"Financial / RE: E/P + B/P","Four-component")</x:f>
        <x:v>Four-component</x:v>
      </x:c>
      <x:c r="M91" s="269" t="n">
        <x:f>'Raw Inputs'!K112</x:f>
        <x:v>46213</x:v>
      </x:c>
      <x:c r="N91" s="20" t="str">
        <x:f>'Raw Inputs'!CE112</x:f>
        <x:v>https://api.nasdaq.com/api/screener/stocks?tableonly=true&amp;limit=25000&amp;download=true</x:v>
      </x:c>
    </x:row>
    <x:row r="92">
      <x:c r="A92" s="237" t="n">
        <x:f>RANK(D92,$D$5:$D$121,0)</x:f>
        <x:v>88</x:v>
      </x:c>
      <x:c r="B92" s="236" t="str">
        <x:f>'Raw Inputs'!A70</x:f>
        <x:v>TYL</x:v>
      </x:c>
      <x:c r="C92" s="236" t="str">
        <x:f>'Raw Inputs'!B70</x:f>
        <x:v>Tyler Technologies Inc.</x:v>
      </x:c>
      <x:c r="D92" s="238" t="n">
        <x:f>IF(COUNT('Raw Inputs'!AQ70,'Raw Inputs'!AS70,'Raw Inputs'!AU70,'Raw Inputs'!AW70)=0,"",1+9*AVERAGE('Raw Inputs'!AQ70,'Raw Inputs'!AS70,'Raw Inputs'!AU70,'Raw Inputs'!AW70))</x:f>
        <x:v>4.1082383808095955</x:v>
      </x:c>
      <x:c r="E92" s="270" t="n">
        <x:f>'Raw Inputs'!L70</x:f>
        <x:v>309.4800109863281</x:v>
      </x:c>
      <x:c r="F92" s="271" t="n">
        <x:f>'Raw Inputs'!M70</x:f>
        <x:v>12976612602</x:v>
      </x:c>
      <x:c r="G92" s="268" t="n">
        <x:f>'Raw Inputs'!AP70</x:f>
        <x:v>0.0243307718033702</x:v>
      </x:c>
      <x:c r="H92" s="268" t="n">
        <x:f>'Raw Inputs'!AR70</x:f>
        <x:v>0.052997652090962834</x:v>
      </x:c>
      <x:c r="I92" s="268" t="n">
        <x:f>'Raw Inputs'!AT70</x:f>
        <x:v>0.2853432643453742</x:v>
      </x:c>
      <x:c r="J92" s="268" t="n">
        <x:f>'Raw Inputs'!AV70</x:f>
        <x:v>0.18953121386067526</x:v>
      </x:c>
      <x:c r="K92" s="236" t="str">
        <x:f>'Raw Inputs'!N70</x:f>
        <x:v>Nasdaq screener</x:v>
      </x:c>
      <x:c r="L92" s="236" t="str">
        <x:f>IF('Raw Inputs'!AC70,"Financial / RE: E/P + B/P","Four-component")</x:f>
        <x:v>Four-component</x:v>
      </x:c>
      <x:c r="M92" s="269" t="n">
        <x:f>'Raw Inputs'!K70</x:f>
        <x:v>46213</x:v>
      </x:c>
      <x:c r="N92" s="20" t="str">
        <x:f>'Raw Inputs'!CE70</x:f>
        <x:v>https://api.nasdaq.com/api/screener/stocks?tableonly=true&amp;limit=25000&amp;download=true</x:v>
      </x:c>
    </x:row>
    <x:row r="93">
      <x:c r="A93" s="237" t="n">
        <x:f>RANK(D93,$D$5:$D$121,0)</x:f>
        <x:v>89</x:v>
      </x:c>
      <x:c r="B93" s="236" t="str">
        <x:f>'Raw Inputs'!A55</x:f>
        <x:v>TW</x:v>
      </x:c>
      <x:c r="C93" s="236" t="str">
        <x:f>'Raw Inputs'!B55</x:f>
        <x:v>Tradeweb Markets Inc.</x:v>
      </x:c>
      <x:c r="D93" s="238" t="n">
        <x:f>IF(COUNT('Raw Inputs'!AQ55,'Raw Inputs'!AS55,'Raw Inputs'!AU55,'Raw Inputs'!AW55)=0,"",1+9*AVERAGE('Raw Inputs'!AQ55,'Raw Inputs'!AS55,'Raw Inputs'!AU55,'Raw Inputs'!AW55))</x:f>
        <x:v>4.103448275862069</x:v>
      </x:c>
      <x:c r="E93" s="270" t="n">
        <x:f>'Raw Inputs'!L55</x:f>
        <x:v>97.86000061035156</x:v>
      </x:c>
      <x:c r="F93" s="271" t="n">
        <x:f>'Raw Inputs'!M55</x:f>
        <x:v>23630925223</x:v>
      </x:c>
      <x:c r="G93" s="268" t="n">
        <x:f>'Raw Inputs'!AP55</x:f>
        <x:v>0.03680321408463203</x:v>
      </x:c>
      <x:c r="H93" s="268" t="n">
        <x:f>'Raw Inputs'!AR55</x:f>
        <x:v>0.04920522531501559</x:v>
      </x:c>
      <x:c r="I93" s="268" t="n">
        <x:f>'Raw Inputs'!AT55</x:f>
        <x:v>0.27539146007139814</x:v>
      </x:c>
      <x:c r="J93" s="268" t="n">
        <x:f>'Raw Inputs'!AV55</x:f>
        <x:v>0.10027370865725205</x:v>
      </x:c>
      <x:c r="K93" s="236" t="str">
        <x:f>'Raw Inputs'!N55</x:f>
        <x:v>Nasdaq screener</x:v>
      </x:c>
      <x:c r="L93" s="236" t="str">
        <x:f>IF('Raw Inputs'!AC55,"Financial / RE: E/P + B/P","Four-component")</x:f>
        <x:v>Financial / RE: E/P + B/P</x:v>
      </x:c>
      <x:c r="M93" s="269" t="n">
        <x:f>'Raw Inputs'!K55</x:f>
        <x:v>46213</x:v>
      </x:c>
      <x:c r="N93" s="20" t="str">
        <x:f>'Raw Inputs'!CE55</x:f>
        <x:v>https://api.nasdaq.com/api/screener/stocks?tableonly=true&amp;limit=25000&amp;download=true</x:v>
      </x:c>
    </x:row>
    <x:row r="94">
      <x:c r="A94" s="237" t="n">
        <x:f>RANK(D94,$D$5:$D$121,0)</x:f>
        <x:v>90</x:v>
      </x:c>
      <x:c r="B94" s="236" t="str">
        <x:f>'Raw Inputs'!A104</x:f>
        <x:v>AWK</x:v>
      </x:c>
      <x:c r="C94" s="236" t="str">
        <x:f>'Raw Inputs'!B104</x:f>
        <x:v>American Water Works Co. Inc.</x:v>
      </x:c>
      <x:c r="D94" s="238" t="n">
        <x:f>IF(COUNT('Raw Inputs'!AQ104,'Raw Inputs'!AS104,'Raw Inputs'!AU104,'Raw Inputs'!AW104)=0,"",1+9*AVERAGE('Raw Inputs'!AQ104,'Raw Inputs'!AS104,'Raw Inputs'!AU104,'Raw Inputs'!AW104))</x:f>
        <x:v>4.086075712143928</x:v>
      </x:c>
      <x:c r="E94" s="270" t="n">
        <x:f>'Raw Inputs'!L104</x:f>
        <x:v>130.69000244140625</x:v>
      </x:c>
      <x:c r="F94" s="271" t="n">
        <x:f>'Raw Inputs'!M104</x:f>
        <x:v>25632150153</x:v>
      </x:c>
      <x:c r="G94" s="268" t="n">
        <x:f>'Raw Inputs'!AP104</x:f>
        <x:v>0.04299288172947213</x:v>
      </x:c>
      <x:c r="H94" s="268" t="n">
        <x:f>'Raw Inputs'!AR104</x:f>
        <x:v>-0.04697225916722726</x:v>
      </x:c>
      <x:c r="I94" s="268" t="n">
        <x:f>'Raw Inputs'!AT104</x:f>
        <x:v>0.4227893460093371</x:v>
      </x:c>
      <x:c r="J94" s="268" t="n">
        <x:f>'Raw Inputs'!AV104</x:f>
        <x:v>0.19154086127737838</x:v>
      </x:c>
      <x:c r="K94" s="236" t="str">
        <x:f>'Raw Inputs'!N104</x:f>
        <x:v>Nasdaq screener</x:v>
      </x:c>
      <x:c r="L94" s="236" t="str">
        <x:f>IF('Raw Inputs'!AC104,"Financial / RE: E/P + B/P","Four-component")</x:f>
        <x:v>Four-component</x:v>
      </x:c>
      <x:c r="M94" s="269" t="n">
        <x:f>'Raw Inputs'!K104</x:f>
        <x:v>46213</x:v>
      </x:c>
      <x:c r="N94" s="20" t="str">
        <x:f>'Raw Inputs'!CE104</x:f>
        <x:v>https://api.nasdaq.com/api/screener/stocks?tableonly=true&amp;limit=25000&amp;download=true</x:v>
      </x:c>
    </x:row>
    <x:row r="95">
      <x:c r="A95" s="237" t="n">
        <x:f>RANK(D95,$D$5:$D$121,0)</x:f>
        <x:v>91</x:v>
      </x:c>
      <x:c r="B95" s="236" t="str">
        <x:f>'Raw Inputs'!A21</x:f>
        <x:v>RTX</x:v>
      </x:c>
      <x:c r="C95" s="236" t="str">
        <x:f>'Raw Inputs'!B21</x:f>
        <x:v>RTX Corp.</x:v>
      </x:c>
      <x:c r="D95" s="238" t="n">
        <x:f>IF(COUNT('Raw Inputs'!AQ21,'Raw Inputs'!AS21,'Raw Inputs'!AU21,'Raw Inputs'!AW21)=0,"",1+9*AVERAGE('Raw Inputs'!AQ21,'Raw Inputs'!AS21,'Raw Inputs'!AU21,'Raw Inputs'!AW21))</x:f>
        <x:v>3.998706896551724</x:v>
      </x:c>
      <x:c r="E95" s="270" t="n">
        <x:f>'Raw Inputs'!L21</x:f>
        <x:v>195.92999267578125</x:v>
      </x:c>
      <x:c r="F95" s="271" t="n">
        <x:f>'Raw Inputs'!M21</x:f>
        <x:v>261337386038</x:v>
      </x:c>
      <x:c r="G95" s="268" t="n">
        <x:f>'Raw Inputs'!AP21</x:f>
        <x:v>0.027764875550354416</x:v>
      </x:c>
      <x:c r="H95" s="268" t="n">
        <x:f>'Raw Inputs'!AR21</x:f>
        <x:v>0.03236046754814599</x:v>
      </x:c>
      <x:c r="I95" s="268" t="n">
        <x:f>'Raw Inputs'!AT21</x:f>
        <x:v>0.24965811814813588</x:v>
      </x:c>
      <x:c r="J95" s="268" t="n">
        <x:f>'Raw Inputs'!AV21</x:f>
        <x:v>0.3556502510979212</x:v>
      </x:c>
      <x:c r="K95" s="236" t="str">
        <x:f>'Raw Inputs'!N21</x:f>
        <x:v>Nasdaq screener</x:v>
      </x:c>
      <x:c r="L95" s="236" t="str">
        <x:f>IF('Raw Inputs'!AC21,"Financial / RE: E/P + B/P","Four-component")</x:f>
        <x:v>Four-component</x:v>
      </x:c>
      <x:c r="M95" s="269" t="n">
        <x:f>'Raw Inputs'!K21</x:f>
        <x:v>46213</x:v>
      </x:c>
      <x:c r="N95" s="20" t="str">
        <x:f>'Raw Inputs'!CE21</x:f>
        <x:v>https://api.nasdaq.com/api/screener/stocks?tableonly=true&amp;limit=25000&amp;download=true</x:v>
      </x:c>
    </x:row>
    <x:row r="96">
      <x:c r="A96" s="237" t="n">
        <x:f>RANK(D96,$D$5:$D$121,0)</x:f>
        <x:v>92</x:v>
      </x:c>
      <x:c r="B96" s="236" t="str">
        <x:f>'Raw Inputs'!A98</x:f>
        <x:v>PAYX</x:v>
      </x:c>
      <x:c r="C96" s="236" t="str">
        <x:f>'Raw Inputs'!B98</x:f>
        <x:v>Paychex Inc.</x:v>
      </x:c>
      <x:c r="D96" s="238" t="n">
        <x:f>IF(COUNT('Raw Inputs'!AQ98,'Raw Inputs'!AS98,'Raw Inputs'!AU98,'Raw Inputs'!AW98)=0,"",1+9*AVERAGE('Raw Inputs'!AQ98,'Raw Inputs'!AS98,'Raw Inputs'!AU98,'Raw Inputs'!AW98))</x:f>
        <x:v>3.8450862068965517</x:v>
      </x:c>
      <x:c r="E96" s="270" t="n">
        <x:f>'Raw Inputs'!L98</x:f>
        <x:v>107.54000091552734</x:v>
      </x:c>
      <x:c r="F96" s="271" t="n">
        <x:f>'Raw Inputs'!M98</x:f>
        <x:v>39949433232</x:v>
      </x:c>
      <x:c r="G96" s="268" t="n">
        <x:f>'Raw Inputs'!AP98</x:f>
        <x:v>0.040969292117240416</x:v>
      </x:c>
      <x:c r="H96" s="268" t="n">
        <x:f>'Raw Inputs'!AR98</x:f>
        <x:v>0.05231863961278438</x:v>
      </x:c>
      <x:c r="I96" s="268" t="n">
        <x:f>'Raw Inputs'!AT98</x:f>
        <x:v>0.10333062739657142</x:v>
      </x:c>
      <x:c r="J96" s="268" t="n">
        <x:f>'Raw Inputs'!AV98</x:f>
        <x:v>0.14166944676421792</x:v>
      </x:c>
      <x:c r="K96" s="236" t="str">
        <x:f>'Raw Inputs'!N98</x:f>
        <x:v>Nasdaq screener</x:v>
      </x:c>
      <x:c r="L96" s="236" t="str">
        <x:f>IF('Raw Inputs'!AC98,"Financial / RE: E/P + B/P","Four-component")</x:f>
        <x:v>Four-component</x:v>
      </x:c>
      <x:c r="M96" s="269" t="n">
        <x:f>'Raw Inputs'!K98</x:f>
        <x:v>46213</x:v>
      </x:c>
      <x:c r="N96" s="20" t="str">
        <x:f>'Raw Inputs'!CE98</x:f>
        <x:v>https://api.nasdaq.com/api/screener/stocks?tableonly=true&amp;limit=25000&amp;download=true</x:v>
      </x:c>
    </x:row>
    <x:row r="97">
      <x:c r="A97" s="237" t="n">
        <x:f>RANK(D97,$D$5:$D$121,0)</x:f>
        <x:v>93</x:v>
      </x:c>
      <x:c r="B97" s="236" t="str">
        <x:f>'Raw Inputs'!A14</x:f>
        <x:v>NYT</x:v>
      </x:c>
      <x:c r="C97" s="236" t="str">
        <x:f>'Raw Inputs'!B14</x:f>
        <x:v>The New York Times Co.</x:v>
      </x:c>
      <x:c r="D97" s="238" t="n">
        <x:f>IF(COUNT('Raw Inputs'!AQ14,'Raw Inputs'!AS14,'Raw Inputs'!AU14,'Raw Inputs'!AW14)=0,"",1+9*AVERAGE('Raw Inputs'!AQ14,'Raw Inputs'!AS14,'Raw Inputs'!AU14,'Raw Inputs'!AW14))</x:f>
        <x:v>3.7698275862068966</x:v>
      </x:c>
      <x:c r="E97" s="270" t="n">
        <x:f>'Raw Inputs'!L14</x:f>
        <x:v>74.95999908447266</x:v>
      </x:c>
      <x:c r="F97" s="271" t="n">
        <x:f>'Raw Inputs'!M14</x:f>
        <x:v>12189879862</x:v>
      </x:c>
      <x:c r="G97" s="268" t="n">
        <x:f>'Raw Inputs'!AP14</x:f>
        <x:v>0.03136634686547824</x:v>
      </x:c>
      <x:c r="H97" s="268" t="n">
        <x:f>'Raw Inputs'!AR14</x:f>
        <x:v>0.044476812416348654</x:v>
      </x:c>
      <x:c r="I97" s="268" t="n">
        <x:f>'Raw Inputs'!AT14</x:f>
        <x:v>0.16746375051354054</x:v>
      </x:c>
      <x:c r="J97" s="268" t="n">
        <x:f>'Raw Inputs'!AV14</x:f>
        <x:v>0.24309856591850407</x:v>
      </x:c>
      <x:c r="K97" s="236" t="str">
        <x:f>'Raw Inputs'!N14</x:f>
        <x:v>Nasdaq screener</x:v>
      </x:c>
      <x:c r="L97" s="236" t="str">
        <x:f>IF('Raw Inputs'!AC14,"Financial / RE: E/P + B/P","Four-component")</x:f>
        <x:v>Four-component</x:v>
      </x:c>
      <x:c r="M97" s="269" t="n">
        <x:f>'Raw Inputs'!K14</x:f>
        <x:v>46213</x:v>
      </x:c>
      <x:c r="N97" s="20" t="str">
        <x:f>'Raw Inputs'!CE14</x:f>
        <x:v>https://api.nasdaq.com/api/screener/stocks?tableonly=true&amp;limit=25000&amp;download=true</x:v>
      </x:c>
    </x:row>
    <x:row r="98">
      <x:c r="A98" s="237" t="n">
        <x:f>RANK(D98,$D$5:$D$121,0)</x:f>
        <x:v>94</x:v>
      </x:c>
      <x:c r="B98" s="236" t="str">
        <x:f>'Raw Inputs'!A32</x:f>
        <x:v>CBOE</x:v>
      </x:c>
      <x:c r="C98" s="236" t="str">
        <x:f>'Raw Inputs'!B32</x:f>
        <x:v>CBOE Global Markets Inc.</x:v>
      </x:c>
      <x:c r="D98" s="238" t="n">
        <x:f>IF(COUNT('Raw Inputs'!AQ32,'Raw Inputs'!AS32,'Raw Inputs'!AU32,'Raw Inputs'!AW32)=0,"",1+9*AVERAGE('Raw Inputs'!AQ32,'Raw Inputs'!AS32,'Raw Inputs'!AU32,'Raw Inputs'!AW32))</x:f>
        <x:v>3.7155172413793105</x:v>
      </x:c>
      <x:c r="E98" s="270" t="n">
        <x:f>'Raw Inputs'!L32</x:f>
        <x:v>268.07000732421875</x:v>
      </x:c>
      <x:c r="F98" s="271" t="n">
        <x:f>'Raw Inputs'!M32</x:f>
        <x:v>30797120125</x:v>
      </x:c>
      <x:c r="G98" s="268" t="n">
        <x:f>'Raw Inputs'!AP32</x:f>
        <x:v>0.04010439920963227</x:v>
      </x:c>
      <x:c r="H98" s="268" t="n">
        <x:f>'Raw Inputs'!AR32</x:f>
        <x:v>0.08845632282963341</x:v>
      </x:c>
      <x:c r="I98" s="268" t="n">
        <x:f>'Raw Inputs'!AT32</x:f>
        <x:v>0.16684352235353694</x:v>
      </x:c>
      <x:c r="J98" s="268" t="n">
        <x:f>'Raw Inputs'!AV32</x:f>
        <x:v>0.07424512484609931</x:v>
      </x:c>
      <x:c r="K98" s="236" t="str">
        <x:f>'Raw Inputs'!N32</x:f>
        <x:v>Nasdaq screener</x:v>
      </x:c>
      <x:c r="L98" s="236" t="str">
        <x:f>IF('Raw Inputs'!AC32,"Financial / RE: E/P + B/P","Four-component")</x:f>
        <x:v>Financial / RE: E/P + B/P</x:v>
      </x:c>
      <x:c r="M98" s="269" t="n">
        <x:f>'Raw Inputs'!K32</x:f>
        <x:v>46213</x:v>
      </x:c>
      <x:c r="N98" s="20" t="str">
        <x:f>'Raw Inputs'!CE32</x:f>
        <x:v>https://api.nasdaq.com/api/screener/stocks?tableonly=true&amp;limit=25000&amp;download=true</x:v>
      </x:c>
    </x:row>
    <x:row r="99">
      <x:c r="A99" s="237" t="n">
        <x:f>RANK(D99,$D$5:$D$121,0)</x:f>
        <x:v>95</x:v>
      </x:c>
      <x:c r="B99" s="236" t="str">
        <x:f>'Raw Inputs'!A106</x:f>
        <x:v>CNP</x:v>
      </x:c>
      <x:c r="C99" s="236" t="str">
        <x:f>'Raw Inputs'!B106</x:f>
        <x:v>Centerpoint Energy Inc.</x:v>
      </x:c>
      <x:c r="D99" s="238" t="n">
        <x:f>IF(COUNT('Raw Inputs'!AQ106,'Raw Inputs'!AS106,'Raw Inputs'!AU106,'Raw Inputs'!AW106)=0,"",1+9*AVERAGE('Raw Inputs'!AQ106,'Raw Inputs'!AS106,'Raw Inputs'!AU106,'Raw Inputs'!AW106))</x:f>
        <x:v>3.663062218890555</x:v>
      </x:c>
      <x:c r="E99" s="270" t="n">
        <x:f>'Raw Inputs'!L106</x:f>
        <x:v>43.540000915527344</x:v>
      </x:c>
      <x:c r="F99" s="271" t="n">
        <x:f>'Raw Inputs'!M106</x:f>
        <x:v>28371330348</x:v>
      </x:c>
      <x:c r="G99" s="268" t="n">
        <x:f>'Raw Inputs'!AP106</x:f>
        <x:v>0.03774937540338142</x:v>
      </x:c>
      <x:c r="H99" s="268" t="n">
        <x:f>'Raw Inputs'!AR106</x:f>
        <x:v>-0.0941795808383148</x:v>
      </x:c>
      <x:c r="I99" s="268" t="n">
        <x:f>'Raw Inputs'!AT106</x:f>
        <x:v>0.39310810819226233</x:v>
      </x:c>
      <x:c r="J99" s="268" t="n">
        <x:f>'Raw Inputs'!AV106</x:f>
        <x:v>0.19133186351257803</x:v>
      </x:c>
      <x:c r="K99" s="236" t="str">
        <x:f>'Raw Inputs'!N106</x:f>
        <x:v>Nasdaq screener</x:v>
      </x:c>
      <x:c r="L99" s="236" t="str">
        <x:f>IF('Raw Inputs'!AC106,"Financial / RE: E/P + B/P","Four-component")</x:f>
        <x:v>Four-component</x:v>
      </x:c>
      <x:c r="M99" s="269" t="n">
        <x:f>'Raw Inputs'!K106</x:f>
        <x:v>46213</x:v>
      </x:c>
      <x:c r="N99" s="20" t="str">
        <x:f>'Raw Inputs'!CE106</x:f>
        <x:v>https://api.nasdaq.com/api/screener/stocks?tableonly=true&amp;limit=25000&amp;download=true</x:v>
      </x:c>
    </x:row>
    <x:row r="100">
      <x:c r="A100" s="237" t="n">
        <x:f>RANK(D100,$D$5:$D$121,0)</x:f>
        <x:v>96</x:v>
      </x:c>
      <x:c r="B100" s="236" t="str">
        <x:f>'Raw Inputs'!A118</x:f>
        <x:v>LNG</x:v>
      </x:c>
      <x:c r="C100" s="236" t="str">
        <x:f>'Raw Inputs'!B118</x:f>
        <x:v>Cheniere Energy Inc.</x:v>
      </x:c>
      <x:c r="D100" s="238" t="n">
        <x:f>IF(COUNT('Raw Inputs'!AQ118,'Raw Inputs'!AS118,'Raw Inputs'!AU118,'Raw Inputs'!AW118)=0,"",1+9*AVERAGE('Raw Inputs'!AQ118,'Raw Inputs'!AS118,'Raw Inputs'!AU118,'Raw Inputs'!AW118))</x:f>
        <x:v>3.600824587706147</x:v>
      </x:c>
      <x:c r="E100" s="270" t="n">
        <x:f>'Raw Inputs'!L118</x:f>
        <x:v>258.6400146484375</x:v>
      </x:c>
      <x:c r="F100" s="271" t="n">
        <x:f>'Raw Inputs'!M118</x:f>
        <x:v>53536311237</x:v>
      </x:c>
      <x:c r="G100" s="268" t="n">
        <x:f>'Raw Inputs'!AP118</x:f>
        <x:v>0.027551393921600605</x:v>
      </x:c>
      <x:c r="H100" s="268" t="n">
        <x:f>'Raw Inputs'!AR118</x:f>
        <x:v>0.0410936044932348</x:v>
      </x:c>
      <x:c r="I100" s="268" t="n">
        <x:f>'Raw Inputs'!AT118</x:f>
        <x:v>0.14784358161997885</x:v>
      </x:c>
      <x:c r="J100" s="268" t="n">
        <x:f>'Raw Inputs'!AV118</x:f>
        <x:v>0.27703236786503155</x:v>
      </x:c>
      <x:c r="K100" s="236" t="str">
        <x:f>'Raw Inputs'!N118</x:f>
        <x:v>Nasdaq screener</x:v>
      </x:c>
      <x:c r="L100" s="236" t="str">
        <x:f>IF('Raw Inputs'!AC118,"Financial / RE: E/P + B/P","Four-component")</x:f>
        <x:v>Four-component</x:v>
      </x:c>
      <x:c r="M100" s="269" t="n">
        <x:f>'Raw Inputs'!K118</x:f>
        <x:v>46213</x:v>
      </x:c>
      <x:c r="N100" s="20" t="str">
        <x:f>'Raw Inputs'!CE118</x:f>
        <x:v>https://api.nasdaq.com/api/screener/stocks?tableonly=true&amp;limit=25000&amp;download=true</x:v>
      </x:c>
    </x:row>
    <x:row r="101">
      <x:c r="A101" s="237" t="n">
        <x:f>RANK(D101,$D$5:$D$121,0)</x:f>
        <x:v>97</x:v>
      </x:c>
      <x:c r="B101" s="236" t="str">
        <x:f>'Raw Inputs'!A96</x:f>
        <x:v>RSG</x:v>
      </x:c>
      <x:c r="C101" s="236" t="str">
        <x:f>'Raw Inputs'!B96</x:f>
        <x:v>Republic Services Inc.</x:v>
      </x:c>
      <x:c r="D101" s="238" t="n">
        <x:f>IF(COUNT('Raw Inputs'!AQ96,'Raw Inputs'!AS96,'Raw Inputs'!AU96,'Raw Inputs'!AW96)=0,"",1+9*AVERAGE('Raw Inputs'!AQ96,'Raw Inputs'!AS96,'Raw Inputs'!AU96,'Raw Inputs'!AW96))</x:f>
        <x:v>3.552788605697151</x:v>
      </x:c>
      <x:c r="E101" s="270" t="n">
        <x:f>'Raw Inputs'!L96</x:f>
        <x:v>219.1999969482422</x:v>
      </x:c>
      <x:c r="F101" s="271" t="n">
        <x:f>'Raw Inputs'!M96</x:f>
        <x:v>67433814589</x:v>
      </x:c>
      <x:c r="G101" s="268" t="n">
        <x:f>'Raw Inputs'!AP96</x:f>
        <x:v>0.03217246441155499</x:v>
      </x:c>
      <x:c r="H101" s="268" t="n">
        <x:f>'Raw Inputs'!AR96</x:f>
        <x:v>0.03846734781073976</x:v>
      </x:c>
      <x:c r="I101" s="268" t="n">
        <x:f>'Raw Inputs'!AT96</x:f>
        <x:v>0.17747772498031358</x:v>
      </x:c>
      <x:c r="J101" s="268" t="n">
        <x:f>'Raw Inputs'!AV96</x:f>
        <x:v>0.2059386957036008</x:v>
      </x:c>
      <x:c r="K101" s="236" t="str">
        <x:f>'Raw Inputs'!N96</x:f>
        <x:v>Nasdaq screener</x:v>
      </x:c>
      <x:c r="L101" s="236" t="str">
        <x:f>IF('Raw Inputs'!AC96,"Financial / RE: E/P + B/P","Four-component")</x:f>
        <x:v>Four-component</x:v>
      </x:c>
      <x:c r="M101" s="269" t="n">
        <x:f>'Raw Inputs'!K96</x:f>
        <x:v>46213</x:v>
      </x:c>
      <x:c r="N101" s="20" t="str">
        <x:f>'Raw Inputs'!CE96</x:f>
        <x:v>https://api.nasdaq.com/api/screener/stocks?tableonly=true&amp;limit=25000&amp;download=true</x:v>
      </x:c>
    </x:row>
    <x:row r="102">
      <x:c r="A102" s="237" t="n">
        <x:f>RANK(D102,$D$5:$D$121,0)</x:f>
        <x:v>98</x:v>
      </x:c>
      <x:c r="B102" s="236" t="str">
        <x:f>'Raw Inputs'!A45</x:f>
        <x:v>AMGN</x:v>
      </x:c>
      <x:c r="C102" s="236" t="str">
        <x:f>'Raw Inputs'!B45</x:f>
        <x:v>Amgen Inc.</x:v>
      </x:c>
      <x:c r="D102" s="238" t="n">
        <x:f>IF(COUNT('Raw Inputs'!AQ45,'Raw Inputs'!AS45,'Raw Inputs'!AU45,'Raw Inputs'!AW45)=0,"",1+9*AVERAGE('Raw Inputs'!AQ45,'Raw Inputs'!AS45,'Raw Inputs'!AU45,'Raw Inputs'!AW45))</x:f>
        <x:v>3.47273988005997</x:v>
      </x:c>
      <x:c r="E102" s="270" t="n">
        <x:f>'Raw Inputs'!L45</x:f>
        <x:v>363.3900146484375</x:v>
      </x:c>
      <x:c r="F102" s="271" t="n">
        <x:f>'Raw Inputs'!M45</x:f>
        <x:v>193946866803</x:v>
      </x:c>
      <x:c r="G102" s="268" t="n">
        <x:f>'Raw Inputs'!AP45</x:f>
        <x:v>0.040217200352727474</x:v>
      </x:c>
      <x:c r="H102" s="268" t="n">
        <x:f>'Raw Inputs'!AR45</x:f>
        <x:v>0.044326573260563856</x:v>
      </x:c>
      <x:c r="I102" s="268" t="n">
        <x:f>'Raw Inputs'!AT45</x:f>
        <x:v>0.0446410923915275</x:v>
      </x:c>
      <x:c r="J102" s="268" t="n">
        <x:f>'Raw Inputs'!AV45</x:f>
        <x:v>0.155457813845488</x:v>
      </x:c>
      <x:c r="K102" s="236" t="str">
        <x:f>'Raw Inputs'!N45</x:f>
        <x:v>Nasdaq screener</x:v>
      </x:c>
      <x:c r="L102" s="236" t="str">
        <x:f>IF('Raw Inputs'!AC45,"Financial / RE: E/P + B/P","Four-component")</x:f>
        <x:v>Four-component</x:v>
      </x:c>
      <x:c r="M102" s="269" t="n">
        <x:f>'Raw Inputs'!K45</x:f>
        <x:v>46213</x:v>
      </x:c>
      <x:c r="N102" s="20" t="str">
        <x:f>'Raw Inputs'!CE45</x:f>
        <x:v>https://api.nasdaq.com/api/screener/stocks?tableonly=true&amp;limit=25000&amp;download=true</x:v>
      </x:c>
    </x:row>
    <x:row r="103">
      <x:c r="A103" s="237" t="n">
        <x:f>RANK(D103,$D$5:$D$121,0)</x:f>
        <x:v>99</x:v>
      </x:c>
      <x:c r="B103" s="236" t="str">
        <x:f>'Raw Inputs'!A87</x:f>
        <x:v>YUM</x:v>
      </x:c>
      <x:c r="C103" s="236" t="str">
        <x:f>'Raw Inputs'!B87</x:f>
        <x:v>Yum! Brands Inc.</x:v>
      </x:c>
      <x:c r="D103" s="238" t="n">
        <x:f>IF(COUNT('Raw Inputs'!AQ87,'Raw Inputs'!AS87,'Raw Inputs'!AU87,'Raw Inputs'!AW87)=0,"",1+9*AVERAGE('Raw Inputs'!AQ87,'Raw Inputs'!AS87,'Raw Inputs'!AU87,'Raw Inputs'!AW87))</x:f>
        <x:v>3.4199475262368813</x:v>
      </x:c>
      <x:c r="E103" s="270" t="n">
        <x:f>'Raw Inputs'!L87</x:f>
        <x:v>163.5399932861328</x:v>
      </x:c>
      <x:c r="F103" s="271" t="n">
        <x:f>'Raw Inputs'!M87</x:f>
        <x:v>42407078140</x:v>
      </x:c>
      <x:c r="G103" s="268" t="n">
        <x:f>'Raw Inputs'!AP87</x:f>
        <x:v>0.040983724326921996</x:v>
      </x:c>
      <x:c r="H103" s="268" t="n">
        <x:f>'Raw Inputs'!AR87</x:f>
        <x:v>0.03883785613719248</x:v>
      </x:c>
      <x:c r="I103" s="268" t="n">
        <x:f>'Raw Inputs'!AT87</x:f>
        <x:v>-0.17273059878866723</x:v>
      </x:c>
      <x:c r="J103" s="268" t="n">
        <x:f>'Raw Inputs'!AV87</x:f>
        <x:v>0.20332528541695893</x:v>
      </x:c>
      <x:c r="K103" s="236" t="str">
        <x:f>'Raw Inputs'!N87</x:f>
        <x:v>Nasdaq screener</x:v>
      </x:c>
      <x:c r="L103" s="236" t="str">
        <x:f>IF('Raw Inputs'!AC87,"Financial / RE: E/P + B/P","Four-component")</x:f>
        <x:v>Four-component</x:v>
      </x:c>
      <x:c r="M103" s="269" t="n">
        <x:f>'Raw Inputs'!K87</x:f>
        <x:v>46213</x:v>
      </x:c>
      <x:c r="N103" s="20" t="str">
        <x:f>'Raw Inputs'!CE87</x:f>
        <x:v>https://api.nasdaq.com/api/screener/stocks?tableonly=true&amp;limit=25000&amp;download=true</x:v>
      </x:c>
    </x:row>
    <x:row r="104">
      <x:c r="A104" s="237" t="n">
        <x:f>RANK(D104,$D$5:$D$121,0)</x:f>
        <x:v>100</x:v>
      </x:c>
      <x:c r="B104" s="236" t="str">
        <x:f>'Raw Inputs'!A33</x:f>
        <x:v>WM</x:v>
      </x:c>
      <x:c r="C104" s="236" t="str">
        <x:f>'Raw Inputs'!B33</x:f>
        <x:v>Waste Management Inc.</x:v>
      </x:c>
      <x:c r="D104" s="238" t="n">
        <x:f>IF(COUNT('Raw Inputs'!AQ33,'Raw Inputs'!AS33,'Raw Inputs'!AU33,'Raw Inputs'!AW33)=0,"",1+9*AVERAGE('Raw Inputs'!AQ33,'Raw Inputs'!AS33,'Raw Inputs'!AU33,'Raw Inputs'!AW33))</x:f>
        <x:v>3.3266079460269866</x:v>
      </x:c>
      <x:c r="E104" s="270" t="n">
        <x:f>'Raw Inputs'!L33</x:f>
        <x:v>233.3300018310547</x:v>
      </x:c>
      <x:c r="F104" s="271" t="n">
        <x:f>'Raw Inputs'!M33</x:f>
        <x:v>94442585355</x:v>
      </x:c>
      <x:c r="G104" s="268" t="n">
        <x:f>'Raw Inputs'!AP33</x:f>
        <x:v>0.02958411175951654</x:v>
      </x:c>
      <x:c r="H104" s="268" t="n">
        <x:f>'Raw Inputs'!AR33</x:f>
        <x:v>0.03483597984567266</x:v>
      </x:c>
      <x:c r="I104" s="268" t="n">
        <x:f>'Raw Inputs'!AT33</x:f>
        <x:v>0.10577855278366866</x:v>
      </x:c>
      <x:c r="J104" s="268" t="n">
        <x:f>'Raw Inputs'!AV33</x:f>
        <x:v>0.26965802733762806</x:v>
      </x:c>
      <x:c r="K104" s="236" t="str">
        <x:f>'Raw Inputs'!N33</x:f>
        <x:v>Nasdaq screener</x:v>
      </x:c>
      <x:c r="L104" s="236" t="str">
        <x:f>IF('Raw Inputs'!AC33,"Financial / RE: E/P + B/P","Four-component")</x:f>
        <x:v>Four-component</x:v>
      </x:c>
      <x:c r="M104" s="269" t="n">
        <x:f>'Raw Inputs'!K33</x:f>
        <x:v>46213</x:v>
      </x:c>
      <x:c r="N104" s="20" t="str">
        <x:f>'Raw Inputs'!CE33</x:f>
        <x:v>https://api.nasdaq.com/api/screener/stocks?tableonly=true&amp;limit=25000&amp;download=true</x:v>
      </x:c>
    </x:row>
    <x:row r="105">
      <x:c r="A105" s="237" t="n">
        <x:f>RANK(D105,$D$5:$D$121,0)</x:f>
        <x:v>101</x:v>
      </x:c>
      <x:c r="B105" s="236" t="str">
        <x:f>'Raw Inputs'!A111</x:f>
        <x:v>MCD</x:v>
      </x:c>
      <x:c r="C105" s="236" t="str">
        <x:f>'Raw Inputs'!B111</x:f>
        <x:v>McDonald's Corp.</x:v>
      </x:c>
      <x:c r="D105" s="238" t="n">
        <x:f>IF(COUNT('Raw Inputs'!AQ111,'Raw Inputs'!AS111,'Raw Inputs'!AU111,'Raw Inputs'!AW111)=0,"",1+9*AVERAGE('Raw Inputs'!AQ111,'Raw Inputs'!AS111,'Raw Inputs'!AU111,'Raw Inputs'!AW111))</x:f>
        <x:v>3.2132983508245876</x:v>
      </x:c>
      <x:c r="E105" s="270" t="n">
        <x:f>'Raw Inputs'!L111</x:f>
        <x:v>274.6000061035156</x:v>
      </x:c>
      <x:c r="F105" s="271" t="n">
        <x:f>'Raw Inputs'!M111</x:f>
        <x:v>190436885388</x:v>
      </x:c>
      <x:c r="G105" s="268" t="n">
        <x:f>'Raw Inputs'!AP111</x:f>
        <x:v>0.045568903221239236</x:v>
      </x:c>
      <x:c r="H105" s="268" t="n">
        <x:f>'Raw Inputs'!AR111</x:f>
        <x:v>0.03696237724986206</x:v>
      </x:c>
      <x:c r="I105" s="268" t="n">
        <x:f>'Raw Inputs'!AT111</x:f>
        <x:v>-0.009404690674030821</x:v>
      </x:c>
      <x:c r="J105" s="268" t="n">
        <x:f>'Raw Inputs'!AV111</x:f>
        <x:v>0.11952400189380108</x:v>
      </x:c>
      <x:c r="K105" s="236" t="str">
        <x:f>'Raw Inputs'!N111</x:f>
        <x:v>Nasdaq screener</x:v>
      </x:c>
      <x:c r="L105" s="236" t="str">
        <x:f>IF('Raw Inputs'!AC111,"Financial / RE: E/P + B/P","Four-component")</x:f>
        <x:v>Four-component</x:v>
      </x:c>
      <x:c r="M105" s="269" t="n">
        <x:f>'Raw Inputs'!K111</x:f>
        <x:v>46213</x:v>
      </x:c>
      <x:c r="N105" s="20" t="str">
        <x:f>'Raw Inputs'!CE111</x:f>
        <x:v>https://api.nasdaq.com/api/screener/stocks?tableonly=true&amp;limit=25000&amp;download=true</x:v>
      </x:c>
    </x:row>
    <x:row r="106">
      <x:c r="A106" s="237" t="n">
        <x:f>RANK(D106,$D$5:$D$121,0)</x:f>
        <x:v>102</x:v>
      </x:c>
      <x:c r="B106" s="236" t="str">
        <x:f>'Raw Inputs'!A113</x:f>
        <x:v>ORLY</x:v>
      </x:c>
      <x:c r="C106" s="236" t="str">
        <x:f>'Raw Inputs'!B113</x:f>
        <x:v>O'Reilly Automotive Inc.</x:v>
      </x:c>
      <x:c r="D106" s="238" t="n">
        <x:f>IF(COUNT('Raw Inputs'!AQ113,'Raw Inputs'!AS113,'Raw Inputs'!AU113,'Raw Inputs'!AW113)=0,"",1+9*AVERAGE('Raw Inputs'!AQ113,'Raw Inputs'!AS113,'Raw Inputs'!AU113,'Raw Inputs'!AW113))</x:f>
        <x:v>3.2067203898050973</x:v>
      </x:c>
      <x:c r="E106" s="270" t="n">
        <x:f>'Raw Inputs'!L113</x:f>
        <x:v>86.27999877929688</x:v>
      </x:c>
      <x:c r="F106" s="271" t="n">
        <x:f>'Raw Inputs'!M113</x:f>
        <x:v>69019535355</x:v>
      </x:c>
      <x:c r="G106" s="268" t="n">
        <x:f>'Raw Inputs'!AP113</x:f>
        <x:v>0.03772707229347299</x:v>
      </x:c>
      <x:c r="H106" s="268" t="n">
        <x:f>'Raw Inputs'!AR113</x:f>
        <x:v>0.02772367258281436</x:v>
      </x:c>
      <x:c r="I106" s="268" t="n">
        <x:f>'Raw Inputs'!AT113</x:f>
        <x:v>-0.011059941161204881</x:v>
      </x:c>
      <x:c r="J106" s="268" t="n">
        <x:f>'Raw Inputs'!AV113</x:f>
        <x:v>0.24325178072466355</x:v>
      </x:c>
      <x:c r="K106" s="236" t="str">
        <x:f>'Raw Inputs'!N113</x:f>
        <x:v>Nasdaq screener</x:v>
      </x:c>
      <x:c r="L106" s="236" t="str">
        <x:f>IF('Raw Inputs'!AC113,"Financial / RE: E/P + B/P","Four-component")</x:f>
        <x:v>Four-component</x:v>
      </x:c>
      <x:c r="M106" s="269" t="n">
        <x:f>'Raw Inputs'!K113</x:f>
        <x:v>46213</x:v>
      </x:c>
      <x:c r="N106" s="20" t="str">
        <x:f>'Raw Inputs'!CE113</x:f>
        <x:v>https://api.nasdaq.com/api/screener/stocks?tableonly=true&amp;limit=25000&amp;download=true</x:v>
      </x:c>
    </x:row>
    <x:row r="107">
      <x:c r="A107" s="237" t="n">
        <x:f>RANK(D107,$D$5:$D$121,0)</x:f>
        <x:v>103</x:v>
      </x:c>
      <x:c r="B107" s="236" t="str">
        <x:f>'Raw Inputs'!A43</x:f>
        <x:v>APD</x:v>
      </x:c>
      <x:c r="C107" s="236" t="str">
        <x:f>'Raw Inputs'!B43</x:f>
        <x:v>Air Products and Chemicals Inc.</x:v>
      </x:c>
      <x:c r="D107" s="238" t="n">
        <x:f>IF(COUNT('Raw Inputs'!AQ43,'Raw Inputs'!AS43,'Raw Inputs'!AU43,'Raw Inputs'!AW43)=0,"",1+9*AVERAGE('Raw Inputs'!AQ43,'Raw Inputs'!AS43,'Raw Inputs'!AU43,'Raw Inputs'!AW43))</x:f>
        <x:v>3.1482271364317844</x:v>
      </x:c>
      <x:c r="E107" s="270" t="n">
        <x:f>'Raw Inputs'!L43</x:f>
        <x:v>299.5299987792969</x:v>
      </x:c>
      <x:c r="F107" s="271" t="n">
        <x:f>'Raw Inputs'!M43</x:f>
        <x:v>65410224706</x:v>
      </x:c>
      <x:c r="G107" s="268" t="n">
        <x:f>'Raw Inputs'!AP43</x:f>
        <x:v>0.032216675748657074</x:v>
      </x:c>
      <x:c r="H107" s="268" t="n">
        <x:f>'Raw Inputs'!AR43</x:f>
        <x:v>-0.03338927529780622</x:v>
      </x:c>
      <x:c r="I107" s="268" t="n">
        <x:f>'Raw Inputs'!AT43</x:f>
        <x:v>0.2297026201565974</x:v>
      </x:c>
      <x:c r="J107" s="268" t="n">
        <x:f>'Raw Inputs'!AV43</x:f>
        <x:v>0.19600740313861537</x:v>
      </x:c>
      <x:c r="K107" s="236" t="str">
        <x:f>'Raw Inputs'!N43</x:f>
        <x:v>Nasdaq screener</x:v>
      </x:c>
      <x:c r="L107" s="236" t="str">
        <x:f>IF('Raw Inputs'!AC43,"Financial / RE: E/P + B/P","Four-component")</x:f>
        <x:v>Four-component</x:v>
      </x:c>
      <x:c r="M107" s="269" t="n">
        <x:f>'Raw Inputs'!K43</x:f>
        <x:v>46213</x:v>
      </x:c>
      <x:c r="N107" s="20" t="str">
        <x:f>'Raw Inputs'!CE43</x:f>
        <x:v>https://api.nasdaq.com/api/screener/stocks?tableonly=true&amp;limit=25000&amp;download=true</x:v>
      </x:c>
    </x:row>
    <x:row r="108">
      <x:c r="A108" s="237" t="n">
        <x:f>RANK(D108,$D$5:$D$121,0)</x:f>
        <x:v>104</x:v>
      </x:c>
      <x:c r="B108" s="236" t="str">
        <x:f>'Raw Inputs'!A93</x:f>
        <x:v>VTR</x:v>
      </x:c>
      <x:c r="C108" s="236" t="str">
        <x:f>'Raw Inputs'!B93</x:f>
        <x:v>Ventas Inc. REIT</x:v>
      </x:c>
      <x:c r="D108" s="238" t="n">
        <x:f>IF(COUNT('Raw Inputs'!AQ93,'Raw Inputs'!AS93,'Raw Inputs'!AU93,'Raw Inputs'!AW93)=0,"",1+9*AVERAGE('Raw Inputs'!AQ93,'Raw Inputs'!AS93,'Raw Inputs'!AU93,'Raw Inputs'!AW93))</x:f>
        <x:v>3.094827586206897</x:v>
      </x:c>
      <x:c r="E108" s="270" t="n">
        <x:f>'Raw Inputs'!L93</x:f>
        <x:v>90.66000366210938</x:v>
      </x:c>
      <x:c r="F108" s="271" t="n">
        <x:f>'Raw Inputs'!M93</x:f>
        <x:v>44934236648</x:v>
      </x:c>
      <x:c r="G108" s="268" t="n">
        <x:f>'Raw Inputs'!AP93</x:f>
        <x:v>0.006057919757987384</x:v>
      </x:c>
      <x:c r="H108" s="268" t="n">
        <x:f>'Raw Inputs'!AR93</x:f>
        <x:v>-0.02688106197201332</x:v>
      </x:c>
      <x:c r="I108" s="268" t="n">
        <x:f>'Raw Inputs'!AT93</x:f>
        <x:v>0.27879082709548114</x:v>
      </x:c>
      <x:c r="J108" s="268" t="n">
        <x:f>'Raw Inputs'!AV93</x:f>
        <x:v>0.10720981219342679</x:v>
      </x:c>
      <x:c r="K108" s="236" t="str">
        <x:f>'Raw Inputs'!N93</x:f>
        <x:v>Nasdaq screener</x:v>
      </x:c>
      <x:c r="L108" s="236" t="str">
        <x:f>IF('Raw Inputs'!AC93,"Financial / RE: E/P + B/P","Four-component")</x:f>
        <x:v>Financial / RE: E/P + B/P</x:v>
      </x:c>
      <x:c r="M108" s="269" t="n">
        <x:f>'Raw Inputs'!K93</x:f>
        <x:v>46213</x:v>
      </x:c>
      <x:c r="N108" s="20" t="str">
        <x:f>'Raw Inputs'!CE93</x:f>
        <x:v>https://api.nasdaq.com/api/screener/stocks?tableonly=true&amp;limit=25000&amp;download=true</x:v>
      </x:c>
    </x:row>
    <x:row r="109">
      <x:c r="A109" s="237" t="n">
        <x:f>RANK(D109,$D$5:$D$121,0)</x:f>
        <x:v>105</x:v>
      </x:c>
      <x:c r="B109" s="236" t="str">
        <x:f>'Raw Inputs'!A60</x:f>
        <x:v>DTM</x:v>
      </x:c>
      <x:c r="C109" s="236" t="str">
        <x:f>'Raw Inputs'!B60</x:f>
        <x:v>DT Midstream Inc.</x:v>
      </x:c>
      <x:c r="D109" s="238" t="n">
        <x:f>IF(COUNT('Raw Inputs'!AQ60,'Raw Inputs'!AS60,'Raw Inputs'!AU60,'Raw Inputs'!AW60)=0,"",1+9*AVERAGE('Raw Inputs'!AQ60,'Raw Inputs'!AS60,'Raw Inputs'!AU60,'Raw Inputs'!AW60))</x:f>
        <x:v>3.0925674662668667</x:v>
      </x:c>
      <x:c r="E109" s="270" t="n">
        <x:f>'Raw Inputs'!L60</x:f>
        <x:v>145.1699981689453</x:v>
      </x:c>
      <x:c r="F109" s="271" t="n">
        <x:f>'Raw Inputs'!M60</x:f>
        <x:v>14913443910</x:v>
      </x:c>
      <x:c r="G109" s="268" t="n">
        <x:f>'Raw Inputs'!AP60</x:f>
        <x:v>0.031045813615830337</x:v>
      </x:c>
      <x:c r="H109" s="268" t="n">
        <x:f>'Raw Inputs'!AR60</x:f>
        <x:v>0.03131402798832131</x:v>
      </x:c>
      <x:c r="I109" s="268" t="n">
        <x:f>'Raw Inputs'!AT60</x:f>
        <x:v>0.3175658170293142</x:v>
      </x:c>
      <x:c r="J109" s="268" t="n">
        <x:f>'Raw Inputs'!AV60</x:f>
        <x:v>0.07017372541283352</x:v>
      </x:c>
      <x:c r="K109" s="236" t="str">
        <x:f>'Raw Inputs'!N60</x:f>
        <x:v>Nasdaq screener</x:v>
      </x:c>
      <x:c r="L109" s="236" t="str">
        <x:f>IF('Raw Inputs'!AC60,"Financial / RE: E/P + B/P","Four-component")</x:f>
        <x:v>Four-component</x:v>
      </x:c>
      <x:c r="M109" s="269" t="n">
        <x:f>'Raw Inputs'!K60</x:f>
        <x:v>46213</x:v>
      </x:c>
      <x:c r="N109" s="20" t="str">
        <x:f>'Raw Inputs'!CE60</x:f>
        <x:v>https://api.nasdaq.com/api/screener/stocks?tableonly=true&amp;limit=25000&amp;download=true</x:v>
      </x:c>
    </x:row>
    <x:row r="110">
      <x:c r="A110" s="237" t="n">
        <x:f>RANK(D110,$D$5:$D$121,0)</x:f>
        <x:v>106</x:v>
      </x:c>
      <x:c r="B110" s="236" t="str">
        <x:f>'Raw Inputs'!A101</x:f>
        <x:v>PM</x:v>
      </x:c>
      <x:c r="C110" s="236" t="str">
        <x:f>'Raw Inputs'!B101</x:f>
        <x:v>Philip Morris International Inc.</x:v>
      </x:c>
      <x:c r="D110" s="238" t="n">
        <x:f>IF(COUNT('Raw Inputs'!AQ101,'Raw Inputs'!AS101,'Raw Inputs'!AU101,'Raw Inputs'!AW101)=0,"",1+9*AVERAGE('Raw Inputs'!AQ101,'Raw Inputs'!AS101,'Raw Inputs'!AU101,'Raw Inputs'!AW101))</x:f>
        <x:v>3.0431821589205397</x:v>
      </x:c>
      <x:c r="E110" s="270" t="n">
        <x:f>'Raw Inputs'!L101</x:f>
        <x:v>181.6199951171875</x:v>
      </x:c>
      <x:c r="F110" s="271" t="n">
        <x:f>'Raw Inputs'!M101</x:f>
        <x:v>278701492842</x:v>
      </x:c>
      <x:c r="G110" s="268" t="n">
        <x:f>'Raw Inputs'!AP101</x:f>
        <x:v>0.03981320619007408</x:v>
      </x:c>
      <x:c r="H110" s="268" t="n">
        <x:f>'Raw Inputs'!AR101</x:f>
        <x:v>0.038270336808158806</x:v>
      </x:c>
      <x:c r="I110" s="268" t="n">
        <x:f>'Raw Inputs'!AT101</x:f>
        <x:v>-0.03585915489037494</x:v>
      </x:c>
      <x:c r="J110" s="268" t="n">
        <x:f>'Raw Inputs'!AV101</x:f>
        <x:v>0.15143569223798278</x:v>
      </x:c>
      <x:c r="K110" s="236" t="str">
        <x:f>'Raw Inputs'!N101</x:f>
        <x:v>Nasdaq screener</x:v>
      </x:c>
      <x:c r="L110" s="236" t="str">
        <x:f>IF('Raw Inputs'!AC101,"Financial / RE: E/P + B/P","Four-component")</x:f>
        <x:v>Four-component</x:v>
      </x:c>
      <x:c r="M110" s="269" t="n">
        <x:f>'Raw Inputs'!K101</x:f>
        <x:v>46213</x:v>
      </x:c>
      <x:c r="N110" s="20" t="str">
        <x:f>'Raw Inputs'!CE101</x:f>
        <x:v>https://api.nasdaq.com/api/screener/stocks?tableonly=true&amp;limit=25000&amp;download=true</x:v>
      </x:c>
    </x:row>
    <x:row r="111">
      <x:c r="A111" s="237" t="n">
        <x:f>RANK(D111,$D$5:$D$121,0)</x:f>
        <x:v>107</x:v>
      </x:c>
      <x:c r="B111" s="236" t="str">
        <x:f>'Raw Inputs'!A91</x:f>
        <x:v>WELL</x:v>
      </x:c>
      <x:c r="C111" s="236" t="str">
        <x:f>'Raw Inputs'!B91</x:f>
        <x:v>Welltower Inc. REIT</x:v>
      </x:c>
      <x:c r="D111" s="238" t="n">
        <x:f>IF(COUNT('Raw Inputs'!AQ91,'Raw Inputs'!AS91,'Raw Inputs'!AU91,'Raw Inputs'!AW91)=0,"",1+9*AVERAGE('Raw Inputs'!AQ91,'Raw Inputs'!AS91,'Raw Inputs'!AU91,'Raw Inputs'!AW91))</x:f>
        <x:v>3.0172413793103448</x:v>
      </x:c>
      <x:c r="E111" s="270" t="n">
        <x:f>'Raw Inputs'!L91</x:f>
        <x:v>231.58999633789062</x:v>
      </x:c>
      <x:c r="F111" s="271" t="n">
        <x:f>'Raw Inputs'!M91</x:f>
        <x:v>165459287936</x:v>
      </x:c>
      <x:c r="G111" s="268" t="n">
        <x:f>'Raw Inputs'!AP91</x:f>
        <x:v>0.008805156955368562</x:v>
      </x:c>
      <x:c r="H111" s="268" t="n">
        <x:f>'Raw Inputs'!AR91</x:f>
        <x:v>0</x:v>
      </x:c>
      <x:c r="I111" s="268" t="n">
        <x:f>'Raw Inputs'!AT91</x:f>
        <x:v>0.25462153575987695</x:v>
      </x:c>
      <x:c r="J111" s="268" t="n">
        <x:f>'Raw Inputs'!AV91</x:f>
        <x:v>0.05216148039810386</x:v>
      </x:c>
      <x:c r="K111" s="236" t="str">
        <x:f>'Raw Inputs'!N91</x:f>
        <x:v>Nasdaq screener</x:v>
      </x:c>
      <x:c r="L111" s="236" t="str">
        <x:f>IF('Raw Inputs'!AC91,"Financial / RE: E/P + B/P","Four-component")</x:f>
        <x:v>Financial / RE: E/P + B/P</x:v>
      </x:c>
      <x:c r="M111" s="269" t="n">
        <x:f>'Raw Inputs'!K91</x:f>
        <x:v>46213</x:v>
      </x:c>
      <x:c r="N111" s="20" t="str">
        <x:f>'Raw Inputs'!CE91</x:f>
        <x:v>https://api.nasdaq.com/api/screener/stocks?tableonly=true&amp;limit=25000&amp;download=true</x:v>
      </x:c>
    </x:row>
    <x:row r="112">
      <x:c r="A112" s="237" t="n">
        <x:f>RANK(D112,$D$5:$D$121,0)</x:f>
        <x:v>108</x:v>
      </x:c>
      <x:c r="B112" s="236" t="str">
        <x:f>'Raw Inputs'!A57</x:f>
        <x:v>VRSK</x:v>
      </x:c>
      <x:c r="C112" s="236" t="str">
        <x:f>'Raw Inputs'!B57</x:f>
        <x:v>Verisk Analytics Inc.</x:v>
      </x:c>
      <x:c r="D112" s="238" t="n">
        <x:f>IF(COUNT('Raw Inputs'!AQ57,'Raw Inputs'!AS57,'Raw Inputs'!AU57,'Raw Inputs'!AW57)=0,"",1+9*AVERAGE('Raw Inputs'!AQ57,'Raw Inputs'!AS57,'Raw Inputs'!AU57,'Raw Inputs'!AW57))</x:f>
        <x:v>3.0114055472263868</x:v>
      </x:c>
      <x:c r="E112" s="270" t="n">
        <x:f>'Raw Inputs'!L57</x:f>
        <x:v>185.38999938964844</x:v>
      </x:c>
      <x:c r="F112" s="271" t="n">
        <x:f>'Raw Inputs'!M57</x:f>
        <x:v>25280664028</x:v>
      </x:c>
      <x:c r="G112" s="268" t="n">
        <x:f>'Raw Inputs'!AP57</x:f>
        <x:v>0.036003801126105454</x:v>
      </x:c>
      <x:c r="H112" s="268" t="n">
        <x:f>'Raw Inputs'!AR57</x:f>
        <x:v>0.04459139201214972</x:v>
      </x:c>
      <x:c r="I112" s="268" t="n">
        <x:f>'Raw Inputs'!AT57</x:f>
        <x:v>0.012222780210905938</x:v>
      </x:c>
      <x:c r="J112" s="268" t="n">
        <x:f>'Raw Inputs'!AV57</x:f>
        <x:v>0.11128942471312907</x:v>
      </x:c>
      <x:c r="K112" s="236" t="str">
        <x:f>'Raw Inputs'!N57</x:f>
        <x:v>Nasdaq screener</x:v>
      </x:c>
      <x:c r="L112" s="236" t="str">
        <x:f>IF('Raw Inputs'!AC57,"Financial / RE: E/P + B/P","Four-component")</x:f>
        <x:v>Four-component</x:v>
      </x:c>
      <x:c r="M112" s="269" t="n">
        <x:f>'Raw Inputs'!K57</x:f>
        <x:v>46213</x:v>
      </x:c>
      <x:c r="N112" s="20" t="str">
        <x:f>'Raw Inputs'!CE57</x:f>
        <x:v>https://api.nasdaq.com/api/screener/stocks?tableonly=true&amp;limit=25000&amp;download=true</x:v>
      </x:c>
    </x:row>
    <x:row r="113">
      <x:c r="A113" s="237" t="n">
        <x:f>RANK(D113,$D$5:$D$121,0)</x:f>
        <x:v>109</x:v>
      </x:c>
      <x:c r="B113" s="236" t="str">
        <x:f>'Raw Inputs'!A105</x:f>
        <x:v>JNJ</x:v>
      </x:c>
      <x:c r="C113" s="236" t="str">
        <x:f>'Raw Inputs'!B105</x:f>
        <x:v>Johnson &amp; Johnson</x:v>
      </x:c>
      <x:c r="D113" s="238" t="n">
        <x:f>IF(COUNT('Raw Inputs'!AQ105,'Raw Inputs'!AS105,'Raw Inputs'!AU105,'Raw Inputs'!AW105)=0,"",1+9*AVERAGE('Raw Inputs'!AQ105,'Raw Inputs'!AS105,'Raw Inputs'!AU105,'Raw Inputs'!AW105))</x:f>
        <x:v>2.9541266866566716</x:v>
      </x:c>
      <x:c r="E113" s="270" t="n">
        <x:f>'Raw Inputs'!L105</x:f>
        <x:v>256.9800109863281</x:v>
      </x:c>
      <x:c r="F113" s="271" t="n">
        <x:f>'Raw Inputs'!M105</x:f>
        <x:v>604512361842</x:v>
      </x:c>
      <x:c r="G113" s="268" t="n">
        <x:f>'Raw Inputs'!AP105</x:f>
        <x:v>0.03480491273311492</x:v>
      </x:c>
      <x:c r="H113" s="268" t="n">
        <x:f>'Raw Inputs'!AR105</x:f>
        <x:v>0.029418753234111965</x:v>
      </x:c>
      <x:c r="I113" s="268" t="n">
        <x:f>'Raw Inputs'!AT105</x:f>
        <x:v>0.1348921960032853</x:v>
      </x:c>
      <x:c r="J113" s="268" t="n">
        <x:f>'Raw Inputs'!AV105</x:f>
        <x:v>0.1538735795357957</x:v>
      </x:c>
      <x:c r="K113" s="236" t="str">
        <x:f>'Raw Inputs'!N105</x:f>
        <x:v>Nasdaq screener</x:v>
      </x:c>
      <x:c r="L113" s="236" t="str">
        <x:f>IF('Raw Inputs'!AC105,"Financial / RE: E/P + B/P","Four-component")</x:f>
        <x:v>Four-component</x:v>
      </x:c>
      <x:c r="M113" s="269" t="n">
        <x:f>'Raw Inputs'!K105</x:f>
        <x:v>46213</x:v>
      </x:c>
      <x:c r="N113" s="20" t="str">
        <x:f>'Raw Inputs'!CE105</x:f>
        <x:v>https://api.nasdaq.com/api/screener/stocks?tableonly=true&amp;limit=25000&amp;download=true</x:v>
      </x:c>
    </x:row>
    <x:row r="114">
      <x:c r="A114" s="237" t="n">
        <x:f>RANK(D114,$D$5:$D$121,0)</x:f>
        <x:v>110</x:v>
      </x:c>
      <x:c r="B114" s="236" t="str">
        <x:f>'Raw Inputs'!A72</x:f>
        <x:v>VRTX</x:v>
      </x:c>
      <x:c r="C114" s="236" t="str">
        <x:f>'Raw Inputs'!B72</x:f>
        <x:v>Vertex Pharmaceuticals Inc.</x:v>
      </x:c>
      <x:c r="D114" s="238" t="n">
        <x:f>IF(COUNT('Raw Inputs'!AQ72,'Raw Inputs'!AS72,'Raw Inputs'!AU72,'Raw Inputs'!AW72)=0,"",1+9*AVERAGE('Raw Inputs'!AQ72,'Raw Inputs'!AS72,'Raw Inputs'!AU72,'Raw Inputs'!AW72))</x:f>
        <x:v>2.838826836581709</x:v>
      </x:c>
      <x:c r="E114" s="270" t="n">
        <x:f>'Raw Inputs'!L72</x:f>
        <x:v>485.3900146484375</x:v>
      </x:c>
      <x:c r="F114" s="271" t="n">
        <x:f>'Raw Inputs'!M72</x:f>
        <x:v>121890051514</x:v>
      </x:c>
      <x:c r="G114" s="268" t="n">
        <x:f>'Raw Inputs'!AP72</x:f>
        <x:v>0.03559191210532644</x:v>
      </x:c>
      <x:c r="H114" s="268" t="n">
        <x:f>'Raw Inputs'!AR72</x:f>
        <x:v>0.030439727885206807</x:v>
      </x:c>
      <x:c r="I114" s="268" t="n">
        <x:f>'Raw Inputs'!AT72</x:f>
        <x:v>0.1531363697705558</x:v>
      </x:c>
      <x:c r="J114" s="268" t="n">
        <x:f>'Raw Inputs'!AV72</x:f>
        <x:v>0.10460146133528576</x:v>
      </x:c>
      <x:c r="K114" s="236" t="str">
        <x:f>'Raw Inputs'!N72</x:f>
        <x:v>Nasdaq screener</x:v>
      </x:c>
      <x:c r="L114" s="236" t="str">
        <x:f>IF('Raw Inputs'!AC72,"Financial / RE: E/P + B/P","Four-component")</x:f>
        <x:v>Four-component</x:v>
      </x:c>
      <x:c r="M114" s="269" t="n">
        <x:f>'Raw Inputs'!K72</x:f>
        <x:v>46213</x:v>
      </x:c>
      <x:c r="N114" s="20" t="str">
        <x:f>'Raw Inputs'!CE72</x:f>
        <x:v>https://api.nasdaq.com/api/screener/stocks?tableonly=true&amp;limit=25000&amp;download=true</x:v>
      </x:c>
    </x:row>
    <x:row r="115">
      <x:c r="A115" s="237" t="n">
        <x:f>RANK(D115,$D$5:$D$121,0)</x:f>
        <x:v>111</x:v>
      </x:c>
      <x:c r="B115" s="236" t="str">
        <x:f>'Raw Inputs'!A100</x:f>
        <x:v>ELS</x:v>
      </x:c>
      <x:c r="C115" s="236" t="str">
        <x:f>'Raw Inputs'!B100</x:f>
        <x:v>Equity LifeStyle Properties Inc. REIT</x:v>
      </x:c>
      <x:c r="D115" s="238" t="n">
        <x:f>IF(COUNT('Raw Inputs'!AQ100,'Raw Inputs'!AS100,'Raw Inputs'!AU100,'Raw Inputs'!AW100)=0,"",1+9*AVERAGE('Raw Inputs'!AQ100,'Raw Inputs'!AS100,'Raw Inputs'!AU100,'Raw Inputs'!AW100))</x:f>
        <x:v>2.7844827586206895</x:v>
      </x:c>
      <x:c r="E115" s="270" t="n">
        <x:f>'Raw Inputs'!L100</x:f>
        <x:v>63.470001220703125</x:v>
      </x:c>
      <x:c r="F115" s="271" t="n">
        <x:f>'Raw Inputs'!M100</x:f>
        <x:v>12470184658</x:v>
      </x:c>
      <x:c r="G115" s="268" t="n">
        <x:f>'Raw Inputs'!AP100</x:f>
        <x:v>0.032009068906924926</x:v>
      </x:c>
      <x:c r="H115" s="268" t="n">
        <x:f>'Raw Inputs'!AR100</x:f>
        <x:v>0.035219205813303366</x:v>
      </x:c>
      <x:c r="I115" s="268" t="n">
        <x:f>'Raw Inputs'!AT100</x:f>
        <x:v>0.1408379304851189</x:v>
      </x:c>
      <x:c r="J115" s="268" t="n">
        <x:f>'Raw Inputs'!AV100</x:f>
        <x:v>0.09747502921787872</x:v>
      </x:c>
      <x:c r="K115" s="236" t="str">
        <x:f>'Raw Inputs'!N100</x:f>
        <x:v>Nasdaq screener</x:v>
      </x:c>
      <x:c r="L115" s="236" t="str">
        <x:f>IF('Raw Inputs'!AC100,"Financial / RE: E/P + B/P","Four-component")</x:f>
        <x:v>Financial / RE: E/P + B/P</x:v>
      </x:c>
      <x:c r="M115" s="269" t="n">
        <x:f>'Raw Inputs'!K100</x:f>
        <x:v>46213</x:v>
      </x:c>
      <x:c r="N115" s="20" t="str">
        <x:f>'Raw Inputs'!CE100</x:f>
        <x:v>https://api.nasdaq.com/api/screener/stocks?tableonly=true&amp;limit=25000&amp;download=true</x:v>
      </x:c>
    </x:row>
    <x:row r="116">
      <x:c r="A116" s="237" t="n">
        <x:f>RANK(D116,$D$5:$D$121,0)</x:f>
        <x:v>112</x:v>
      </x:c>
      <x:c r="B116" s="236" t="str">
        <x:f>'Raw Inputs'!A92</x:f>
        <x:v>LIN</x:v>
      </x:c>
      <x:c r="C116" s="236" t="str">
        <x:f>'Raw Inputs'!B92</x:f>
        <x:v>Linde PLC</x:v>
      </x:c>
      <x:c r="D116" s="238" t="n">
        <x:f>IF(COUNT('Raw Inputs'!AQ92,'Raw Inputs'!AS92,'Raw Inputs'!AU92,'Raw Inputs'!AW92)=0,"",1+9*AVERAGE('Raw Inputs'!AQ92,'Raw Inputs'!AS92,'Raw Inputs'!AU92,'Raw Inputs'!AW92))</x:f>
        <x:v>2.666214392803598</x:v>
      </x:c>
      <x:c r="E116" s="270" t="n">
        <x:f>'Raw Inputs'!L92</x:f>
        <x:v>529.7899780273438</x:v>
      </x:c>
      <x:c r="F116" s="271" t="n">
        <x:f>'Raw Inputs'!M92</x:f>
        <x:v>237801606021</x:v>
      </x:c>
      <x:c r="G116" s="268" t="n">
        <x:f>'Raw Inputs'!AP92</x:f>
        <x:v>0.029781127716078572</x:v>
      </x:c>
      <x:c r="H116" s="268" t="n">
        <x:f>'Raw Inputs'!AR92</x:f>
        <x:v>0.021429628189937364</x:v>
      </x:c>
      <x:c r="I116" s="268" t="n">
        <x:f>'Raw Inputs'!AT92</x:f>
        <x:v>0.16082734107616845</x:v>
      </x:c>
      <x:c r="J116" s="268" t="n">
        <x:f>'Raw Inputs'!AV92</x:f>
        <x:v>0.13578236260319104</x:v>
      </x:c>
      <x:c r="K116" s="236" t="str">
        <x:f>'Raw Inputs'!N92</x:f>
        <x:v>Nasdaq screener</x:v>
      </x:c>
      <x:c r="L116" s="236" t="str">
        <x:f>IF('Raw Inputs'!AC92,"Financial / RE: E/P + B/P","Four-component")</x:f>
        <x:v>Four-component</x:v>
      </x:c>
      <x:c r="M116" s="269" t="n">
        <x:f>'Raw Inputs'!K92</x:f>
        <x:v>46213</x:v>
      </x:c>
      <x:c r="N116" s="20" t="str">
        <x:f>'Raw Inputs'!CE92</x:f>
        <x:v>https://api.nasdaq.com/api/screener/stocks?tableonly=true&amp;limit=25000&amp;download=true</x:v>
      </x:c>
    </x:row>
    <x:row r="117">
      <x:c r="A117" s="237" t="n">
        <x:f>RANK(D117,$D$5:$D$121,0)</x:f>
        <x:v>113</x:v>
      </x:c>
      <x:c r="B117" s="236" t="str">
        <x:f>'Raw Inputs'!A99</x:f>
        <x:v>ABBV</x:v>
      </x:c>
      <x:c r="C117" s="236" t="str">
        <x:f>'Raw Inputs'!B99</x:f>
        <x:v>AbbVie Inc.</x:v>
      </x:c>
      <x:c r="D117" s="238" t="n">
        <x:f>IF(COUNT('Raw Inputs'!AQ99,'Raw Inputs'!AS99,'Raw Inputs'!AU99,'Raw Inputs'!AW99)=0,"",1+9*AVERAGE('Raw Inputs'!AQ99,'Raw Inputs'!AS99,'Raw Inputs'!AU99,'Raw Inputs'!AW99))</x:f>
        <x:v>2.6076874062968516</x:v>
      </x:c>
      <x:c r="E117" s="270" t="n">
        <x:f>'Raw Inputs'!L99</x:f>
        <x:v>248.0800018310547</x:v>
      </x:c>
      <x:c r="F117" s="271" t="n">
        <x:f>'Raw Inputs'!M99</x:f>
        <x:v>437210551485</x:v>
      </x:c>
      <x:c r="G117" s="268" t="n">
        <x:f>'Raw Inputs'!AP99</x:f>
        <x:v>0.008314071990379928</x:v>
      </x:c>
      <x:c r="H117" s="268" t="n">
        <x:f>'Raw Inputs'!AR99</x:f>
        <x:v>0.045698805603243735</x:v>
      </x:c>
      <x:c r="I117" s="268" t="n">
        <x:f>'Raw Inputs'!AT99</x:f>
        <x:v>-0.00747923395008043</x:v>
      </x:c>
      <x:c r="J117" s="268" t="n">
        <x:f>'Raw Inputs'!AV99</x:f>
        <x:v>0.12652760254494627</x:v>
      </x:c>
      <x:c r="K117" s="236" t="str">
        <x:f>'Raw Inputs'!N99</x:f>
        <x:v>Nasdaq screener</x:v>
      </x:c>
      <x:c r="L117" s="236" t="str">
        <x:f>IF('Raw Inputs'!AC99,"Financial / RE: E/P + B/P","Four-component")</x:f>
        <x:v>Four-component</x:v>
      </x:c>
      <x:c r="M117" s="269" t="n">
        <x:f>'Raw Inputs'!K99</x:f>
        <x:v>46213</x:v>
      </x:c>
      <x:c r="N117" s="20" t="str">
        <x:f>'Raw Inputs'!CE99</x:f>
        <x:v>https://api.nasdaq.com/api/screener/stocks?tableonly=true&amp;limit=25000&amp;download=true</x:v>
      </x:c>
    </x:row>
    <x:row r="118">
      <x:c r="A118" s="237" t="n">
        <x:f>RANK(D118,$D$5:$D$121,0)</x:f>
        <x:v>114</x:v>
      </x:c>
      <x:c r="B118" s="236" t="str">
        <x:f>'Raw Inputs'!A117</x:f>
        <x:v>VNOM</x:v>
      </x:c>
      <x:c r="C118" s="236" t="str">
        <x:f>'Raw Inputs'!B117</x:f>
        <x:v>Viper Energy Inc.</x:v>
      </x:c>
      <x:c r="D118" s="238" t="n">
        <x:f>IF(COUNT('Raw Inputs'!AQ117,'Raw Inputs'!AS117,'Raw Inputs'!AU117,'Raw Inputs'!AW117)=0,"",1+9*AVERAGE('Raw Inputs'!AQ117,'Raw Inputs'!AS117,'Raw Inputs'!AU117,'Raw Inputs'!AW117))</x:f>
        <x:v>2.605022488755622</x:v>
      </x:c>
      <x:c r="E118" s="270" t="n">
        <x:f>'Raw Inputs'!L117</x:f>
        <x:v>42.029998779296875</x:v>
      </x:c>
      <x:c r="F118" s="271" t="n">
        <x:f>'Raw Inputs'!M117</x:f>
        <x:v>15300986082</x:v>
      </x:c>
      <x:c r="G118" s="268" t="n">
        <x:f>'Raw Inputs'!AP117</x:f>
        <x:v>-0.004444158019331502</x:v>
      </x:c>
      <x:c r="H118" s="268" t="n">
        <x:f>'Raw Inputs'!AR117</x:f>
        <x:v>0</x:v>
      </x:c>
      <x:c r="I118" s="268" t="n">
        <x:f>'Raw Inputs'!AT117</x:f>
        <x:v>0.2907002186762724</x:v>
      </x:c>
      <x:c r="J118" s="268" t="n">
        <x:f>'Raw Inputs'!AV117</x:f>
        <x:v>0.07702878974972506</x:v>
      </x:c>
      <x:c r="K118" s="236" t="str">
        <x:f>'Raw Inputs'!N117</x:f>
        <x:v>Nasdaq screener</x:v>
      </x:c>
      <x:c r="L118" s="236" t="str">
        <x:f>IF('Raw Inputs'!AC117,"Financial / RE: E/P + B/P","Four-component")</x:f>
        <x:v>Four-component</x:v>
      </x:c>
      <x:c r="M118" s="269" t="n">
        <x:f>'Raw Inputs'!K117</x:f>
        <x:v>46213</x:v>
      </x:c>
      <x:c r="N118" s="20" t="str">
        <x:f>'Raw Inputs'!CE117</x:f>
        <x:v>https://api.nasdaq.com/api/screener/stocks?tableonly=true&amp;limit=25000&amp;download=true</x:v>
      </x:c>
    </x:row>
    <x:row r="119">
      <x:c r="A119" s="237" t="n">
        <x:f>RANK(D119,$D$5:$D$121,0)</x:f>
        <x:v>115</x:v>
      </x:c>
      <x:c r="B119" s="236" t="str">
        <x:f>'Raw Inputs'!A79</x:f>
        <x:v>FAST</x:v>
      </x:c>
      <x:c r="C119" s="236" t="str">
        <x:f>'Raw Inputs'!B79</x:f>
        <x:v>Fastenal Co.</x:v>
      </x:c>
      <x:c r="D119" s="238" t="n">
        <x:f>IF(COUNT('Raw Inputs'!AQ79,'Raw Inputs'!AS79,'Raw Inputs'!AU79,'Raw Inputs'!AW79)=0,"",1+9*AVERAGE('Raw Inputs'!AQ79,'Raw Inputs'!AS79,'Raw Inputs'!AU79,'Raw Inputs'!AW79))</x:f>
        <x:v>2.538163418290855</x:v>
      </x:c>
      <x:c r="E119" s="270" t="n">
        <x:f>'Raw Inputs'!L79</x:f>
        <x:v>46.4900016784668</x:v>
      </x:c>
      <x:c r="F119" s="271" t="n">
        <x:f>'Raw Inputs'!M79</x:f>
        <x:v>51988767737</x:v>
      </x:c>
      <x:c r="G119" s="268" t="n">
        <x:f>'Raw Inputs'!AP79</x:f>
        <x:v>0.024997707323520284</x:v>
      </x:c>
      <x:c r="H119" s="268" t="n">
        <x:f>'Raw Inputs'!AR79</x:f>
        <x:v>0.022379834157368307</x:v>
      </x:c>
      <x:c r="I119" s="268" t="n">
        <x:f>'Raw Inputs'!AT79</x:f>
        <x:v>0.07585484656897092</x:v>
      </x:c>
      <x:c r="J119" s="268" t="n">
        <x:f>'Raw Inputs'!AV79</x:f>
        <x:v>0.16287025203393216</x:v>
      </x:c>
      <x:c r="K119" s="236" t="str">
        <x:f>'Raw Inputs'!N79</x:f>
        <x:v>Nasdaq screener</x:v>
      </x:c>
      <x:c r="L119" s="236" t="str">
        <x:f>IF('Raw Inputs'!AC79,"Financial / RE: E/P + B/P","Four-component")</x:f>
        <x:v>Four-component</x:v>
      </x:c>
      <x:c r="M119" s="269" t="n">
        <x:f>'Raw Inputs'!K79</x:f>
        <x:v>46213</x:v>
      </x:c>
      <x:c r="N119" s="20" t="str">
        <x:f>'Raw Inputs'!CE79</x:f>
        <x:v>https://api.nasdaq.com/api/screener/stocks?tableonly=true&amp;limit=25000&amp;download=true</x:v>
      </x:c>
    </x:row>
    <x:row r="120">
      <x:c r="A120" s="237" t="n">
        <x:f>RANK(D120,$D$5:$D$121,0)</x:f>
        <x:v>116</x:v>
      </x:c>
      <x:c r="B120" s="236" t="str">
        <x:f>'Raw Inputs'!A61</x:f>
        <x:v>VRSN</x:v>
      </x:c>
      <x:c r="C120" s="236" t="str">
        <x:f>'Raw Inputs'!B61</x:f>
        <x:v>VeriSign Inc.</x:v>
      </x:c>
      <x:c r="D120" s="238" t="n">
        <x:f>IF(COUNT('Raw Inputs'!AQ61,'Raw Inputs'!AS61,'Raw Inputs'!AU61,'Raw Inputs'!AW61)=0,"",1+9*AVERAGE('Raw Inputs'!AQ61,'Raw Inputs'!AS61,'Raw Inputs'!AU61,'Raw Inputs'!AW61))</x:f>
        <x:v>2.4507608695652174</x:v>
      </x:c>
      <x:c r="E120" s="270" t="n">
        <x:f>'Raw Inputs'!L61</x:f>
        <x:v>270.1099853515625</x:v>
      </x:c>
      <x:c r="F120" s="271" t="n">
        <x:f>'Raw Inputs'!M61</x:f>
        <x:v>24611860000</x:v>
      </x:c>
      <x:c r="G120" s="268" t="n">
        <x:f>'Raw Inputs'!AP61</x:f>
        <x:v>0.03416645470923368</x:v>
      </x:c>
      <x:c r="H120" s="268" t="n">
        <x:f>'Raw Inputs'!AR61</x:f>
        <x:v>0.042581097080838265</x:v>
      </x:c>
      <x:c r="I120" s="268" t="n">
        <x:f>'Raw Inputs'!AT61</x:f>
        <x:v>-0.08752690775910475</x:v>
      </x:c>
      <x:c r="J120" s="268" t="n">
        <x:f>'Raw Inputs'!AV61</x:f>
        <x:v>0.06925620351580565</x:v>
      </x:c>
      <x:c r="K120" s="236" t="str">
        <x:f>'Raw Inputs'!N61</x:f>
        <x:v>Nasdaq screener</x:v>
      </x:c>
      <x:c r="L120" s="236" t="str">
        <x:f>IF('Raw Inputs'!AC61,"Financial / RE: E/P + B/P","Four-component")</x:f>
        <x:v>Four-component</x:v>
      </x:c>
      <x:c r="M120" s="269" t="n">
        <x:f>'Raw Inputs'!K61</x:f>
        <x:v>46213</x:v>
      </x:c>
      <x:c r="N120" s="20" t="str">
        <x:f>'Raw Inputs'!CE61</x:f>
        <x:v>https://api.nasdaq.com/api/screener/stocks?tableonly=true&amp;limit=25000&amp;download=true</x:v>
      </x:c>
    </x:row>
    <x:row r="121">
      <x:c r="A121" s="237" t="n">
        <x:f>RANK(D121,$D$5:$D$121,0)</x:f>
        <x:v>117</x:v>
      </x:c>
      <x:c r="B121" s="236" t="str">
        <x:f>'Raw Inputs'!A56</x:f>
        <x:v>EA</x:v>
      </x:c>
      <x:c r="C121" s="236" t="str">
        <x:f>'Raw Inputs'!B56</x:f>
        <x:v>Electronic Arts Inc.</x:v>
      </x:c>
      <x:c r="D121" s="238" t="n">
        <x:f>IF(COUNT('Raw Inputs'!AQ56,'Raw Inputs'!AS56,'Raw Inputs'!AU56,'Raw Inputs'!AW56)=0,"",1+9*AVERAGE('Raw Inputs'!AQ56,'Raw Inputs'!AS56,'Raw Inputs'!AU56,'Raw Inputs'!AW56))</x:f>
        <x:v>2.3243628185907044</x:v>
      </x:c>
      <x:c r="E121" s="270" t="n">
        <x:f>'Raw Inputs'!L56</x:f>
        <x:v>206.41000366210938</x:v>
      </x:c>
      <x:c r="F121" s="271" t="n">
        <x:f>'Raw Inputs'!M56</x:f>
        <x:v>52005857782</x:v>
      </x:c>
      <x:c r="G121" s="268" t="n">
        <x:f>'Raw Inputs'!AP56</x:f>
        <x:v>0.01705577098099522</x:v>
      </x:c>
      <x:c r="H121" s="268" t="n">
        <x:f>'Raw Inputs'!AR56</x:f>
        <x:v>0</x:v>
      </x:c>
      <x:c r="I121" s="268" t="n">
        <x:f>'Raw Inputs'!AT56</x:f>
        <x:v>0.13006227160704809</x:v>
      </x:c>
      <x:c r="J121" s="268" t="n">
        <x:f>'Raw Inputs'!AV56</x:f>
        <x:v>0.14481061021180947</x:v>
      </x:c>
      <x:c r="K121" s="236" t="str">
        <x:f>'Raw Inputs'!N56</x:f>
        <x:v>Nasdaq screener</x:v>
      </x:c>
      <x:c r="L121" s="236" t="str">
        <x:f>IF('Raw Inputs'!AC56,"Financial / RE: E/P + B/P","Four-component")</x:f>
        <x:v>Four-component</x:v>
      </x:c>
      <x:c r="M121" s="269" t="n">
        <x:f>'Raw Inputs'!K56</x:f>
        <x:v>46213</x:v>
      </x:c>
      <x:c r="N121" s="20" t="str">
        <x:f>'Raw Inputs'!CE56</x:f>
        <x:v>https://api.nasdaq.com/api/screener/stocks?tableonly=true&amp;limit=25000&amp;download=true</x:v>
      </x:c>
    </x:row>
  </x:sheetData>
  <x:mergeCells>
    <x:mergeCell ref="A1:N1"/>
    <x:mergeCell ref="A2:N2"/>
    <x:mergeCell ref="A3:N3"/>
  </x:mergeCells>
  <x:conditionalFormatting sqref="D5:D12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16ab411542945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0" hidden="0" customWidth="1"/>
    <x:col min="4" max="4" width="11" hidden="0" customWidth="1"/>
    <x:col min="5" max="5" width="14" hidden="0" customWidth="1"/>
    <x:col min="6" max="6" width="17" hidden="0" customWidth="1"/>
    <x:col min="7" max="7" width="18" hidden="0" customWidth="1"/>
    <x:col min="8" max="8" width="13" hidden="0" customWidth="1"/>
    <x:col min="9" max="9" width="22" hidden="0" customWidth="1"/>
    <x:col min="10" max="10" width="14" hidden="0" customWidth="1"/>
    <x:col min="11" max="11" width="17" hidden="0" customWidth="1"/>
    <x:col min="12" max="12" width="17" hidden="0" customWidth="1"/>
    <x:col min="13" max="13" width="44" hidden="0" customWidth="1"/>
  </x:cols>
  <x:sheetData>
    <x:row r="1" ht="34" customHeight="1">
      <x:c r="A1" s="24" t="str">
        <x:v>Conservative Investment Ranking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>
      <x:c r="A2" s="33" t="str">
        <x:v>Higher scores reward slower balance-sheet asset growth and lower capital-expenditure intensity.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5"/>
    </x:row>
    <x:row r="3">
      <x:c r="A3" s="263" t="str">
        <x:v>Asset growth is the primary Fama-French-style signal. Non-financials add inverted capex-to-average-assets; financial and real-estate names use asset growth only.</x:v>
      </x:c>
      <x:c r="B3" s="264"/>
      <x:c r="C3" s="264"/>
      <x:c r="D3" s="264"/>
      <x:c r="E3" s="264"/>
      <x:c r="F3" s="264"/>
      <x:c r="G3" s="264"/>
      <x:c r="H3" s="264"/>
      <x:c r="I3" s="264"/>
      <x:c r="J3" s="264"/>
      <x:c r="K3" s="264"/>
      <x:c r="L3" s="264"/>
      <x:c r="M3" s="265"/>
    </x:row>
    <x:row r="4">
      <x:c r="A4" s="7" t="str">
        <x:v>Rank</x:v>
      </x:c>
      <x:c r="B4" s="7" t="str">
        <x:v>Ticker</x:v>
      </x:c>
      <x:c r="C4" s="7" t="str">
        <x:v>Company</x:v>
      </x:c>
      <x:c r="D4" s="7" t="str">
        <x:v>CI Score</x:v>
      </x:c>
      <x:c r="E4" s="7" t="str">
        <x:v>Asset Growth</x:v>
      </x:c>
      <x:c r="F4" s="7" t="str">
        <x:v>Asset Growth Pctl</x:v>
      </x:c>
      <x:c r="G4" s="7" t="str">
        <x:v>Capex / Avg Assets</x:v>
      </x:c>
      <x:c r="H4" s="7" t="str">
        <x:v>Capex Pctl</x:v>
      </x:c>
      <x:c r="I4" s="7" t="str">
        <x:v>Method</x:v>
      </x:c>
      <x:c r="J4" s="7" t="str">
        <x:v>Latest Annual</x:v>
      </x:c>
      <x:c r="K4" s="7" t="str">
        <x:v>Prior Assets</x:v>
      </x:c>
      <x:c r="L4" s="7" t="str">
        <x:v>Current Assets</x:v>
      </x:c>
      <x:c r="M4" s="7" t="str">
        <x:v>SEC Source</x:v>
      </x:c>
    </x:row>
    <x:row r="5">
      <x:c r="A5" s="237" t="n">
        <x:f>RANK(D5,$D$5:$D$121,0)</x:f>
        <x:v>1</x:v>
      </x:c>
      <x:c r="B5" s="236" t="str">
        <x:f>'Raw Inputs'!A5</x:f>
        <x:v>APA</x:v>
      </x:c>
      <x:c r="C5" s="236" t="str">
        <x:f>'Raw Inputs'!B5</x:f>
        <x:v>APA Corp.</x:v>
      </x:c>
      <x:c r="D5" s="238" t="n">
        <x:f>IF(COUNT('Raw Inputs'!AY5,'Raw Inputs'!BA5)=0,"",1+9*AVERAGE('Raw Inputs'!AY5,'Raw Inputs'!BA5))</x:f>
        <x:v>10</x:v>
      </x:c>
      <x:c r="E5" s="268" t="n">
        <x:f>'Raw Inputs'!AX5</x:f>
        <x:v>-0.08401237751418256</x:v>
      </x:c>
      <x:c r="F5" s="268" t="n">
        <x:f>'Raw Inputs'!AY5</x:f>
        <x:v>1</x:v>
      </x:c>
      <x:c r="G5" s="268" t="n">
        <x:f>'Raw Inputs'!AZ5</x:f>
        <x:v>0</x:v>
      </x:c>
      <x:c r="H5" s="268" t="n">
        <x:f>'Raw Inputs'!BA5</x:f>
        <x:v>0</x:v>
      </x:c>
      <x:c r="I5" s="236" t="str">
        <x:f>IF('Raw Inputs'!AC5,"Asset growth only","Asset growth + capex")</x:f>
        <x:v>Asset growth + capex</x:v>
      </x:c>
      <x:c r="J5" s="269" t="n">
        <x:f>'Raw Inputs'!T5</x:f>
        <x:v>46022</x:v>
      </x:c>
      <x:c r="K5" s="271" t="n">
        <x:f>'Raw Inputs'!BS5</x:f>
        <x:v>19390000000</x:v>
      </x:c>
      <x:c r="L5" s="271" t="n">
        <x:f>'Raw Inputs'!BR5</x:f>
        <x:v>17761000000</x:v>
      </x:c>
      <x:c r="M5" s="20" t="str">
        <x:f>'Raw Inputs'!CC5</x:f>
        <x:v>https://data.sec.gov/api/xbrl/companyfacts/CIK0001841666.json</x:v>
      </x:c>
    </x:row>
    <x:row r="6">
      <x:c r="A6" s="237" t="n">
        <x:f>RANK(D6,$D$5:$D$121,0)</x:f>
        <x:v>2</x:v>
      </x:c>
      <x:c r="B6" s="236" t="str">
        <x:f>'Raw Inputs'!A3</x:f>
        <x:v>RRC</x:v>
      </x:c>
      <x:c r="C6" s="236" t="str">
        <x:f>'Raw Inputs'!B3</x:f>
        <x:v>Range Resources Corp.</x:v>
      </x:c>
      <x:c r="D6" s="238" t="n">
        <x:f>IF(COUNT('Raw Inputs'!AY3,'Raw Inputs'!BA3)=0,"",1+9*AVERAGE('Raw Inputs'!AY3,'Raw Inputs'!BA3))</x:f>
        <x:v>9.262931034482758</x:v>
      </x:c>
      <x:c r="E6" s="268" t="n">
        <x:f>'Raw Inputs'!AX3</x:f>
        <x:v>0.010108367612884361</x:v>
      </x:c>
      <x:c r="F6" s="268" t="n">
        <x:f>'Raw Inputs'!AY3</x:f>
        <x:v>0.8362068965517242</x:v>
      </x:c>
      <x:c r="G6" s="268" t="n">
        <x:f>'Raw Inputs'!AZ3</x:f>
        <x:v>0.000042113464913762525</x:v>
      </x:c>
      <x:c r="H6" s="268" t="n">
        <x:f>'Raw Inputs'!BA3</x:f>
        <x:v>1</x:v>
      </x:c>
      <x:c r="I6" s="236" t="str">
        <x:f>IF('Raw Inputs'!AC3,"Asset growth only","Asset growth + capex")</x:f>
        <x:v>Asset growth + capex</x:v>
      </x:c>
      <x:c r="J6" s="269" t="n">
        <x:f>'Raw Inputs'!T3</x:f>
        <x:v>46022</x:v>
      </x:c>
      <x:c r="K6" s="271" t="n">
        <x:f>'Raw Inputs'!BS3</x:f>
        <x:v>7347675000</x:v>
      </x:c>
      <x:c r="L6" s="271" t="n">
        <x:f>'Raw Inputs'!BR3</x:f>
        <x:v>7421948000</x:v>
      </x:c>
      <x:c r="M6" s="20" t="str">
        <x:f>'Raw Inputs'!CC3</x:f>
        <x:v>https://data.sec.gov/api/xbrl/companyfacts/CIK0000315852.json</x:v>
      </x:c>
    </x:row>
    <x:row r="7">
      <x:c r="A7" s="237" t="n">
        <x:f>RANK(D7,$D$5:$D$121,0)</x:f>
        <x:v>3</x:v>
      </x:c>
      <x:c r="B7" s="236" t="str">
        <x:f>'Raw Inputs'!A10</x:f>
        <x:v>AFL</x:v>
      </x:c>
      <x:c r="C7" s="236" t="str">
        <x:f>'Raw Inputs'!B10</x:f>
        <x:v>Aflac Inc.</x:v>
      </x:c>
      <x:c r="D7" s="238" t="n">
        <x:f>IF(COUNT('Raw Inputs'!AY10,'Raw Inputs'!BA10)=0,"",1+9*AVERAGE('Raw Inputs'!AY10,'Raw Inputs'!BA10))</x:f>
        <x:v>9.224137931034482</x:v>
      </x:c>
      <x:c r="E7" s="268" t="n">
        <x:f>'Raw Inputs'!AX10</x:f>
        <x:v>-0.009322423149550008</x:v>
      </x:c>
      <x:c r="F7" s="268" t="n">
        <x:f>'Raw Inputs'!AY10</x:f>
        <x:v>0.9137931034482758</x:v>
      </x:c>
      <x:c r="G7" s="268" t="n">
        <x:f>'Raw Inputs'!AZ10</x:f>
        <x:v>0</x:v>
      </x:c>
      <x:c r="H7" s="268" t="n">
        <x:f>'Raw Inputs'!BA10</x:f>
        <x:v>0</x:v>
      </x:c>
      <x:c r="I7" s="236" t="str">
        <x:f>IF('Raw Inputs'!AC10,"Asset growth only","Asset growth + capex")</x:f>
        <x:v>Asset growth only</x:v>
      </x:c>
      <x:c r="J7" s="269" t="n">
        <x:f>'Raw Inputs'!T10</x:f>
        <x:v>46022</x:v>
      </x:c>
      <x:c r="K7" s="271" t="n">
        <x:f>'Raw Inputs'!BS10</x:f>
        <x:v>117566000000</x:v>
      </x:c>
      <x:c r="L7" s="271" t="n">
        <x:f>'Raw Inputs'!BR10</x:f>
        <x:v>116470000000</x:v>
      </x:c>
      <x:c r="M7" s="20" t="str">
        <x:f>'Raw Inputs'!CC10</x:f>
        <x:v>https://data.sec.gov/api/xbrl/companyfacts/CIK0000004977.json</x:v>
      </x:c>
    </x:row>
    <x:row r="8">
      <x:c r="A8" s="237" t="n">
        <x:f>RANK(D8,$D$5:$D$121,0)</x:f>
        <x:v>4</x:v>
      </x:c>
      <x:c r="B8" s="236" t="str">
        <x:f>'Raw Inputs'!A20</x:f>
        <x:v>AIG</x:v>
      </x:c>
      <x:c r="C8" s="236" t="str">
        <x:f>'Raw Inputs'!B20</x:f>
        <x:v>American International Group Inc.</x:v>
      </x:c>
      <x:c r="D8" s="238" t="n">
        <x:f>IF(COUNT('Raw Inputs'!AY20,'Raw Inputs'!BA20)=0,"",1+9*AVERAGE('Raw Inputs'!AY20,'Raw Inputs'!BA20))</x:f>
        <x:v>8.836206896551724</x:v>
      </x:c>
      <x:c r="E8" s="268" t="n">
        <x:f>'Raw Inputs'!AX20</x:f>
        <x:v>-0.00042151721401917364</x:v>
      </x:c>
      <x:c r="F8" s="268" t="n">
        <x:f>'Raw Inputs'!AY20</x:f>
        <x:v>0.8706896551724138</x:v>
      </x:c>
      <x:c r="G8" s="268" t="n">
        <x:f>'Raw Inputs'!AZ20</x:f>
        <x:v>0.0016554238381032687</x:v>
      </x:c>
      <x:c r="H8" s="268" t="n">
        <x:f>'Raw Inputs'!BA20</x:f>
        <x:v>0</x:v>
      </x:c>
      <x:c r="I8" s="236" t="str">
        <x:f>IF('Raw Inputs'!AC20,"Asset growth only","Asset growth + capex")</x:f>
        <x:v>Asset growth only</x:v>
      </x:c>
      <x:c r="J8" s="269" t="n">
        <x:f>'Raw Inputs'!T20</x:f>
        <x:v>46022</x:v>
      </x:c>
      <x:c r="K8" s="271" t="n">
        <x:f>'Raw Inputs'!BS20</x:f>
        <x:v>161322000000</x:v>
      </x:c>
      <x:c r="L8" s="271" t="n">
        <x:f>'Raw Inputs'!BR20</x:f>
        <x:v>161254000000</x:v>
      </x:c>
      <x:c r="M8" s="20" t="str">
        <x:f>'Raw Inputs'!CC20</x:f>
        <x:v>https://data.sec.gov/api/xbrl/companyfacts/CIK0000005272.json</x:v>
      </x:c>
    </x:row>
    <x:row r="9">
      <x:c r="A9" s="237" t="n">
        <x:f>RANK(D9,$D$5:$D$121,0)</x:f>
        <x:v>5</x:v>
      </x:c>
      <x:c r="B9" s="236" t="str">
        <x:f>'Raw Inputs'!A48</x:f>
        <x:v>MO</x:v>
      </x:c>
      <x:c r="C9" s="236" t="str">
        <x:f>'Raw Inputs'!B48</x:f>
        <x:v>Altria Group Inc.</x:v>
      </x:c>
      <x:c r="D9" s="238" t="n">
        <x:f>IF(COUNT('Raw Inputs'!AY48,'Raw Inputs'!BA48)=0,"",1+9*AVERAGE('Raw Inputs'!AY48,'Raw Inputs'!BA48))</x:f>
        <x:v>8.556896551724137</x:v>
      </x:c>
      <x:c r="E9" s="268" t="n">
        <x:f>'Raw Inputs'!AX48</x:f>
        <x:v>-0.004548426528697691</x:v>
      </x:c>
      <x:c r="F9" s="268" t="n">
        <x:f>'Raw Inputs'!AY48</x:f>
        <x:v>0.8793103448275862</x:v>
      </x:c>
      <x:c r="G9" s="268" t="n">
        <x:f>'Raw Inputs'!AZ48</x:f>
        <x:v>0.007721457674445109</x:v>
      </x:c>
      <x:c r="H9" s="268" t="n">
        <x:f>'Raw Inputs'!BA48</x:f>
        <x:v>0.8</x:v>
      </x:c>
      <x:c r="I9" s="236" t="str">
        <x:f>IF('Raw Inputs'!AC48,"Asset growth only","Asset growth + capex")</x:f>
        <x:v>Asset growth + capex</x:v>
      </x:c>
      <x:c r="J9" s="269" t="n">
        <x:f>'Raw Inputs'!T48</x:f>
        <x:v>46022</x:v>
      </x:c>
      <x:c r="K9" s="271" t="n">
        <x:f>'Raw Inputs'!BS48</x:f>
        <x:v>35177000000</x:v>
      </x:c>
      <x:c r="L9" s="271" t="n">
        <x:f>'Raw Inputs'!BR48</x:f>
        <x:v>35017000000</x:v>
      </x:c>
      <x:c r="M9" s="20" t="str">
        <x:f>'Raw Inputs'!CC48</x:f>
        <x:v>https://data.sec.gov/api/xbrl/companyfacts/CIK0000764180.json</x:v>
      </x:c>
    </x:row>
    <x:row r="10">
      <x:c r="A10" s="237" t="n">
        <x:f>RANK(D10,$D$5:$D$121,0)</x:f>
        <x:v>6</x:v>
      </x:c>
      <x:c r="B10" s="236" t="str">
        <x:f>'Raw Inputs'!A99</x:f>
        <x:v>ABBV</x:v>
      </x:c>
      <x:c r="C10" s="236" t="str">
        <x:f>'Raw Inputs'!B99</x:f>
        <x:v>AbbVie Inc.</x:v>
      </x:c>
      <x:c r="D10" s="238" t="n">
        <x:f>IF(COUNT('Raw Inputs'!AY99,'Raw Inputs'!BA99)=0,"",1+9*AVERAGE('Raw Inputs'!AY99,'Raw Inputs'!BA99))</x:f>
        <x:v>8.493275862068966</x:v>
      </x:c>
      <x:c r="E10" s="268" t="n">
        <x:f>'Raw Inputs'!AX99</x:f>
        <x:v>-0.008885699277158321</x:v>
      </x:c>
      <x:c r="F10" s="268" t="n">
        <x:f>'Raw Inputs'!AY99</x:f>
        <x:v>0.9051724137931034</x:v>
      </x:c>
      <x:c r="G10" s="268" t="n">
        <x:f>'Raw Inputs'!AZ99</x:f>
        <x:v>0.009244912139892465</x:v>
      </x:c>
      <x:c r="H10" s="268" t="n">
        <x:f>'Raw Inputs'!BA99</x:f>
        <x:v>0.76</x:v>
      </x:c>
      <x:c r="I10" s="236" t="str">
        <x:f>IF('Raw Inputs'!AC99,"Asset growth only","Asset growth + capex")</x:f>
        <x:v>Asset growth + capex</x:v>
      </x:c>
      <x:c r="J10" s="269" t="n">
        <x:f>'Raw Inputs'!T99</x:f>
        <x:v>46022</x:v>
      </x:c>
      <x:c r="K10" s="271" t="n">
        <x:f>'Raw Inputs'!BS99</x:f>
        <x:v>135161000000</x:v>
      </x:c>
      <x:c r="L10" s="271" t="n">
        <x:f>'Raw Inputs'!BR99</x:f>
        <x:v>133960000000</x:v>
      </x:c>
      <x:c r="M10" s="20" t="str">
        <x:f>'Raw Inputs'!CC99</x:f>
        <x:v>https://data.sec.gov/api/xbrl/companyfacts/CIK0001551152.json</x:v>
      </x:c>
    </x:row>
    <x:row r="11">
      <x:c r="A11" s="237" t="n">
        <x:f>RANK(D11,$D$5:$D$121,0)</x:f>
        <x:v>7</x:v>
      </x:c>
      <x:c r="B11" s="236" t="str">
        <x:f>'Raw Inputs'!A39</x:f>
        <x:v>LHX</x:v>
      </x:c>
      <x:c r="C11" s="236" t="str">
        <x:f>'Raw Inputs'!B39</x:f>
        <x:v>L3Harris Technologies Inc.</x:v>
      </x:c>
      <x:c r="D11" s="238" t="n">
        <x:f>IF(COUNT('Raw Inputs'!AY39,'Raw Inputs'!BA39)=0,"",1+9*AVERAGE('Raw Inputs'!AY39,'Raw Inputs'!BA39))</x:f>
        <x:v>8.474655172413792</x:v>
      </x:c>
      <x:c r="E11" s="268" t="n">
        <x:f>'Raw Inputs'!AX39</x:f>
        <x:v>-0.0191900192852551</x:v>
      </x:c>
      <x:c r="F11" s="268" t="n">
        <x:f>'Raw Inputs'!AY39</x:f>
        <x:v>0.9310344827586207</x:v>
      </x:c>
      <x:c r="G11" s="268" t="n">
        <x:f>'Raw Inputs'!AZ39</x:f>
        <x:v>0.011154382422231839</x:v>
      </x:c>
      <x:c r="H11" s="268" t="n">
        <x:f>'Raw Inputs'!BA39</x:f>
        <x:v>0.73</x:v>
      </x:c>
      <x:c r="I11" s="236" t="str">
        <x:f>IF('Raw Inputs'!AC39,"Asset growth only","Asset growth + capex")</x:f>
        <x:v>Asset growth + capex</x:v>
      </x:c>
      <x:c r="J11" s="269" t="n">
        <x:f>'Raw Inputs'!T39</x:f>
        <x:v>46024</x:v>
      </x:c>
      <x:c r="K11" s="271" t="n">
        <x:f>'Raw Inputs'!BS39</x:f>
        <x:v>42001000000</x:v>
      </x:c>
      <x:c r="L11" s="271" t="n">
        <x:f>'Raw Inputs'!BR39</x:f>
        <x:v>41195000000</x:v>
      </x:c>
      <x:c r="M11" s="20" t="str">
        <x:f>'Raw Inputs'!CC39</x:f>
        <x:v>https://data.sec.gov/api/xbrl/companyfacts/CIK0000202058.json</x:v>
      </x:c>
    </x:row>
    <x:row r="12">
      <x:c r="A12" s="237" t="n">
        <x:f>RANK(D12,$D$5:$D$121,0)</x:f>
        <x:v>8</x:v>
      </x:c>
      <x:c r="B12" s="236" t="str">
        <x:f>'Raw Inputs'!A107</x:f>
        <x:v>CE</x:v>
      </x:c>
      <x:c r="C12" s="236" t="str">
        <x:f>'Raw Inputs'!B107</x:f>
        <x:v>Celanese Corp.</x:v>
      </x:c>
      <x:c r="D12" s="238" t="n">
        <x:f>IF(COUNT('Raw Inputs'!AY107,'Raw Inputs'!BA107)=0,"",1+9*AVERAGE('Raw Inputs'!AY107,'Raw Inputs'!BA107))</x:f>
        <x:v>8.443620689655173</x:v>
      </x:c>
      <x:c r="E12" s="268" t="n">
        <x:f>'Raw Inputs'!AX107</x:f>
        <x:v>-0.05004816533847101</x:v>
      </x:c>
      <x:c r="F12" s="268" t="n">
        <x:f>'Raw Inputs'!AY107</x:f>
        <x:v>0.9741379310344828</x:v>
      </x:c>
      <x:c r="G12" s="268" t="n">
        <x:f>'Raw Inputs'!AZ107</x:f>
        <x:v>0.013787528349763097</x:v>
      </x:c>
      <x:c r="H12" s="268" t="n">
        <x:f>'Raw Inputs'!BA107</x:f>
        <x:v>0.6799999999999999</x:v>
      </x:c>
      <x:c r="I12" s="236" t="str">
        <x:f>IF('Raw Inputs'!AC107,"Asset growth only","Asset growth + capex")</x:f>
        <x:v>Asset growth + capex</x:v>
      </x:c>
      <x:c r="J12" s="269" t="n">
        <x:f>'Raw Inputs'!T107</x:f>
        <x:v>46022</x:v>
      </x:c>
      <x:c r="K12" s="271" t="n">
        <x:f>'Raw Inputs'!BS107</x:f>
        <x:v>22838000000</x:v>
      </x:c>
      <x:c r="L12" s="271" t="n">
        <x:f>'Raw Inputs'!BR107</x:f>
        <x:v>21695000000</x:v>
      </x:c>
      <x:c r="M12" s="20" t="str">
        <x:f>'Raw Inputs'!CC107</x:f>
        <x:v>https://data.sec.gov/api/xbrl/companyfacts/CIK0001306830.json</x:v>
      </x:c>
    </x:row>
    <x:row r="13">
      <x:c r="A13" s="237" t="n">
        <x:f>RANK(D13,$D$5:$D$121,0)</x:f>
        <x:v>9</x:v>
      </x:c>
      <x:c r="B13" s="236" t="str">
        <x:f>'Raw Inputs'!A47</x:f>
        <x:v>OHI</x:v>
      </x:c>
      <x:c r="C13" s="236" t="str">
        <x:f>'Raw Inputs'!B47</x:f>
        <x:v>Omega Healthcare Investors Inc. REIT</x:v>
      </x:c>
      <x:c r="D13" s="238" t="n">
        <x:f>IF(COUNT('Raw Inputs'!AY47,'Raw Inputs'!BA47)=0,"",1+9*AVERAGE('Raw Inputs'!AY47,'Raw Inputs'!BA47))</x:f>
        <x:v>8.370689655172413</x:v>
      </x:c>
      <x:c r="E13" s="268" t="n">
        <x:f>'Raw Inputs'!AX47</x:f>
        <x:v>0.015272748507737743</x:v>
      </x:c>
      <x:c r="F13" s="268" t="n">
        <x:f>'Raw Inputs'!AY47</x:f>
        <x:v>0.8189655172413793</x:v>
      </x:c>
      <x:c r="G13" s="268" t="n">
        <x:f>'Raw Inputs'!AZ47</x:f>
        <x:v>0</x:v>
      </x:c>
      <x:c r="H13" s="268" t="n">
        <x:f>'Raw Inputs'!BA47</x:f>
        <x:v>0</x:v>
      </x:c>
      <x:c r="I13" s="236" t="str">
        <x:f>IF('Raw Inputs'!AC47,"Asset growth only","Asset growth + capex")</x:f>
        <x:v>Asset growth only</x:v>
      </x:c>
      <x:c r="J13" s="269" t="n">
        <x:f>'Raw Inputs'!T47</x:f>
        <x:v>46022</x:v>
      </x:c>
      <x:c r="K13" s="271" t="n">
        <x:f>'Raw Inputs'!BS47</x:f>
        <x:v>9897891000</x:v>
      </x:c>
      <x:c r="L13" s="271" t="n">
        <x:f>'Raw Inputs'!BR47</x:f>
        <x:v>10049059000</x:v>
      </x:c>
      <x:c r="M13" s="20" t="str">
        <x:f>'Raw Inputs'!CC47</x:f>
        <x:v>https://data.sec.gov/api/xbrl/companyfacts/CIK0000888491.json</x:v>
      </x:c>
    </x:row>
    <x:row r="14">
      <x:c r="A14" s="237" t="n">
        <x:f>RANK(D14,$D$5:$D$121,0)</x:f>
        <x:v>10</x:v>
      </x:c>
      <x:c r="B14" s="236" t="str">
        <x:f>'Raw Inputs'!A37</x:f>
        <x:v>BF-B</x:v>
      </x:c>
      <x:c r="C14" s="236" t="str">
        <x:f>'Raw Inputs'!B37</x:f>
        <x:v>Brown-Forman Corp.</x:v>
      </x:c>
      <x:c r="D14" s="238" t="n">
        <x:f>IF(COUNT('Raw Inputs'!AY37,'Raw Inputs'!BA37)=0,"",1+9*AVERAGE('Raw Inputs'!AY37,'Raw Inputs'!BA37))</x:f>
        <x:v>8.333448275862068</x:v>
      </x:c>
      <x:c r="E14" s="268" t="n">
        <x:f>'Raw Inputs'!AX37</x:f>
        <x:v>-0.02374474400197868</x:v>
      </x:c>
      <x:c r="F14" s="268" t="n">
        <x:f>'Raw Inputs'!AY37</x:f>
        <x:v>0.9396551724137931</x:v>
      </x:c>
      <x:c r="G14" s="268" t="n">
        <x:f>'Raw Inputs'!AZ37</x:f>
        <x:v>0.013391739674593242</x:v>
      </x:c>
      <x:c r="H14" s="268" t="n">
        <x:f>'Raw Inputs'!BA37</x:f>
        <x:v>0.69</x:v>
      </x:c>
      <x:c r="I14" s="236" t="str">
        <x:f>IF('Raw Inputs'!AC37,"Asset growth only","Asset growth + capex")</x:f>
        <x:v>Asset growth + capex</x:v>
      </x:c>
      <x:c r="J14" s="269" t="n">
        <x:f>'Raw Inputs'!T37</x:f>
        <x:v>46142</x:v>
      </x:c>
      <x:c r="K14" s="271" t="n">
        <x:f>'Raw Inputs'!BS37</x:f>
        <x:v>8086000000</x:v>
      </x:c>
      <x:c r="L14" s="271" t="n">
        <x:f>'Raw Inputs'!BR37</x:f>
        <x:v>7894000000</x:v>
      </x:c>
      <x:c r="M14" s="20" t="str">
        <x:f>'Raw Inputs'!CC37</x:f>
        <x:v>https://data.sec.gov/api/xbrl/companyfacts/CIK0000014693.json</x:v>
      </x:c>
    </x:row>
    <x:row r="15">
      <x:c r="A15" s="237" t="n">
        <x:f>RANK(D15,$D$5:$D$121,0)</x:f>
        <x:v>11</x:v>
      </x:c>
      <x:c r="B15" s="236" t="str">
        <x:f>'Raw Inputs'!A100</x:f>
        <x:v>ELS</x:v>
      </x:c>
      <x:c r="C15" s="236" t="str">
        <x:f>'Raw Inputs'!B100</x:f>
        <x:v>Equity LifeStyle Properties Inc. REIT</x:v>
      </x:c>
      <x:c r="D15" s="238" t="n">
        <x:f>IF(COUNT('Raw Inputs'!AY100,'Raw Inputs'!BA100)=0,"",1+9*AVERAGE('Raw Inputs'!AY100,'Raw Inputs'!BA100))</x:f>
        <x:v>8.293103448275861</x:v>
      </x:c>
      <x:c r="E15" s="268" t="n">
        <x:f>'Raw Inputs'!AX100</x:f>
        <x:v>0.01766687000899103</x:v>
      </x:c>
      <x:c r="F15" s="268" t="n">
        <x:f>'Raw Inputs'!AY100</x:f>
        <x:v>0.8103448275862069</x:v>
      </x:c>
      <x:c r="G15" s="268" t="n">
        <x:f>'Raw Inputs'!AZ100</x:f>
        <x:v>0.023316561386597982</x:v>
      </x:c>
      <x:c r="H15" s="268" t="n">
        <x:f>'Raw Inputs'!BA100</x:f>
        <x:v>0</x:v>
      </x:c>
      <x:c r="I15" s="236" t="str">
        <x:f>IF('Raw Inputs'!AC100,"Asset growth only","Asset growth + capex")</x:f>
        <x:v>Asset growth only</x:v>
      </x:c>
      <x:c r="J15" s="269" t="n">
        <x:f>'Raw Inputs'!T100</x:f>
        <x:v>46022</x:v>
      </x:c>
      <x:c r="K15" s="271" t="n">
        <x:f>'Raw Inputs'!BS100</x:f>
        <x:v>5645652000</x:v>
      </x:c>
      <x:c r="L15" s="271" t="n">
        <x:f>'Raw Inputs'!BR100</x:f>
        <x:v>5745393000</x:v>
      </x:c>
      <x:c r="M15" s="20" t="str">
        <x:f>'Raw Inputs'!CC100</x:f>
        <x:v>https://data.sec.gov/api/xbrl/companyfacts/CIK0000895417.json</x:v>
      </x:c>
    </x:row>
    <x:row r="16">
      <x:c r="A16" s="237" t="n">
        <x:f>RANK(D16,$D$5:$D$121,0)</x:f>
        <x:v>12</x:v>
      </x:c>
      <x:c r="B16" s="236" t="str">
        <x:f>'Raw Inputs'!A50</x:f>
        <x:v>FCN</x:v>
      </x:c>
      <x:c r="C16" s="236" t="str">
        <x:f>'Raw Inputs'!B50</x:f>
        <x:v>FTI Consulting Inc.</x:v>
      </x:c>
      <x:c r="D16" s="238" t="n">
        <x:f>IF(COUNT('Raw Inputs'!AY50,'Raw Inputs'!BA50)=0,"",1+9*AVERAGE('Raw Inputs'!AY50,'Raw Inputs'!BA50))</x:f>
        <x:v>8.23103448275862</x:v>
      </x:c>
      <x:c r="E16" s="268" t="n">
        <x:f>'Raw Inputs'!AX50</x:f>
        <x:v>-0.02955435758709757</x:v>
      </x:c>
      <x:c r="F16" s="268" t="n">
        <x:f>'Raw Inputs'!AY50</x:f>
        <x:v>0.9568965517241379</x:v>
      </x:c>
      <x:c r="G16" s="268" t="n">
        <x:f>'Raw Inputs'!AZ50</x:f>
        <x:v>0.014489461376157378</x:v>
      </x:c>
      <x:c r="H16" s="268" t="n">
        <x:f>'Raw Inputs'!BA50</x:f>
        <x:v>0.65</x:v>
      </x:c>
      <x:c r="I16" s="236" t="str">
        <x:f>IF('Raw Inputs'!AC50,"Asset growth only","Asset growth + capex")</x:f>
        <x:v>Asset growth + capex</x:v>
      </x:c>
      <x:c r="J16" s="269" t="n">
        <x:f>'Raw Inputs'!T50</x:f>
        <x:v>46022</x:v>
      </x:c>
      <x:c r="K16" s="271" t="n">
        <x:f>'Raw Inputs'!BS50</x:f>
        <x:v>3596830000</x:v>
      </x:c>
      <x:c r="L16" s="271" t="n">
        <x:f>'Raw Inputs'!BR50</x:f>
        <x:v>3490528000</x:v>
      </x:c>
      <x:c r="M16" s="20" t="str">
        <x:f>'Raw Inputs'!CC50</x:f>
        <x:v>https://data.sec.gov/api/xbrl/companyfacts/CIK0000887936.json</x:v>
      </x:c>
    </x:row>
    <x:row r="17">
      <x:c r="A17" s="237" t="n">
        <x:f>RANK(D17,$D$5:$D$121,0)</x:f>
        <x:v>13</x:v>
      </x:c>
      <x:c r="B17" s="236" t="str">
        <x:f>'Raw Inputs'!A28</x:f>
        <x:v>GILD</x:v>
      </x:c>
      <x:c r="C17" s="236" t="str">
        <x:f>'Raw Inputs'!B28</x:f>
        <x:v>Gilead Sciences Inc.</x:v>
      </x:c>
      <x:c r="D17" s="238" t="n">
        <x:f>IF(COUNT('Raw Inputs'!AY28,'Raw Inputs'!BA28)=0,"",1+9*AVERAGE('Raw Inputs'!AY28,'Raw Inputs'!BA28))</x:f>
        <x:v>8.21551724137931</x:v>
      </x:c>
      <x:c r="E17" s="268" t="n">
        <x:f>'Raw Inputs'!AX28</x:f>
        <x:v>0.000474616492923019</x:v>
      </x:c>
      <x:c r="F17" s="268" t="n">
        <x:f>'Raw Inputs'!AY28</x:f>
        <x:v>0.853448275862069</x:v>
      </x:c>
      <x:c r="G17" s="268" t="n">
        <x:f>'Raw Inputs'!AZ28</x:f>
        <x:v>0.009761222864308835</x:v>
      </x:c>
      <x:c r="H17" s="268" t="n">
        <x:f>'Raw Inputs'!BA28</x:f>
        <x:v>0.75</x:v>
      </x:c>
      <x:c r="I17" s="236" t="str">
        <x:f>IF('Raw Inputs'!AC28,"Asset growth only","Asset growth + capex")</x:f>
        <x:v>Asset growth + capex</x:v>
      </x:c>
      <x:c r="J17" s="269" t="n">
        <x:f>'Raw Inputs'!T28</x:f>
        <x:v>46022</x:v>
      </x:c>
      <x:c r="K17" s="271" t="n">
        <x:f>'Raw Inputs'!BS28</x:f>
        <x:v>58995000000</x:v>
      </x:c>
      <x:c r="L17" s="271" t="n">
        <x:f>'Raw Inputs'!BR28</x:f>
        <x:v>59023000000</x:v>
      </x:c>
      <x:c r="M17" s="20" t="str">
        <x:f>'Raw Inputs'!CC28</x:f>
        <x:v>https://data.sec.gov/api/xbrl/companyfacts/CIK0000882095.json</x:v>
      </x:c>
    </x:row>
    <x:row r="18">
      <x:c r="A18" s="237" t="n">
        <x:f>RANK(D18,$D$5:$D$121,0)</x:f>
        <x:v>14</x:v>
      </x:c>
      <x:c r="B18" s="236" t="str">
        <x:f>'Raw Inputs'!A61</x:f>
        <x:v>VRSN</x:v>
      </x:c>
      <x:c r="C18" s="236" t="str">
        <x:f>'Raw Inputs'!B61</x:f>
        <x:v>VeriSign Inc.</x:v>
      </x:c>
      <x:c r="D18" s="238" t="n">
        <x:f>IF(COUNT('Raw Inputs'!AY61,'Raw Inputs'!BA61)=0,"",1+9*AVERAGE('Raw Inputs'!AY61,'Raw Inputs'!BA61))</x:f>
        <x:v>8.161206896551723</x:v>
      </x:c>
      <x:c r="E18" s="268" t="n">
        <x:f>'Raw Inputs'!AX61</x:f>
        <x:v>-0.0573053679345894</x:v>
      </x:c>
      <x:c r="F18" s="268" t="n">
        <x:f>'Raw Inputs'!AY61</x:f>
        <x:v>0.9913793103448276</x:v>
      </x:c>
      <x:c r="G18" s="268" t="n">
        <x:f>'Raw Inputs'!AZ61</x:f>
        <x:v>0.017713365539452495</x:v>
      </x:c>
      <x:c r="H18" s="268" t="n">
        <x:f>'Raw Inputs'!BA61</x:f>
        <x:v>0.6</x:v>
      </x:c>
      <x:c r="I18" s="236" t="str">
        <x:f>IF('Raw Inputs'!AC61,"Asset growth only","Asset growth + capex")</x:f>
        <x:v>Asset growth + capex</x:v>
      </x:c>
      <x:c r="J18" s="269" t="n">
        <x:f>'Raw Inputs'!T61</x:f>
        <x:v>46022</x:v>
      </x:c>
      <x:c r="K18" s="271" t="n">
        <x:f>'Raw Inputs'!BS61</x:f>
        <x:v>1406500000</x:v>
      </x:c>
      <x:c r="L18" s="271" t="n">
        <x:f>'Raw Inputs'!BR61</x:f>
        <x:v>1325900000</x:v>
      </x:c>
      <x:c r="M18" s="20" t="str">
        <x:f>'Raw Inputs'!CC61</x:f>
        <x:v>https://data.sec.gov/api/xbrl/companyfacts/CIK0001014473.json</x:v>
      </x:c>
    </x:row>
    <x:row r="19">
      <x:c r="A19" s="237" t="n">
        <x:f>RANK(D19,$D$5:$D$121,0)</x:f>
        <x:v>15</x:v>
      </x:c>
      <x:c r="B19" s="236" t="str">
        <x:f>'Raw Inputs'!A23</x:f>
        <x:v>DOX</x:v>
      </x:c>
      <x:c r="C19" s="236" t="str">
        <x:f>'Raw Inputs'!B23</x:f>
        <x:v>Amdocs Ltd.</x:v>
      </x:c>
      <x:c r="D19" s="238" t="n">
        <x:f>IF(COUNT('Raw Inputs'!AY23,'Raw Inputs'!BA23)=0,"",1+9*AVERAGE('Raw Inputs'!AY23,'Raw Inputs'!BA23))</x:f>
        <x:v>7.82448275862069</x:v>
      </x:c>
      <x:c r="E19" s="268" t="n">
        <x:f>'Raw Inputs'!AX23</x:f>
        <x:v>-0.0061489470408688796</x:v>
      </x:c>
      <x:c r="F19" s="268" t="n">
        <x:f>'Raw Inputs'!AY23</x:f>
        <x:v>0.896551724137931</x:v>
      </x:c>
      <x:c r="G19" s="268" t="n">
        <x:f>'Raw Inputs'!AZ23</x:f>
        <x:v>0.01646841835980048</x:v>
      </x:c>
      <x:c r="H19" s="268" t="n">
        <x:f>'Raw Inputs'!BA23</x:f>
        <x:v>0.62</x:v>
      </x:c>
      <x:c r="I19" s="236" t="str">
        <x:f>IF('Raw Inputs'!AC23,"Asset growth only","Asset growth + capex")</x:f>
        <x:v>Asset growth + capex</x:v>
      </x:c>
      <x:c r="J19" s="269" t="n">
        <x:f>'Raw Inputs'!T23</x:f>
        <x:v>45565</x:v>
      </x:c>
      <x:c r="K19" s="271" t="n">
        <x:f>'Raw Inputs'!BS23</x:f>
        <x:v>6425653000</x:v>
      </x:c>
      <x:c r="L19" s="271" t="n">
        <x:f>'Raw Inputs'!BR23</x:f>
        <x:v>6386142000</x:v>
      </x:c>
      <x:c r="M19" s="20" t="str">
        <x:f>'Raw Inputs'!CC23</x:f>
        <x:v>https://data.sec.gov/api/xbrl/companyfacts/CIK0001062579.json</x:v>
      </x:c>
    </x:row>
    <x:row r="20">
      <x:c r="A20" s="237" t="n">
        <x:f>RANK(D20,$D$5:$D$121,0)</x:f>
        <x:v>16</x:v>
      </x:c>
      <x:c r="B20" s="236" t="str">
        <x:f>'Raw Inputs'!A84</x:f>
        <x:v>SBRA</x:v>
      </x:c>
      <x:c r="C20" s="236" t="str">
        <x:f>'Raw Inputs'!B84</x:f>
        <x:v>Sabra Health Care REIT Inc.</x:v>
      </x:c>
      <x:c r="D20" s="238" t="n">
        <x:f>IF(COUNT('Raw Inputs'!AY84,'Raw Inputs'!BA84)=0,"",1+9*AVERAGE('Raw Inputs'!AY84,'Raw Inputs'!BA84))</x:f>
        <x:v>7.75</x:v>
      </x:c>
      <x:c r="E20" s="268" t="n">
        <x:f>'Raw Inputs'!AX84</x:f>
        <x:v>0.03577083002195258</x:v>
      </x:c>
      <x:c r="F20" s="268" t="n">
        <x:f>'Raw Inputs'!AY84</x:f>
        <x:v>0.75</x:v>
      </x:c>
      <x:c r="G20" s="268" t="n">
        <x:f>'Raw Inputs'!AZ84</x:f>
        <x:v>0</x:v>
      </x:c>
      <x:c r="H20" s="268" t="n">
        <x:f>'Raw Inputs'!BA84</x:f>
        <x:v>0</x:v>
      </x:c>
      <x:c r="I20" s="236" t="str">
        <x:f>IF('Raw Inputs'!AC84,"Asset growth only","Asset growth + capex")</x:f>
        <x:v>Asset growth only</x:v>
      </x:c>
      <x:c r="J20" s="269" t="n">
        <x:f>'Raw Inputs'!T84</x:f>
        <x:v>46022</x:v>
      </x:c>
      <x:c r="K20" s="271" t="n">
        <x:f>'Raw Inputs'!BS84</x:f>
        <x:v>5303679000</x:v>
      </x:c>
      <x:c r="L20" s="271" t="n">
        <x:f>'Raw Inputs'!BR84</x:f>
        <x:v>5493396000</x:v>
      </x:c>
      <x:c r="M20" s="20" t="str">
        <x:f>'Raw Inputs'!CC84</x:f>
        <x:v>https://data.sec.gov/api/xbrl/companyfacts/CIK0001492298.json</x:v>
      </x:c>
    </x:row>
    <x:row r="21">
      <x:c r="A21" s="237" t="n">
        <x:f>RANK(D21,$D$5:$D$121,0)</x:f>
        <x:v>17</x:v>
      </x:c>
      <x:c r="B21" s="236" t="str">
        <x:f>'Raw Inputs'!A59</x:f>
        <x:v>DLB</x:v>
      </x:c>
      <x:c r="C21" s="236" t="str">
        <x:f>'Raw Inputs'!B59</x:f>
        <x:v>Dolby Laboratories Inc.</x:v>
      </x:c>
      <x:c r="D21" s="238" t="n">
        <x:f>IF(COUNT('Raw Inputs'!AY59,'Raw Inputs'!BA59)=0,"",1+9*AVERAGE('Raw Inputs'!AY59,'Raw Inputs'!BA59))</x:f>
        <x:v>7.594827586206897</x:v>
      </x:c>
      <x:c r="E21" s="268" t="n">
        <x:f>'Raw Inputs'!AX59</x:f>
        <x:v>0.0378889800664195</x:v>
      </x:c>
      <x:c r="F21" s="268" t="n">
        <x:f>'Raw Inputs'!AY59</x:f>
        <x:v>0.7327586206896552</x:v>
      </x:c>
      <x:c r="G21" s="268" t="n">
        <x:f>'Raw Inputs'!AZ59</x:f>
        <x:v>0.011474846978898298</x:v>
      </x:c>
      <x:c r="H21" s="268" t="n">
        <x:f>'Raw Inputs'!BA59</x:f>
        <x:v>0</x:v>
      </x:c>
      <x:c r="I21" s="236" t="str">
        <x:f>IF('Raw Inputs'!AC59,"Asset growth only","Asset growth + capex")</x:f>
        <x:v>Asset growth only</x:v>
      </x:c>
      <x:c r="J21" s="269" t="n">
        <x:f>'Raw Inputs'!T59</x:f>
        <x:v>45926</x:v>
      </x:c>
      <x:c r="K21" s="271" t="n">
        <x:f>'Raw Inputs'!BS59</x:f>
        <x:v>3109928000</x:v>
      </x:c>
      <x:c r="L21" s="271" t="n">
        <x:f>'Raw Inputs'!BR59</x:f>
        <x:v>3227760000</x:v>
      </x:c>
      <x:c r="M21" s="20" t="str">
        <x:f>'Raw Inputs'!CC59</x:f>
        <x:v>https://data.sec.gov/api/xbrl/companyfacts/CIK0001308547.json</x:v>
      </x:c>
    </x:row>
    <x:row r="22">
      <x:c r="A22" s="237" t="n">
        <x:f>RANK(D22,$D$5:$D$121,0)</x:f>
        <x:v>18</x:v>
      </x:c>
      <x:c r="B22" s="236" t="str">
        <x:f>'Raw Inputs'!A82</x:f>
        <x:v>MRSH</x:v>
      </x:c>
      <x:c r="C22" s="236" t="str">
        <x:f>'Raw Inputs'!B82</x:f>
        <x:v>Marsh and McLennan Cos. Inc.</x:v>
      </x:c>
      <x:c r="D22" s="238" t="n">
        <x:f>IF(COUNT('Raw Inputs'!AY82,'Raw Inputs'!BA82)=0,"",1+9*AVERAGE('Raw Inputs'!AY82,'Raw Inputs'!BA82))</x:f>
        <x:v>7.517241379310345</x:v>
      </x:c>
      <x:c r="E22" s="268" t="n">
        <x:f>'Raw Inputs'!AX82</x:f>
        <x:v>0.039464598714612054</x:v>
      </x:c>
      <x:c r="F22" s="268" t="n">
        <x:f>'Raw Inputs'!AY82</x:f>
        <x:v>0.7241379310344828</x:v>
      </x:c>
      <x:c r="G22" s="268" t="n">
        <x:f>'Raw Inputs'!AZ82</x:f>
        <x:v>0.00517401533105885</x:v>
      </x:c>
      <x:c r="H22" s="268" t="n">
        <x:f>'Raw Inputs'!BA82</x:f>
        <x:v>0</x:v>
      </x:c>
      <x:c r="I22" s="236" t="str">
        <x:f>IF('Raw Inputs'!AC82,"Asset growth only","Asset growth + capex")</x:f>
        <x:v>Asset growth only</x:v>
      </x:c>
      <x:c r="J22" s="269" t="n">
        <x:f>'Raw Inputs'!T82</x:f>
        <x:v>46022</x:v>
      </x:c>
      <x:c r="K22" s="271" t="n">
        <x:f>'Raw Inputs'!BS82</x:f>
        <x:v>56481000000</x:v>
      </x:c>
      <x:c r="L22" s="271" t="n">
        <x:f>'Raw Inputs'!BR82</x:f>
        <x:v>58710000000</x:v>
      </x:c>
      <x:c r="M22" s="20" t="str">
        <x:f>'Raw Inputs'!CC82</x:f>
        <x:v>https://data.sec.gov/api/xbrl/companyfacts/CIK0000062709.json</x:v>
      </x:c>
    </x:row>
    <x:row r="23">
      <x:c r="A23" s="237" t="n">
        <x:f>RANK(D23,$D$5:$D$121,0)</x:f>
        <x:v>19</x:v>
      </x:c>
      <x:c r="B23" s="236" t="str">
        <x:f>'Raw Inputs'!A45</x:f>
        <x:v>AMGN</x:v>
      </x:c>
      <x:c r="C23" s="236" t="str">
        <x:f>'Raw Inputs'!B45</x:f>
        <x:v>Amgen Inc.</x:v>
      </x:c>
      <x:c r="D23" s="238" t="n">
        <x:f>IF(COUNT('Raw Inputs'!AY45,'Raw Inputs'!BA45)=0,"",1+9*AVERAGE('Raw Inputs'!AY45,'Raw Inputs'!BA45))</x:f>
        <x:v>7.445862068965517</x:v>
      </x:c>
      <x:c r="E23" s="268" t="n">
        <x:f>'Raw Inputs'!AX45</x:f>
        <x:v>-0.013643441239560516</x:v>
      </x:c>
      <x:c r="F23" s="268" t="n">
        <x:f>'Raw Inputs'!AY45</x:f>
        <x:v>0.9224137931034483</x:v>
      </x:c>
      <x:c r="G23" s="268" t="n">
        <x:f>'Raw Inputs'!AZ45</x:f>
        <x:v>0.023670001370426203</x:v>
      </x:c>
      <x:c r="H23" s="268" t="n">
        <x:f>'Raw Inputs'!BA45</x:f>
        <x:v>0.51</x:v>
      </x:c>
      <x:c r="I23" s="236" t="str">
        <x:f>IF('Raw Inputs'!AC45,"Asset growth only","Asset growth + capex")</x:f>
        <x:v>Asset growth + capex</x:v>
      </x:c>
      <x:c r="J23" s="269" t="n">
        <x:f>'Raw Inputs'!T45</x:f>
        <x:v>46022</x:v>
      </x:c>
      <x:c r="K23" s="271" t="n">
        <x:f>'Raw Inputs'!BS45</x:f>
        <x:v>91839000000</x:v>
      </x:c>
      <x:c r="L23" s="271" t="n">
        <x:f>'Raw Inputs'!BR45</x:f>
        <x:v>90586000000</x:v>
      </x:c>
      <x:c r="M23" s="20" t="str">
        <x:f>'Raw Inputs'!CC45</x:f>
        <x:v>https://data.sec.gov/api/xbrl/companyfacts/CIK0000318154.json</x:v>
      </x:c>
    </x:row>
    <x:row r="24">
      <x:c r="A24" s="237" t="n">
        <x:f>RANK(D24,$D$5:$D$121,0)</x:f>
        <x:v>20</x:v>
      </x:c>
      <x:c r="B24" s="236" t="str">
        <x:f>'Raw Inputs'!A58</x:f>
        <x:v>CNA</x:v>
      </x:c>
      <x:c r="C24" s="236" t="str">
        <x:f>'Raw Inputs'!B58</x:f>
        <x:v>CNA Financial Corp.</x:v>
      </x:c>
      <x:c r="D24" s="238" t="n">
        <x:f>IF(COUNT('Raw Inputs'!AY58,'Raw Inputs'!BA58)=0,"",1+9*AVERAGE('Raw Inputs'!AY58,'Raw Inputs'!BA58))</x:f>
        <x:v>7.206896551724139</x:v>
      </x:c>
      <x:c r="E24" s="268" t="n">
        <x:f>'Raw Inputs'!AX58</x:f>
        <x:v>0.04438127895085131</x:v>
      </x:c>
      <x:c r="F24" s="268" t="n">
        <x:f>'Raw Inputs'!AY58</x:f>
        <x:v>0.6896551724137931</x:v>
      </x:c>
      <x:c r="G24" s="268" t="n">
        <x:f>'Raw Inputs'!AZ58</x:f>
        <x:v>0.001191746055099864</x:v>
      </x:c>
      <x:c r="H24" s="268" t="n">
        <x:f>'Raw Inputs'!BA58</x:f>
        <x:v>0</x:v>
      </x:c>
      <x:c r="I24" s="236" t="str">
        <x:f>IF('Raw Inputs'!AC58,"Asset growth only","Asset growth + capex")</x:f>
        <x:v>Asset growth only</x:v>
      </x:c>
      <x:c r="J24" s="269" t="n">
        <x:f>'Raw Inputs'!T58</x:f>
        <x:v>46022</x:v>
      </x:c>
      <x:c r="K24" s="271" t="n">
        <x:f>'Raw Inputs'!BS58</x:f>
        <x:v>66492000000</x:v>
      </x:c>
      <x:c r="L24" s="271" t="n">
        <x:f>'Raw Inputs'!BR58</x:f>
        <x:v>69443000000</x:v>
      </x:c>
      <x:c r="M24" s="20" t="str">
        <x:f>'Raw Inputs'!CC58</x:f>
        <x:v>https://data.sec.gov/api/xbrl/companyfacts/CIK0000021175.json</x:v>
      </x:c>
    </x:row>
    <x:row r="25">
      <x:c r="A25" s="237" t="n">
        <x:f>RANK(D25,$D$5:$D$121,0)</x:f>
        <x:v>21</x:v>
      </x:c>
      <x:c r="B25" s="236" t="str">
        <x:f>'Raw Inputs'!A73</x:f>
        <x:v>REG</x:v>
      </x:c>
      <x:c r="C25" s="236" t="str">
        <x:f>'Raw Inputs'!B73</x:f>
        <x:v>Regency Centers Corp. REIT</x:v>
      </x:c>
      <x:c r="D25" s="238" t="n">
        <x:f>IF(COUNT('Raw Inputs'!AY73,'Raw Inputs'!BA73)=0,"",1+9*AVERAGE('Raw Inputs'!AY73,'Raw Inputs'!BA73))</x:f>
        <x:v>7.051724137931035</x:v>
      </x:c>
      <x:c r="E25" s="268" t="n">
        <x:f>'Raw Inputs'!AX73</x:f>
        <x:v>0.049170748681342635</x:v>
      </x:c>
      <x:c r="F25" s="268" t="n">
        <x:f>'Raw Inputs'!AY73</x:f>
        <x:v>0.6724137931034483</x:v>
      </x:c>
      <x:c r="G25" s="268" t="n">
        <x:f>'Raw Inputs'!AZ73</x:f>
        <x:v>0</x:v>
      </x:c>
      <x:c r="H25" s="268" t="n">
        <x:f>'Raw Inputs'!BA73</x:f>
        <x:v>0</x:v>
      </x:c>
      <x:c r="I25" s="236" t="str">
        <x:f>IF('Raw Inputs'!AC73,"Asset growth only","Asset growth + capex")</x:f>
        <x:v>Asset growth only</x:v>
      </x:c>
      <x:c r="J25" s="269" t="n">
        <x:f>'Raw Inputs'!T73</x:f>
        <x:v>46022</x:v>
      </x:c>
      <x:c r="K25" s="271" t="n">
        <x:f>'Raw Inputs'!BS73</x:f>
        <x:v>12391961000</x:v>
      </x:c>
      <x:c r="L25" s="271" t="n">
        <x:f>'Raw Inputs'!BR73</x:f>
        <x:v>13001283000</x:v>
      </x:c>
      <x:c r="M25" s="20" t="str">
        <x:f>'Raw Inputs'!CC73</x:f>
        <x:v>https://data.sec.gov/api/xbrl/companyfacts/CIK0000910606.json</x:v>
      </x:c>
    </x:row>
    <x:row r="26">
      <x:c r="A26" s="237" t="n">
        <x:f>RANK(D26,$D$5:$D$121,0)</x:f>
        <x:v>22</x:v>
      </x:c>
      <x:c r="B26" s="236" t="str">
        <x:f>'Raw Inputs'!A17</x:f>
        <x:v>GD</x:v>
      </x:c>
      <x:c r="C26" s="236" t="str">
        <x:f>'Raw Inputs'!B17</x:f>
        <x:v>General Dynamics Corp.</x:v>
      </x:c>
      <x:c r="D26" s="238" t="n">
        <x:f>IF(COUNT('Raw Inputs'!AY17,'Raw Inputs'!BA17)=0,"",1+9*AVERAGE('Raw Inputs'!AY17,'Raw Inputs'!BA17))</x:f>
        <x:v>7.011379310344829</x:v>
      </x:c>
      <x:c r="E26" s="268" t="n">
        <x:f>'Raw Inputs'!AX17</x:f>
        <x:v>0.024498926270579924</x:v>
      </x:c>
      <x:c r="F26" s="268" t="n">
        <x:f>'Raw Inputs'!AY17</x:f>
        <x:v>0.7758620689655172</x:v>
      </x:c>
      <x:c r="G26" s="268" t="n">
        <x:f>'Raw Inputs'!AZ17</x:f>
        <x:v>0.02160365600332364</x:v>
      </x:c>
      <x:c r="H26" s="268" t="n">
        <x:f>'Raw Inputs'!BA17</x:f>
        <x:v>0.56</x:v>
      </x:c>
      <x:c r="I26" s="236" t="str">
        <x:f>IF('Raw Inputs'!AC17,"Asset growth only","Asset growth + capex")</x:f>
        <x:v>Asset growth + capex</x:v>
      </x:c>
      <x:c r="J26" s="269" t="n">
        <x:f>'Raw Inputs'!T17</x:f>
        <x:v>46022</x:v>
      </x:c>
      <x:c r="K26" s="271" t="n">
        <x:f>'Raw Inputs'!BS17</x:f>
        <x:v>55880000000</x:v>
      </x:c>
      <x:c r="L26" s="271" t="n">
        <x:f>'Raw Inputs'!BR17</x:f>
        <x:v>57249000000</x:v>
      </x:c>
      <x:c r="M26" s="20" t="str">
        <x:f>'Raw Inputs'!CC17</x:f>
        <x:v>https://data.sec.gov/api/xbrl/companyfacts/CIK0000040533.json</x:v>
      </x:c>
    </x:row>
    <x:row r="27">
      <x:c r="A27" s="237" t="n">
        <x:f>RANK(D27,$D$5:$D$121,0)</x:f>
        <x:v>23</x:v>
      </x:c>
      <x:c r="B27" s="236" t="str">
        <x:f>'Raw Inputs'!A68</x:f>
        <x:v>CTVA</x:v>
      </x:c>
      <x:c r="C27" s="236" t="str">
        <x:f>'Raw Inputs'!B68</x:f>
        <x:v>Corteva Inc.</x:v>
      </x:c>
      <x:c r="D27" s="238" t="n">
        <x:f>IF(COUNT('Raw Inputs'!AY68,'Raw Inputs'!BA68)=0,"",1+9*AVERAGE('Raw Inputs'!AY68,'Raw Inputs'!BA68))</x:f>
        <x:v>7.002068965517241</x:v>
      </x:c>
      <x:c r="E27" s="268" t="n">
        <x:f>'Raw Inputs'!AX68</x:f>
        <x:v>0.04947948560930793</x:v>
      </x:c>
      <x:c r="F27" s="268" t="n">
        <x:f>'Raw Inputs'!AY68</x:f>
        <x:v>0.6637931034482758</x:v>
      </x:c>
      <x:c r="G27" s="268" t="n">
        <x:f>'Raw Inputs'!AZ68</x:f>
        <x:v>0.013816182622206286</x:v>
      </x:c>
      <x:c r="H27" s="268" t="n">
        <x:f>'Raw Inputs'!BA68</x:f>
        <x:v>0.6699999999999999</x:v>
      </x:c>
      <x:c r="I27" s="236" t="str">
        <x:f>IF('Raw Inputs'!AC68,"Asset growth only","Asset growth + capex")</x:f>
        <x:v>Asset growth + capex</x:v>
      </x:c>
      <x:c r="J27" s="269" t="n">
        <x:f>'Raw Inputs'!T68</x:f>
        <x:v>46022</x:v>
      </x:c>
      <x:c r="K27" s="271" t="n">
        <x:f>'Raw Inputs'!BS68</x:f>
        <x:v>40825000000</x:v>
      </x:c>
      <x:c r="L27" s="271" t="n">
        <x:f>'Raw Inputs'!BR68</x:f>
        <x:v>42845000000</x:v>
      </x:c>
      <x:c r="M27" s="20" t="str">
        <x:f>'Raw Inputs'!CC68</x:f>
        <x:v>https://data.sec.gov/api/xbrl/companyfacts/CIK0001755672.json</x:v>
      </x:c>
    </x:row>
    <x:row r="28">
      <x:c r="A28" s="237" t="n">
        <x:f>RANK(D28,$D$5:$D$121,0)</x:f>
        <x:v>24</x:v>
      </x:c>
      <x:c r="B28" s="236" t="str">
        <x:f>'Raw Inputs'!A44</x:f>
        <x:v>LYB</x:v>
      </x:c>
      <x:c r="C28" s="236" t="str">
        <x:f>'Raw Inputs'!B44</x:f>
        <x:v>LyondellBasell Industries NV</x:v>
      </x:c>
      <x:c r="D28" s="238" t="n">
        <x:f>IF(COUNT('Raw Inputs'!AY44,'Raw Inputs'!BA44)=0,"",1+9*AVERAGE('Raw Inputs'!AY44,'Raw Inputs'!BA44))</x:f>
        <x:v>6.919827586206897</x:v>
      </x:c>
      <x:c r="E28" s="268" t="n">
        <x:f>'Raw Inputs'!AX44</x:f>
        <x:v>-0.048760700497957776</x:v>
      </x:c>
      <x:c r="F28" s="268" t="n">
        <x:f>'Raw Inputs'!AY44</x:f>
        <x:v>0.9655172413793104</x:v>
      </x:c>
      <x:c r="G28" s="268" t="n">
        <x:f>'Raw Inputs'!AZ44</x:f>
        <x:v>0.047713945719651894</x:v>
      </x:c>
      <x:c r="H28" s="268" t="n">
        <x:f>'Raw Inputs'!BA44</x:f>
        <x:v>0.35</x:v>
      </x:c>
      <x:c r="I28" s="236" t="str">
        <x:f>IF('Raw Inputs'!AC44,"Asset growth only","Asset growth + capex")</x:f>
        <x:v>Asset growth + capex</x:v>
      </x:c>
      <x:c r="J28" s="269" t="n">
        <x:f>'Raw Inputs'!T44</x:f>
        <x:v>46022</x:v>
      </x:c>
      <x:c r="K28" s="271" t="n">
        <x:f>'Raw Inputs'!BS44</x:f>
        <x:v>35746000000</x:v>
      </x:c>
      <x:c r="L28" s="271" t="n">
        <x:f>'Raw Inputs'!BR44</x:f>
        <x:v>34003000000</x:v>
      </x:c>
      <x:c r="M28" s="20" t="str">
        <x:f>'Raw Inputs'!CC44</x:f>
        <x:v>https://data.sec.gov/api/xbrl/companyfacts/CIK0001489393.json</x:v>
      </x:c>
    </x:row>
    <x:row r="29">
      <x:c r="A29" s="237" t="n">
        <x:f>RANK(D29,$D$5:$D$121,0)</x:f>
        <x:v>25</x:v>
      </x:c>
      <x:c r="B29" s="236" t="str">
        <x:f>'Raw Inputs'!A14</x:f>
        <x:v>NYT</x:v>
      </x:c>
      <x:c r="C29" s="236" t="str">
        <x:f>'Raw Inputs'!B14</x:f>
        <x:v>The New York Times Co.</x:v>
      </x:c>
      <x:c r="D29" s="238" t="n">
        <x:f>IF(COUNT('Raw Inputs'!AY14,'Raw Inputs'!BA14)=0,"",1+9*AVERAGE('Raw Inputs'!AY14,'Raw Inputs'!BA14))</x:f>
        <x:v>6.826724137931034</x:v>
      </x:c>
      <x:c r="E29" s="268" t="n">
        <x:f>'Raw Inputs'!AX14</x:f>
        <x:v>0.054764085886258584</x:v>
      </x:c>
      <x:c r="F29" s="268" t="n">
        <x:f>'Raw Inputs'!AY14</x:f>
        <x:v>0.5948275862068966</x:v>
      </x:c>
      <x:c r="G29" s="268" t="n">
        <x:f>'Raw Inputs'!AZ14</x:f>
        <x:v>0.0121502374982637</x:v>
      </x:c>
      <x:c r="H29" s="268" t="n">
        <x:f>'Raw Inputs'!BA14</x:f>
        <x:v>0.7</x:v>
      </x:c>
      <x:c r="I29" s="236" t="str">
        <x:f>IF('Raw Inputs'!AC14,"Asset growth only","Asset growth + capex")</x:f>
        <x:v>Asset growth + capex</x:v>
      </x:c>
      <x:c r="J29" s="269" t="n">
        <x:f>'Raw Inputs'!T14</x:f>
        <x:v>46022</x:v>
      </x:c>
      <x:c r="K29" s="271" t="n">
        <x:f>'Raw Inputs'!BS14</x:f>
        <x:v>2841479000</x:v>
      </x:c>
      <x:c r="L29" s="271" t="n">
        <x:f>'Raw Inputs'!BR14</x:f>
        <x:v>2997090000</x:v>
      </x:c>
      <x:c r="M29" s="20" t="str">
        <x:f>'Raw Inputs'!CC14</x:f>
        <x:v>https://data.sec.gov/api/xbrl/companyfacts/CIK0000071691.json</x:v>
      </x:c>
    </x:row>
    <x:row r="30">
      <x:c r="A30" s="237" t="n">
        <x:f>RANK(D30,$D$5:$D$121,0)</x:f>
        <x:v>26</x:v>
      </x:c>
      <x:c r="B30" s="236" t="str">
        <x:f>'Raw Inputs'!A29</x:f>
        <x:v>DG</x:v>
      </x:c>
      <x:c r="C30" s="236" t="str">
        <x:f>'Raw Inputs'!B29</x:f>
        <x:v>Dollar General Corp.</x:v>
      </x:c>
      <x:c r="D30" s="238" t="n">
        <x:f>IF(COUNT('Raw Inputs'!AY29,'Raw Inputs'!BA29)=0,"",1+9*AVERAGE('Raw Inputs'!AY29,'Raw Inputs'!BA29))</x:f>
        <x:v>6.795689655172414</x:v>
      </x:c>
      <x:c r="E30" s="268" t="n">
        <x:f>'Raw Inputs'!AX29</x:f>
        <x:v>-0.005428466559617484</x:v>
      </x:c>
      <x:c r="F30" s="268" t="n">
        <x:f>'Raw Inputs'!AY29</x:f>
        <x:v>0.8879310344827587</x:v>
      </x:c>
      <x:c r="G30" s="268" t="n">
        <x:f>'Raw Inputs'!AZ29</x:f>
        <x:v>0.04192957012704572</x:v>
      </x:c>
      <x:c r="H30" s="268" t="n">
        <x:f>'Raw Inputs'!BA29</x:f>
        <x:v>0.4</x:v>
      </x:c>
      <x:c r="I30" s="236" t="str">
        <x:f>IF('Raw Inputs'!AC29,"Asset growth only","Asset growth + capex")</x:f>
        <x:v>Asset growth + capex</x:v>
      </x:c>
      <x:c r="J30" s="269" t="n">
        <x:f>'Raw Inputs'!T29</x:f>
        <x:v>46052</x:v>
      </x:c>
      <x:c r="K30" s="271" t="n">
        <x:f>'Raw Inputs'!BS29</x:f>
        <x:v>31132733000</x:v>
      </x:c>
      <x:c r="L30" s="271" t="n">
        <x:f>'Raw Inputs'!BR29</x:f>
        <x:v>30963730000</x:v>
      </x:c>
      <x:c r="M30" s="20" t="str">
        <x:f>'Raw Inputs'!CC29</x:f>
        <x:v>https://data.sec.gov/api/xbrl/companyfacts/CIK0000029534.json</x:v>
      </x:c>
    </x:row>
    <x:row r="31">
      <x:c r="A31" s="237" t="n">
        <x:f>RANK(D31,$D$5:$D$121,0)</x:f>
        <x:v>27</x:v>
      </x:c>
      <x:c r="B31" s="236" t="str">
        <x:f>'Raw Inputs'!A49</x:f>
        <x:v>JKHY</x:v>
      </x:c>
      <x:c r="C31" s="236" t="str">
        <x:f>'Raw Inputs'!B49</x:f>
        <x:v>Jack Henry and Associates Inc.</x:v>
      </x:c>
      <x:c r="D31" s="238" t="n">
        <x:f>IF(COUNT('Raw Inputs'!AY49,'Raw Inputs'!BA49)=0,"",1+9*AVERAGE('Raw Inputs'!AY49,'Raw Inputs'!BA49))</x:f>
        <x:v>6.7460344827586205</x:v>
      </x:c>
      <x:c r="E31" s="268" t="n">
        <x:f>'Raw Inputs'!AX49</x:f>
        <x:v>0.04085818988052914</x:v>
      </x:c>
      <x:c r="F31" s="268" t="n">
        <x:f>'Raw Inputs'!AY49</x:f>
        <x:v>0.7068965517241379</x:v>
      </x:c>
      <x:c r="G31" s="268" t="n">
        <x:f>'Raw Inputs'!AZ49</x:f>
        <x:v>0.01969958369432873</x:v>
      </x:c>
      <x:c r="H31" s="268" t="n">
        <x:f>'Raw Inputs'!BA49</x:f>
        <x:v>0.5700000000000001</x:v>
      </x:c>
      <x:c r="I31" s="236" t="str">
        <x:f>IF('Raw Inputs'!AC49,"Asset growth only","Asset growth + capex")</x:f>
        <x:v>Asset growth + capex</x:v>
      </x:c>
      <x:c r="J31" s="269" t="n">
        <x:f>'Raw Inputs'!T49</x:f>
        <x:v>45838</x:v>
      </x:c>
      <x:c r="K31" s="271" t="n">
        <x:f>'Raw Inputs'!BS49</x:f>
        <x:v>2924481000</x:v>
      </x:c>
      <x:c r="L31" s="271" t="n">
        <x:f>'Raw Inputs'!BR49</x:f>
        <x:v>3043970000</x:v>
      </x:c>
      <x:c r="M31" s="20" t="str">
        <x:f>'Raw Inputs'!CC49</x:f>
        <x:v>https://data.sec.gov/api/xbrl/companyfacts/CIK0000779152.json</x:v>
      </x:c>
    </x:row>
    <x:row r="32">
      <x:c r="A32" s="237" t="n">
        <x:f>RANK(D32,$D$5:$D$121,0)</x:f>
        <x:v>28</x:v>
      </x:c>
      <x:c r="B32" s="236" t="str">
        <x:f>'Raw Inputs'!A21</x:f>
        <x:v>RTX</x:v>
      </x:c>
      <x:c r="C32" s="236" t="str">
        <x:f>'Raw Inputs'!B21</x:f>
        <x:v>RTX Corp.</x:v>
      </x:c>
      <x:c r="D32" s="238" t="n">
        <x:f>IF(COUNT('Raw Inputs'!AY21,'Raw Inputs'!BA21)=0,"",1+9*AVERAGE('Raw Inputs'!AY21,'Raw Inputs'!BA21))</x:f>
        <x:v>6.7444827586206895</x:v>
      </x:c>
      <x:c r="E32" s="268" t="n">
        <x:f>'Raw Inputs'!AX21</x:f>
        <x:v>0.050460208398573014</x:v>
      </x:c>
      <x:c r="F32" s="268" t="n">
        <x:f>'Raw Inputs'!AY21</x:f>
        <x:v>0.646551724137931</x:v>
      </x:c>
      <x:c r="G32" s="268" t="n">
        <x:f>'Raw Inputs'!AZ21</x:f>
        <x:v>0.01593100556986285</x:v>
      </x:c>
      <x:c r="H32" s="268" t="n">
        <x:f>'Raw Inputs'!BA21</x:f>
        <x:v>0.63</x:v>
      </x:c>
      <x:c r="I32" s="236" t="str">
        <x:f>IF('Raw Inputs'!AC21,"Asset growth only","Asset growth + capex")</x:f>
        <x:v>Asset growth + capex</x:v>
      </x:c>
      <x:c r="J32" s="269" t="n">
        <x:f>'Raw Inputs'!T21</x:f>
        <x:v>46022</x:v>
      </x:c>
      <x:c r="K32" s="271" t="n">
        <x:f>'Raw Inputs'!BS21</x:f>
        <x:v>162861000000</x:v>
      </x:c>
      <x:c r="L32" s="271" t="n">
        <x:f>'Raw Inputs'!BR21</x:f>
        <x:v>171079000000</x:v>
      </x:c>
      <x:c r="M32" s="20" t="str">
        <x:f>'Raw Inputs'!CC21</x:f>
        <x:v>https://data.sec.gov/api/xbrl/companyfacts/CIK0000101829.json</x:v>
      </x:c>
    </x:row>
    <x:row r="33">
      <x:c r="A33" s="237" t="n">
        <x:f>RANK(D33,$D$5:$D$121,0)</x:f>
        <x:v>29</x:v>
      </x:c>
      <x:c r="B33" s="236" t="str">
        <x:f>'Raw Inputs'!A31</x:f>
        <x:v>DGX</x:v>
      </x:c>
      <x:c r="C33" s="236" t="str">
        <x:f>'Raw Inputs'!B31</x:f>
        <x:v>Quest Diagnostics Inc.</x:v>
      </x:c>
      <x:c r="D33" s="238" t="n">
        <x:f>IF(COUNT('Raw Inputs'!AY31,'Raw Inputs'!BA31)=0,"",1+9*AVERAGE('Raw Inputs'!AY31,'Raw Inputs'!BA31))</x:f>
        <x:v>6.736724137931034</x:v>
      </x:c>
      <x:c r="E33" s="268" t="n">
        <x:f>'Raw Inputs'!AX31</x:f>
        <x:v>0.0044573763387605325</x:v>
      </x:c>
      <x:c r="F33" s="268" t="n">
        <x:f>'Raw Inputs'!AY31</x:f>
        <x:v>0.8448275862068966</x:v>
      </x:c>
      <x:c r="G33" s="268" t="n">
        <x:f>'Raw Inputs'!AZ31</x:f>
        <x:v>0.03236765705108407</x:v>
      </x:c>
      <x:c r="H33" s="268" t="n">
        <x:f>'Raw Inputs'!BA31</x:f>
        <x:v>0.43000000000000005</x:v>
      </x:c>
      <x:c r="I33" s="236" t="str">
        <x:f>IF('Raw Inputs'!AC31,"Asset growth only","Asset growth + capex")</x:f>
        <x:v>Asset growth + capex</x:v>
      </x:c>
      <x:c r="J33" s="269" t="n">
        <x:f>'Raw Inputs'!T31</x:f>
        <x:v>46022</x:v>
      </x:c>
      <x:c r="K33" s="271" t="n">
        <x:f>'Raw Inputs'!BS31</x:f>
        <x:v>16153000000</x:v>
      </x:c>
      <x:c r="L33" s="271" t="n">
        <x:f>'Raw Inputs'!BR31</x:f>
        <x:v>16225000000</x:v>
      </x:c>
      <x:c r="M33" s="20" t="str">
        <x:f>'Raw Inputs'!CC31</x:f>
        <x:v>https://data.sec.gov/api/xbrl/companyfacts/CIK0001022079.json</x:v>
      </x:c>
    </x:row>
    <x:row r="34">
      <x:c r="A34" s="237" t="n">
        <x:f>RANK(D34,$D$5:$D$121,0)</x:f>
        <x:v>30</x:v>
      </x:c>
      <x:c r="B34" s="236" t="str">
        <x:f>'Raw Inputs'!A93</x:f>
        <x:v>VTR</x:v>
      </x:c>
      <x:c r="C34" s="236" t="str">
        <x:f>'Raw Inputs'!B93</x:f>
        <x:v>Ventas Inc. REIT</x:v>
      </x:c>
      <x:c r="D34" s="238" t="n">
        <x:f>IF(COUNT('Raw Inputs'!AY93,'Raw Inputs'!BA93)=0,"",1+9*AVERAGE('Raw Inputs'!AY93,'Raw Inputs'!BA93))</x:f>
        <x:v>6.663793103448276</x:v>
      </x:c>
      <x:c r="E34" s="268" t="n">
        <x:f>'Raw Inputs'!AX93</x:f>
        <x:v>0.05365425758965192</x:v>
      </x:c>
      <x:c r="F34" s="268" t="n">
        <x:f>'Raw Inputs'!AY93</x:f>
        <x:v>0.6293103448275862</x:v>
      </x:c>
      <x:c r="G34" s="268" t="n">
        <x:f>'Raw Inputs'!AZ93</x:f>
        <x:v>0.10889295496476858</x:v>
      </x:c>
      <x:c r="H34" s="268" t="n">
        <x:f>'Raw Inputs'!BA93</x:f>
        <x:v>0</x:v>
      </x:c>
      <x:c r="I34" s="236" t="str">
        <x:f>IF('Raw Inputs'!AC93,"Asset growth only","Asset growth + capex")</x:f>
        <x:v>Asset growth only</x:v>
      </x:c>
      <x:c r="J34" s="269" t="n">
        <x:f>'Raw Inputs'!T93</x:f>
        <x:v>46022</x:v>
      </x:c>
      <x:c r="K34" s="271" t="n">
        <x:f>'Raw Inputs'!BS93</x:f>
        <x:v>26186906000</x:v>
      </x:c>
      <x:c r="L34" s="271" t="n">
        <x:f>'Raw Inputs'!BR93</x:f>
        <x:v>27591945000</x:v>
      </x:c>
      <x:c r="M34" s="20" t="str">
        <x:f>'Raw Inputs'!CC93</x:f>
        <x:v>https://data.sec.gov/api/xbrl/companyfacts/CIK0000740260.json</x:v>
      </x:c>
    </x:row>
    <x:row r="35">
      <x:c r="A35" s="237" t="n">
        <x:f>RANK(D35,$D$5:$D$121,0)</x:f>
        <x:v>31</x:v>
      </x:c>
      <x:c r="B35" s="236" t="str">
        <x:f>'Raw Inputs'!A67</x:f>
        <x:v>L</x:v>
      </x:c>
      <x:c r="C35" s="236" t="str">
        <x:f>'Raw Inputs'!B67</x:f>
        <x:v>Loews Corp.</x:v>
      </x:c>
      <x:c r="D35" s="238" t="n">
        <x:f>IF(COUNT('Raw Inputs'!AY67,'Raw Inputs'!BA67)=0,"",1+9*AVERAGE('Raw Inputs'!AY67,'Raw Inputs'!BA67))</x:f>
        <x:v>6.586206896551724</x:v>
      </x:c>
      <x:c r="E35" s="268" t="n">
        <x:f>'Raw Inputs'!AX67</x:f>
        <x:v>0.0537568797822876</x:v>
      </x:c>
      <x:c r="F35" s="268" t="n">
        <x:f>'Raw Inputs'!AY67</x:f>
        <x:v>0.6206896551724138</x:v>
      </x:c>
      <x:c r="G35" s="268" t="n">
        <x:f>'Raw Inputs'!AZ67</x:f>
        <x:v>0.008140661116756095</x:v>
      </x:c>
      <x:c r="H35" s="268" t="n">
        <x:f>'Raw Inputs'!BA67</x:f>
        <x:v>0</x:v>
      </x:c>
      <x:c r="I35" s="236" t="str">
        <x:f>IF('Raw Inputs'!AC67,"Asset growth only","Asset growth + capex")</x:f>
        <x:v>Asset growth only</x:v>
      </x:c>
      <x:c r="J35" s="269" t="n">
        <x:f>'Raw Inputs'!T67</x:f>
        <x:v>46022</x:v>
      </x:c>
      <x:c r="K35" s="271" t="n">
        <x:f>'Raw Inputs'!BS67</x:f>
        <x:v>81943000000</x:v>
      </x:c>
      <x:c r="L35" s="271" t="n">
        <x:f>'Raw Inputs'!BR67</x:f>
        <x:v>86348000000</x:v>
      </x:c>
      <x:c r="M35" s="20" t="str">
        <x:f>'Raw Inputs'!CC67</x:f>
        <x:v>https://data.sec.gov/api/xbrl/companyfacts/CIK0000060086.json</x:v>
      </x:c>
    </x:row>
    <x:row r="36">
      <x:c r="A36" s="237" t="n">
        <x:f>RANK(D36,$D$5:$D$121,0)</x:f>
        <x:v>32</x:v>
      </x:c>
      <x:c r="B36" s="236" t="str">
        <x:f>'Raw Inputs'!A12</x:f>
        <x:v>FTI</x:v>
      </x:c>
      <x:c r="C36" s="236" t="str">
        <x:f>'Raw Inputs'!B12</x:f>
        <x:v>TechnipFMC PLC</x:v>
      </x:c>
      <x:c r="D36" s="238" t="n">
        <x:f>IF(COUNT('Raw Inputs'!AY12,'Raw Inputs'!BA12)=0,"",1+9*AVERAGE('Raw Inputs'!AY12,'Raw Inputs'!BA12))</x:f>
        <x:v>6.477586206896552</x:v>
      </x:c>
      <x:c r="E36" s="268" t="n">
        <x:f>'Raw Inputs'!AX12</x:f>
        <x:v>0.025230008511328172</x:v>
      </x:c>
      <x:c r="F36" s="268" t="n">
        <x:f>'Raw Inputs'!AY12</x:f>
        <x:v>0.7672413793103449</x:v>
      </x:c>
      <x:c r="G36" s="268" t="n">
        <x:f>'Raw Inputs'!AZ12</x:f>
        <x:v>0.031119605351371364</x:v>
      </x:c>
      <x:c r="H36" s="268" t="n">
        <x:f>'Raw Inputs'!BA12</x:f>
        <x:v>0.44999999999999996</x:v>
      </x:c>
      <x:c r="I36" s="236" t="str">
        <x:f>IF('Raw Inputs'!AC12,"Asset growth only","Asset growth + capex")</x:f>
        <x:v>Asset growth + capex</x:v>
      </x:c>
      <x:c r="J36" s="269" t="n">
        <x:f>'Raw Inputs'!T12</x:f>
        <x:v>46022</x:v>
      </x:c>
      <x:c r="K36" s="271" t="n">
        <x:f>'Raw Inputs'!BS12</x:f>
        <x:v>9869200000</x:v>
      </x:c>
      <x:c r="L36" s="271" t="n">
        <x:f>'Raw Inputs'!BR12</x:f>
        <x:v>10118200000</x:v>
      </x:c>
      <x:c r="M36" s="20" t="str">
        <x:f>'Raw Inputs'!CC12</x:f>
        <x:v>https://data.sec.gov/api/xbrl/companyfacts/CIK0001681459.json</x:v>
      </x:c>
    </x:row>
    <x:row r="37">
      <x:c r="A37" s="237" t="n">
        <x:f>RANK(D37,$D$5:$D$121,0)</x:f>
        <x:v>33</x:v>
      </x:c>
      <x:c r="B37" s="236" t="str">
        <x:f>'Raw Inputs'!A60</x:f>
        <x:v>DTM</x:v>
      </x:c>
      <x:c r="C37" s="236" t="str">
        <x:f>'Raw Inputs'!B60</x:f>
        <x:v>DT Midstream Inc.</x:v>
      </x:c>
      <x:c r="D37" s="238" t="n">
        <x:f>IF(COUNT('Raw Inputs'!AY60,'Raw Inputs'!BA60)=0,"",1+9*AVERAGE('Raw Inputs'!AY60,'Raw Inputs'!BA60))</x:f>
        <x:v>6.434137931034483</x:v>
      </x:c>
      <x:c r="E37" s="268" t="n">
        <x:f>'Raw Inputs'!AX60</x:f>
        <x:v>0.014594866633115267</x:v>
      </x:c>
      <x:c r="F37" s="268" t="n">
        <x:f>'Raw Inputs'!AY60</x:f>
        <x:v>0.8275862068965517</x:v>
      </x:c>
      <x:c r="G37" s="268" t="n">
        <x:f>'Raw Inputs'!AZ60</x:f>
        <x:v>0.0432675493379965</x:v>
      </x:c>
      <x:c r="H37" s="268" t="n">
        <x:f>'Raw Inputs'!BA60</x:f>
        <x:v>0.38</x:v>
      </x:c>
      <x:c r="I37" s="236" t="str">
        <x:f>IF('Raw Inputs'!AC60,"Asset growth only","Asset growth + capex")</x:f>
        <x:v>Asset growth + capex</x:v>
      </x:c>
      <x:c r="J37" s="269" t="n">
        <x:f>'Raw Inputs'!T60</x:f>
        <x:v>46022</x:v>
      </x:c>
      <x:c r="K37" s="271" t="n">
        <x:f>'Raw Inputs'!BS60</x:f>
        <x:v>9935000000</x:v>
      </x:c>
      <x:c r="L37" s="271" t="n">
        <x:f>'Raw Inputs'!BR60</x:f>
        <x:v>10080000000</x:v>
      </x:c>
      <x:c r="M37" s="20" t="str">
        <x:f>'Raw Inputs'!CC60</x:f>
        <x:v>https://data.sec.gov/api/xbrl/companyfacts/CIK0001842022.json</x:v>
      </x:c>
    </x:row>
    <x:row r="38">
      <x:c r="A38" s="237" t="n">
        <x:f>RANK(D38,$D$5:$D$121,0)</x:f>
        <x:v>34</x:v>
      </x:c>
      <x:c r="B38" s="236" t="str">
        <x:f>'Raw Inputs'!A6</x:f>
        <x:v>AXS</x:v>
      </x:c>
      <x:c r="C38" s="236" t="str">
        <x:f>'Raw Inputs'!B6</x:f>
        <x:v>Axis Capital Holdings Ltd.</x:v>
      </x:c>
      <x:c r="D38" s="238" t="n">
        <x:f>IF(COUNT('Raw Inputs'!AY6,'Raw Inputs'!BA6)=0,"",1+9*AVERAGE('Raw Inputs'!AY6,'Raw Inputs'!BA6))</x:f>
        <x:v>6.431034482758621</x:v>
      </x:c>
      <x:c r="E38" s="268" t="n">
        <x:f>'Raw Inputs'!AX6</x:f>
        <x:v>0.05448426193699896</x:v>
      </x:c>
      <x:c r="F38" s="268" t="n">
        <x:f>'Raw Inputs'!AY6</x:f>
        <x:v>0.603448275862069</x:v>
      </x:c>
      <x:c r="G38" s="268" t="n">
        <x:f>'Raw Inputs'!AZ6</x:f>
        <x:v>0</x:v>
      </x:c>
      <x:c r="H38" s="268" t="n">
        <x:f>'Raw Inputs'!BA6</x:f>
        <x:v>0</x:v>
      </x:c>
      <x:c r="I38" s="236" t="str">
        <x:f>IF('Raw Inputs'!AC6,"Asset growth only","Asset growth + capex")</x:f>
        <x:v>Asset growth only</x:v>
      </x:c>
      <x:c r="J38" s="269" t="n">
        <x:f>'Raw Inputs'!T6</x:f>
        <x:v>46022</x:v>
      </x:c>
      <x:c r="K38" s="271" t="n">
        <x:f>'Raw Inputs'!BS6</x:f>
        <x:v>32681309000</x:v>
      </x:c>
      <x:c r="L38" s="271" t="n">
        <x:f>'Raw Inputs'!BR6</x:f>
        <x:v>34461926000</x:v>
      </x:c>
      <x:c r="M38" s="20" t="str">
        <x:f>'Raw Inputs'!CC6</x:f>
        <x:v>https://data.sec.gov/api/xbrl/companyfacts/CIK0001214816.json</x:v>
      </x:c>
    </x:row>
    <x:row r="39">
      <x:c r="A39" s="237" t="n">
        <x:f>RANK(D39,$D$5:$D$121,0)</x:f>
        <x:v>35</x:v>
      </x:c>
      <x:c r="B39" s="236" t="str">
        <x:f>'Raw Inputs'!A63</x:f>
        <x:v>DOW</x:v>
      </x:c>
      <x:c r="C39" s="236" t="str">
        <x:f>'Raw Inputs'!B63</x:f>
        <x:v>Dow Inc.</x:v>
      </x:c>
      <x:c r="D39" s="238" t="n">
        <x:f>IF(COUNT('Raw Inputs'!AY63,'Raw Inputs'!BA63)=0,"",1+9*AVERAGE('Raw Inputs'!AY63,'Raw Inputs'!BA63))</x:f>
        <x:v>6.41396551724138</x:v>
      </x:c>
      <x:c r="E39" s="268" t="n">
        <x:f>'Raw Inputs'!AX63</x:f>
        <x:v>0.021391680625348908</x:v>
      </x:c>
      <x:c r="F39" s="268" t="n">
        <x:f>'Raw Inputs'!AY63</x:f>
        <x:v>0.7931034482758621</x:v>
      </x:c>
      <x:c r="G39" s="268" t="n">
        <x:f>'Raw Inputs'!AZ63</x:f>
        <x:v>0.03965472593871385</x:v>
      </x:c>
      <x:c r="H39" s="268" t="n">
        <x:f>'Raw Inputs'!BA63</x:f>
        <x:v>0.41000000000000003</x:v>
      </x:c>
      <x:c r="I39" s="236" t="str">
        <x:f>IF('Raw Inputs'!AC63,"Asset growth only","Asset growth + capex")</x:f>
        <x:v>Asset growth + capex</x:v>
      </x:c>
      <x:c r="J39" s="269" t="n">
        <x:f>'Raw Inputs'!T63</x:f>
        <x:v>46022</x:v>
      </x:c>
      <x:c r="K39" s="271" t="n">
        <x:f>'Raw Inputs'!BS63</x:f>
        <x:v>57312000000</x:v>
      </x:c>
      <x:c r="L39" s="271" t="n">
        <x:f>'Raw Inputs'!BR63</x:f>
        <x:v>58538000000</x:v>
      </x:c>
      <x:c r="M39" s="20" t="str">
        <x:f>'Raw Inputs'!CC63</x:f>
        <x:v>https://data.sec.gov/api/xbrl/companyfacts/CIK0001751788.json</x:v>
      </x:c>
    </x:row>
    <x:row r="40">
      <x:c r="A40" s="237" t="n">
        <x:f>RANK(D40,$D$5:$D$121,0)</x:f>
        <x:v>36</x:v>
      </x:c>
      <x:c r="B40" s="236" t="str">
        <x:f>'Raw Inputs'!A71</x:f>
        <x:v>ROP</x:v>
      </x:c>
      <x:c r="C40" s="236" t="str">
        <x:f>'Raw Inputs'!B71</x:f>
        <x:v>Roper Technologies Inc.</x:v>
      </x:c>
      <x:c r="D40" s="238" t="n">
        <x:f>IF(COUNT('Raw Inputs'!AY71,'Raw Inputs'!BA71)=0,"",1+9*AVERAGE('Raw Inputs'!AY71,'Raw Inputs'!BA71))</x:f>
        <x:v>6.375172413793104</x:v>
      </x:c>
      <x:c r="E40" s="268" t="n">
        <x:f>'Raw Inputs'!AX71</x:f>
        <x:v>0.10347314638404059</x:v>
      </x:c>
      <x:c r="F40" s="268" t="n">
        <x:f>'Raw Inputs'!AY71</x:f>
        <x:v>0.2844827586206896</x:v>
      </x:c>
      <x:c r="G40" s="268" t="n">
        <x:f>'Raw Inputs'!AZ71</x:f>
        <x:v>0.0017326210672763713</x:v>
      </x:c>
      <x:c r="H40" s="268" t="n">
        <x:f>'Raw Inputs'!BA71</x:f>
        <x:v>0.91</x:v>
      </x:c>
      <x:c r="I40" s="236" t="str">
        <x:f>IF('Raw Inputs'!AC71,"Asset growth only","Asset growth + capex")</x:f>
        <x:v>Asset growth + capex</x:v>
      </x:c>
      <x:c r="J40" s="269" t="n">
        <x:f>'Raw Inputs'!T71</x:f>
        <x:v>46022</x:v>
      </x:c>
      <x:c r="K40" s="271" t="n">
        <x:f>'Raw Inputs'!BS71</x:f>
        <x:v>31334700000</x:v>
      </x:c>
      <x:c r="L40" s="271" t="n">
        <x:f>'Raw Inputs'!BR71</x:f>
        <x:v>34577000000</x:v>
      </x:c>
      <x:c r="M40" s="20" t="str">
        <x:f>'Raw Inputs'!CC71</x:f>
        <x:v>https://data.sec.gov/api/xbrl/companyfacts/CIK0000882835.json</x:v>
      </x:c>
    </x:row>
    <x:row r="41">
      <x:c r="A41" s="237" t="n">
        <x:f>RANK(D41,$D$5:$D$121,0)</x:f>
        <x:v>37</x:v>
      </x:c>
      <x:c r="B41" s="236" t="str">
        <x:f>'Raw Inputs'!A70</x:f>
        <x:v>TYL</x:v>
      </x:c>
      <x:c r="C41" s="236" t="str">
        <x:f>'Raw Inputs'!B70</x:f>
        <x:v>Tyler Technologies Inc.</x:v>
      </x:c>
      <x:c r="D41" s="238" t="n">
        <x:f>IF(COUNT('Raw Inputs'!AY70,'Raw Inputs'!BA70)=0,"",1+9*AVERAGE('Raw Inputs'!AY70,'Raw Inputs'!BA70))</x:f>
        <x:v>6.344137931034482</x:v>
      </x:c>
      <x:c r="E41" s="268" t="n">
        <x:f>'Raw Inputs'!AX70</x:f>
        <x:v>0.08858912570716493</x:v>
      </x:c>
      <x:c r="F41" s="268" t="n">
        <x:f>'Raw Inputs'!AY70</x:f>
        <x:v>0.3275862068965517</x:v>
      </x:c>
      <x:c r="G41" s="268" t="n">
        <x:f>'Raw Inputs'!AZ70</x:f>
        <x:v>0.0031272983456856105</x:v>
      </x:c>
      <x:c r="H41" s="268" t="n">
        <x:f>'Raw Inputs'!BA70</x:f>
        <x:v>0.86</x:v>
      </x:c>
      <x:c r="I41" s="236" t="str">
        <x:f>IF('Raw Inputs'!AC70,"Asset growth only","Asset growth + capex")</x:f>
        <x:v>Asset growth + capex</x:v>
      </x:c>
      <x:c r="J41" s="269" t="n">
        <x:f>'Raw Inputs'!T70</x:f>
        <x:v>46022</x:v>
      </x:c>
      <x:c r="K41" s="271" t="n">
        <x:f>'Raw Inputs'!BS70</x:f>
        <x:v>5180015000</x:v>
      </x:c>
      <x:c r="L41" s="271" t="n">
        <x:f>'Raw Inputs'!BR70</x:f>
        <x:v>5638908000</x:v>
      </x:c>
      <x:c r="M41" s="20" t="str">
        <x:f>'Raw Inputs'!CC70</x:f>
        <x:v>https://data.sec.gov/api/xbrl/companyfacts/CIK0000860731.json</x:v>
      </x:c>
    </x:row>
    <x:row r="42">
      <x:c r="A42" s="237" t="n">
        <x:f>RANK(D42,$D$5:$D$121,0)</x:f>
        <x:v>38</x:v>
      </x:c>
      <x:c r="B42" s="236" t="str">
        <x:f>'Raw Inputs'!A62</x:f>
        <x:v>NOC</x:v>
      </x:c>
      <x:c r="C42" s="236" t="str">
        <x:f>'Raw Inputs'!B62</x:f>
        <x:v>Northrop Grumman Corp.</x:v>
      </x:c>
      <x:c r="D42" s="238" t="n">
        <x:f>IF(COUNT('Raw Inputs'!AY62,'Raw Inputs'!BA62)=0,"",1+9*AVERAGE('Raw Inputs'!AY62,'Raw Inputs'!BA62))</x:f>
        <x:v>6.2572413793103445</x:v>
      </x:c>
      <x:c r="E42" s="268" t="n">
        <x:f>'Raw Inputs'!AX62</x:f>
        <x:v>0.04088413460564433</x:v>
      </x:c>
      <x:c r="F42" s="268" t="n">
        <x:f>'Raw Inputs'!AY62</x:f>
        <x:v>0.6982758620689655</x:v>
      </x:c>
      <x:c r="G42" s="268" t="n">
        <x:f>'Raw Inputs'!AZ62</x:f>
        <x:v>0.02702112452350699</x:v>
      </x:c>
      <x:c r="H42" s="268" t="n">
        <x:f>'Raw Inputs'!BA62</x:f>
        <x:v>0.47</x:v>
      </x:c>
      <x:c r="I42" s="236" t="str">
        <x:f>IF('Raw Inputs'!AC62,"Asset growth only","Asset growth + capex")</x:f>
        <x:v>Asset growth + capex</x:v>
      </x:c>
      <x:c r="J42" s="269" t="n">
        <x:f>'Raw Inputs'!T62</x:f>
        <x:v>46022</x:v>
      </x:c>
      <x:c r="K42" s="271" t="n">
        <x:f>'Raw Inputs'!BS62</x:f>
        <x:v>49359000000</x:v>
      </x:c>
      <x:c r="L42" s="271" t="n">
        <x:f>'Raw Inputs'!BR62</x:f>
        <x:v>51377000000</x:v>
      </x:c>
      <x:c r="M42" s="20" t="str">
        <x:f>'Raw Inputs'!CC62</x:f>
        <x:v>https://data.sec.gov/api/xbrl/companyfacts/CIK0001133421.json</x:v>
      </x:c>
    </x:row>
    <x:row r="43">
      <x:c r="A43" s="237" t="n">
        <x:f>RANK(D43,$D$5:$D$121,0)</x:f>
        <x:v>39</x:v>
      </x:c>
      <x:c r="B43" s="236" t="str">
        <x:f>'Raw Inputs'!A41</x:f>
        <x:v>BRK-B</x:v>
      </x:c>
      <x:c r="C43" s="236" t="str">
        <x:f>'Raw Inputs'!B41</x:f>
        <x:v>Berkshire Hathaway Inc.</x:v>
      </x:c>
      <x:c r="D43" s="238" t="n">
        <x:f>IF(COUNT('Raw Inputs'!AY41,'Raw Inputs'!BA41)=0,"",1+9*AVERAGE('Raw Inputs'!AY41,'Raw Inputs'!BA41))</x:f>
        <x:v>6.198275862068965</x:v>
      </x:c>
      <x:c r="E43" s="268" t="n">
        <x:f>'Raw Inputs'!AX41</x:f>
        <x:v>0.0591872125461812</x:v>
      </x:c>
      <x:c r="F43" s="268" t="n">
        <x:f>'Raw Inputs'!AY41</x:f>
        <x:v>0.5775862068965517</x:v>
      </x:c>
      <x:c r="G43" s="268" t="n">
        <x:f>'Raw Inputs'!AZ41</x:f>
        <x:v>0.018208317393059174</x:v>
      </x:c>
      <x:c r="H43" s="268" t="n">
        <x:f>'Raw Inputs'!BA41</x:f>
        <x:v>0</x:v>
      </x:c>
      <x:c r="I43" s="236" t="str">
        <x:f>IF('Raw Inputs'!AC41,"Asset growth only","Asset growth + capex")</x:f>
        <x:v>Asset growth only</x:v>
      </x:c>
      <x:c r="J43" s="269" t="n">
        <x:f>'Raw Inputs'!T41</x:f>
        <x:v>46022</x:v>
      </x:c>
      <x:c r="K43" s="271" t="n">
        <x:f>'Raw Inputs'!BS41</x:f>
        <x:v>1153881000000</x:v>
      </x:c>
      <x:c r="L43" s="271" t="n">
        <x:f>'Raw Inputs'!BR41</x:f>
        <x:v>1222176000000</x:v>
      </x:c>
      <x:c r="M43" s="20" t="str">
        <x:f>'Raw Inputs'!CC41</x:f>
        <x:v>https://data.sec.gov/api/xbrl/companyfacts/CIK0001067983.json</x:v>
      </x:c>
    </x:row>
    <x:row r="44">
      <x:c r="A44" s="237" t="n">
        <x:f>RANK(D44,$D$5:$D$121,0)</x:f>
        <x:v>40</x:v>
      </x:c>
      <x:c r="B44" s="236" t="str">
        <x:f>'Raw Inputs'!A25</x:f>
        <x:v>CMCSA</x:v>
      </x:c>
      <x:c r="C44" s="236" t="str">
        <x:f>'Raw Inputs'!B25</x:f>
        <x:v>Comcast Corp.</x:v>
      </x:c>
      <x:c r="D44" s="238" t="n">
        <x:f>IF(COUNT('Raw Inputs'!AY25,'Raw Inputs'!BA25)=0,"",1+9*AVERAGE('Raw Inputs'!AY25,'Raw Inputs'!BA25))</x:f>
        <x:v>6.195172413793103</x:v>
      </x:c>
      <x:c r="E44" s="268" t="n">
        <x:f>'Raw Inputs'!AX25</x:f>
        <x:v>0.024116208571396403</x:v>
      </x:c>
      <x:c r="F44" s="268" t="n">
        <x:f>'Raw Inputs'!AY25</x:f>
        <x:v>0.7844827586206897</x:v>
      </x:c>
      <x:c r="G44" s="268" t="n">
        <x:f>'Raw Inputs'!AZ25</x:f>
        <x:v>0.04397949677270888</x:v>
      </x:c>
      <x:c r="H44" s="268" t="n">
        <x:f>'Raw Inputs'!BA25</x:f>
        <x:v>0.37</x:v>
      </x:c>
      <x:c r="I44" s="236" t="str">
        <x:f>IF('Raw Inputs'!AC25,"Asset growth only","Asset growth + capex")</x:f>
        <x:v>Asset growth + capex</x:v>
      </x:c>
      <x:c r="J44" s="269" t="n">
        <x:f>'Raw Inputs'!T25</x:f>
        <x:v>46022</x:v>
      </x:c>
      <x:c r="K44" s="271" t="n">
        <x:f>'Raw Inputs'!BS25</x:f>
        <x:v>266211000000</x:v>
      </x:c>
      <x:c r="L44" s="271" t="n">
        <x:f>'Raw Inputs'!BR25</x:f>
        <x:v>272631000000</x:v>
      </x:c>
      <x:c r="M44" s="20" t="str">
        <x:f>'Raw Inputs'!CC25</x:f>
        <x:v>https://data.sec.gov/api/xbrl/companyfacts/CIK0001166691.json</x:v>
      </x:c>
    </x:row>
    <x:row r="45">
      <x:c r="A45" s="237" t="n">
        <x:f>RANK(D45,$D$5:$D$121,0)</x:f>
        <x:v>41</x:v>
      </x:c>
      <x:c r="B45" s="236" t="str">
        <x:f>'Raw Inputs'!A89</x:f>
        <x:v>KR</x:v>
      </x:c>
      <x:c r="C45" s="236" t="str">
        <x:f>'Raw Inputs'!B89</x:f>
        <x:v>The Kroger Co.</x:v>
      </x:c>
      <x:c r="D45" s="238" t="n">
        <x:f>IF(COUNT('Raw Inputs'!AY89,'Raw Inputs'!BA89)=0,"",1+9*AVERAGE('Raw Inputs'!AY89,'Raw Inputs'!BA89))</x:f>
        <x:v>6.097413793103448</x:v>
      </x:c>
      <x:c r="E45" s="268" t="n">
        <x:f>'Raw Inputs'!AX89</x:f>
        <x:v>-0.050611981146419294</x:v>
      </x:c>
      <x:c r="F45" s="268" t="n">
        <x:f>'Raw Inputs'!AY89</x:f>
        <x:v>0.9827586206896551</x:v>
      </x:c>
      <x:c r="G45" s="268" t="n">
        <x:f>'Raw Inputs'!AZ89</x:f>
        <x:v>0.08002417884546013</x:v>
      </x:c>
      <x:c r="H45" s="268" t="n">
        <x:f>'Raw Inputs'!BA89</x:f>
        <x:v>0.15000000000000002</x:v>
      </x:c>
      <x:c r="I45" s="236" t="str">
        <x:f>IF('Raw Inputs'!AC89,"Asset growth only","Asset growth + capex")</x:f>
        <x:v>Asset growth + capex</x:v>
      </x:c>
      <x:c r="J45" s="269" t="n">
        <x:f>'Raw Inputs'!T89</x:f>
        <x:v>46053</x:v>
      </x:c>
      <x:c r="K45" s="271" t="n">
        <x:f>'Raw Inputs'!BS89</x:f>
        <x:v>52616000000</x:v>
      </x:c>
      <x:c r="L45" s="271" t="n">
        <x:f>'Raw Inputs'!BR89</x:f>
        <x:v>49953000000</x:v>
      </x:c>
      <x:c r="M45" s="20" t="str">
        <x:f>'Raw Inputs'!CC89</x:f>
        <x:v>https://data.sec.gov/api/xbrl/companyfacts/CIK0000056873.json</x:v>
      </x:c>
    </x:row>
    <x:row r="46">
      <x:c r="A46" s="237" t="n">
        <x:f>RANK(D46,$D$5:$D$121,0)</x:f>
        <x:v>42</x:v>
      </x:c>
      <x:c r="B46" s="236" t="str">
        <x:f>'Raw Inputs'!A97</x:f>
        <x:v>MCK</x:v>
      </x:c>
      <x:c r="C46" s="236" t="str">
        <x:f>'Raw Inputs'!B97</x:f>
        <x:v>McKesson Corp.</x:v>
      </x:c>
      <x:c r="D46" s="238" t="n">
        <x:f>IF(COUNT('Raw Inputs'!AY97,'Raw Inputs'!BA97)=0,"",1+9*AVERAGE('Raw Inputs'!AY97,'Raw Inputs'!BA97))</x:f>
        <x:v>6.047758620689655</x:v>
      </x:c>
      <x:c r="E46" s="268" t="n">
        <x:f>'Raw Inputs'!AX97</x:f>
        <x:v>0.09559488953952622</x:v>
      </x:c>
      <x:c r="F46" s="268" t="n">
        <x:f>'Raw Inputs'!AY97</x:f>
        <x:v>0.3017241379310345</x:v>
      </x:c>
      <x:c r="G46" s="268" t="n">
        <x:f>'Raw Inputs'!AZ97</x:f>
        <x:v>0.005537808882086585</x:v>
      </x:c>
      <x:c r="H46" s="268" t="n">
        <x:f>'Raw Inputs'!BA97</x:f>
        <x:v>0.8200000000000001</x:v>
      </x:c>
      <x:c r="I46" s="236" t="str">
        <x:f>IF('Raw Inputs'!AC97,"Asset growth only","Asset growth + capex")</x:f>
        <x:v>Asset growth + capex</x:v>
      </x:c>
      <x:c r="J46" s="269" t="n">
        <x:f>'Raw Inputs'!T97</x:f>
        <x:v>46112</x:v>
      </x:c>
      <x:c r="K46" s="271" t="n">
        <x:f>'Raw Inputs'!BS97</x:f>
        <x:v>75140000000</x:v>
      </x:c>
      <x:c r="L46" s="271" t="n">
        <x:f>'Raw Inputs'!BR97</x:f>
        <x:v>82323000000</x:v>
      </x:c>
      <x:c r="M46" s="20" t="str">
        <x:f>'Raw Inputs'!CC97</x:f>
        <x:v>https://data.sec.gov/api/xbrl/companyfacts/CIK0000927653.json</x:v>
      </x:c>
    </x:row>
    <x:row r="47">
      <x:c r="A47" s="237" t="n">
        <x:f>RANK(D47,$D$5:$D$121,0)</x:f>
        <x:v>43</x:v>
      </x:c>
      <x:c r="B47" s="236" t="str">
        <x:f>'Raw Inputs'!A94</x:f>
        <x:v>PR</x:v>
      </x:c>
      <x:c r="C47" s="236" t="str">
        <x:f>'Raw Inputs'!B94</x:f>
        <x:v>Permian Resources Corp.</x:v>
      </x:c>
      <x:c r="D47" s="238" t="n">
        <x:f>IF(COUNT('Raw Inputs'!AY94,'Raw Inputs'!BA94)=0,"",1+9*AVERAGE('Raw Inputs'!AY94,'Raw Inputs'!BA94))</x:f>
        <x:v>6.043103448275861</x:v>
      </x:c>
      <x:c r="E47" s="268" t="n">
        <x:f>'Raw Inputs'!AX94</x:f>
        <x:v>0.060024322548955844</x:v>
      </x:c>
      <x:c r="F47" s="268" t="n">
        <x:f>'Raw Inputs'!AY94</x:f>
        <x:v>0.5603448275862069</x:v>
      </x:c>
      <x:c r="G47" s="268" t="n">
        <x:f>'Raw Inputs'!AZ94</x:f>
        <x:v>0</x:v>
      </x:c>
      <x:c r="H47" s="268" t="n">
        <x:f>'Raw Inputs'!BA94</x:f>
        <x:v>0</x:v>
      </x:c>
      <x:c r="I47" s="236" t="str">
        <x:f>IF('Raw Inputs'!AC94,"Asset growth only","Asset growth + capex")</x:f>
        <x:v>Asset growth + capex</x:v>
      </x:c>
      <x:c r="J47" s="269" t="n">
        <x:f>'Raw Inputs'!T94</x:f>
        <x:v>46022</x:v>
      </x:c>
      <x:c r="K47" s="271" t="n">
        <x:f>'Raw Inputs'!BS94</x:f>
        <x:v>16897900000</x:v>
      </x:c>
      <x:c r="L47" s="271" t="n">
        <x:f>'Raw Inputs'!BR94</x:f>
        <x:v>17912185000</x:v>
      </x:c>
      <x:c r="M47" s="20" t="str">
        <x:f>'Raw Inputs'!CC94</x:f>
        <x:v>https://data.sec.gov/api/xbrl/companyfacts/CIK0001658566.json</x:v>
      </x:c>
    </x:row>
    <x:row r="48">
      <x:c r="A48" s="237" t="n">
        <x:f>RANK(D48,$D$5:$D$121,0)</x:f>
        <x:v>44</x:v>
      </x:c>
      <x:c r="B48" s="236" t="str">
        <x:f>'Raw Inputs'!A66</x:f>
        <x:v>ACI</x:v>
      </x:c>
      <x:c r="C48" s="236" t="str">
        <x:f>'Raw Inputs'!B66</x:f>
        <x:v>Albertsons Cos. Inc.</x:v>
      </x:c>
      <x:c r="D48" s="238" t="n">
        <x:f>IF(COUNT('Raw Inputs'!AY66,'Raw Inputs'!BA66)=0,"",1+9*AVERAGE('Raw Inputs'!AY66,'Raw Inputs'!BA66))</x:f>
        <x:v>5.9593103448275855</x:v>
      </x:c>
      <x:c r="E48" s="268" t="n">
        <x:f>'Raw Inputs'!AX66</x:f>
        <x:v>0.000381227177760346</x:v>
      </x:c>
      <x:c r="F48" s="268" t="n">
        <x:f>'Raw Inputs'!AY66</x:f>
        <x:v>0.8620689655172413</x:v>
      </x:c>
      <x:c r="G48" s="268" t="n">
        <x:f>'Raw Inputs'!AZ66</x:f>
        <x:v>0.06873486592329078</x:v>
      </x:c>
      <x:c r="H48" s="268" t="n">
        <x:f>'Raw Inputs'!BA66</x:f>
        <x:v>0.24</x:v>
      </x:c>
      <x:c r="I48" s="236" t="str">
        <x:f>IF('Raw Inputs'!AC66,"Asset growth only","Asset growth + capex")</x:f>
        <x:v>Asset growth + capex</x:v>
      </x:c>
      <x:c r="J48" s="269" t="n">
        <x:f>'Raw Inputs'!T66</x:f>
        <x:v>46081</x:v>
      </x:c>
      <x:c r="K48" s="271" t="n">
        <x:f>'Raw Inputs'!BS66</x:f>
        <x:v>26755700000</x:v>
      </x:c>
      <x:c r="L48" s="271" t="n">
        <x:f>'Raw Inputs'!BR66</x:f>
        <x:v>26765900000</x:v>
      </x:c>
      <x:c r="M48" s="20" t="str">
        <x:f>'Raw Inputs'!CC66</x:f>
        <x:v>https://data.sec.gov/api/xbrl/companyfacts/CIK0001646972.json</x:v>
      </x:c>
    </x:row>
    <x:row r="49">
      <x:c r="A49" s="237" t="n">
        <x:f>RANK(D49,$D$5:$D$121,0)</x:f>
        <x:v>45</x:v>
      </x:c>
      <x:c r="B49" s="236" t="str">
        <x:f>'Raw Inputs'!A13</x:f>
        <x:v>PPC</x:v>
      </x:c>
      <x:c r="C49" s="236" t="str">
        <x:f>'Raw Inputs'!B13</x:f>
        <x:v>Pilgrim's Pride Corp.</x:v>
      </x:c>
      <x:c r="D49" s="238" t="n">
        <x:f>IF(COUNT('Raw Inputs'!AY13,'Raw Inputs'!BA13)=0,"",1+9*AVERAGE('Raw Inputs'!AY13,'Raw Inputs'!BA13))</x:f>
        <x:v>5.897241379310344</x:v>
      </x:c>
      <x:c r="E49" s="268" t="n">
        <x:f>'Raw Inputs'!AX13</x:f>
        <x:v>-0.028829051123619998</x:v>
      </x:c>
      <x:c r="F49" s="268" t="n">
        <x:f>'Raw Inputs'!AY13</x:f>
        <x:v>0.9482758620689655</x:v>
      </x:c>
      <x:c r="G49" s="268" t="n">
        <x:f>'Raw Inputs'!AZ13</x:f>
        <x:v>0.0815371704801338</x:v>
      </x:c>
      <x:c r="H49" s="268" t="n">
        <x:f>'Raw Inputs'!BA13</x:f>
        <x:v>0.14</x:v>
      </x:c>
      <x:c r="I49" s="236" t="str">
        <x:f>IF('Raw Inputs'!AC13,"Asset growth only","Asset growth + capex")</x:f>
        <x:v>Asset growth + capex</x:v>
      </x:c>
      <x:c r="J49" s="269" t="n">
        <x:f>'Raw Inputs'!T13</x:f>
        <x:v>46019</x:v>
      </x:c>
      <x:c r="K49" s="271" t="n">
        <x:f>'Raw Inputs'!BS13</x:f>
        <x:v>10650576000</x:v>
      </x:c>
      <x:c r="L49" s="271" t="n">
        <x:f>'Raw Inputs'!BR13</x:f>
        <x:v>10343530000</x:v>
      </x:c>
      <x:c r="M49" s="20" t="str">
        <x:f>'Raw Inputs'!CC13</x:f>
        <x:v>https://data.sec.gov/api/xbrl/companyfacts/CIK0000802481.json</x:v>
      </x:c>
    </x:row>
    <x:row r="50">
      <x:c r="A50" s="237" t="n">
        <x:f>RANK(D50,$D$5:$D$121,0)</x:f>
        <x:v>46</x:v>
      </x:c>
      <x:c r="B50" s="236" t="str">
        <x:f>'Raw Inputs'!A7</x:f>
        <x:v>RNR</x:v>
      </x:c>
      <x:c r="C50" s="236" t="str">
        <x:f>'Raw Inputs'!B7</x:f>
        <x:v>RenaissanceRe Holdings Ltd.</x:v>
      </x:c>
      <x:c r="D50" s="238" t="n">
        <x:f>IF(COUNT('Raw Inputs'!AY7,'Raw Inputs'!BA7)=0,"",1+9*AVERAGE('Raw Inputs'!AY7,'Raw Inputs'!BA7))</x:f>
        <x:v>5.887931034482759</x:v>
      </x:c>
      <x:c r="E50" s="268" t="n">
        <x:f>'Raw Inputs'!AX7</x:f>
        <x:v>0.06099367845616688</x:v>
      </x:c>
      <x:c r="F50" s="268" t="n">
        <x:f>'Raw Inputs'!AY7</x:f>
        <x:v>0.5431034482758621</x:v>
      </x:c>
      <x:c r="G50" s="268" t="n">
        <x:f>'Raw Inputs'!AZ7</x:f>
        <x:v>0</x:v>
      </x:c>
      <x:c r="H50" s="268" t="n">
        <x:f>'Raw Inputs'!BA7</x:f>
        <x:v>0</x:v>
      </x:c>
      <x:c r="I50" s="236" t="str">
        <x:f>IF('Raw Inputs'!AC7,"Asset growth only","Asset growth + capex")</x:f>
        <x:v>Asset growth only</x:v>
      </x:c>
      <x:c r="J50" s="269" t="n">
        <x:f>'Raw Inputs'!T7</x:f>
        <x:v>46022</x:v>
      </x:c>
      <x:c r="K50" s="271" t="n">
        <x:f>'Raw Inputs'!BS7</x:f>
        <x:v>50707550000</x:v>
      </x:c>
      <x:c r="L50" s="271" t="n">
        <x:f>'Raw Inputs'!BR7</x:f>
        <x:v>53800390000</x:v>
      </x:c>
      <x:c r="M50" s="20" t="str">
        <x:f>'Raw Inputs'!CC7</x:f>
        <x:v>https://data.sec.gov/api/xbrl/companyfacts/CIK0000913144.json</x:v>
      </x:c>
    </x:row>
    <x:row r="51">
      <x:c r="A51" s="237" t="n">
        <x:f>RANK(D51,$D$5:$D$121,0)</x:f>
        <x:v>47</x:v>
      </x:c>
      <x:c r="B51" s="236" t="str">
        <x:f>'Raw Inputs'!A56</x:f>
        <x:v>EA</x:v>
      </x:c>
      <x:c r="C51" s="236" t="str">
        <x:f>'Raw Inputs'!B56</x:f>
        <x:v>Electronic Arts Inc.</x:v>
      </x:c>
      <x:c r="D51" s="238" t="n">
        <x:f>IF(COUNT('Raw Inputs'!AY56,'Raw Inputs'!BA56)=0,"",1+9*AVERAGE('Raw Inputs'!AY56,'Raw Inputs'!BA56))</x:f>
        <x:v>5.732758620689655</x:v>
      </x:c>
      <x:c r="E51" s="268" t="n">
        <x:f>'Raw Inputs'!AX56</x:f>
        <x:v>0.06169146183699881</x:v>
      </x:c>
      <x:c r="F51" s="268" t="n">
        <x:f>'Raw Inputs'!AY56</x:f>
        <x:v>0.5258620689655172</x:v>
      </x:c>
      <x:c r="G51" s="268" t="n">
        <x:f>'Raw Inputs'!AZ56</x:f>
        <x:v>0</x:v>
      </x:c>
      <x:c r="H51" s="268" t="n">
        <x:f>'Raw Inputs'!BA56</x:f>
        <x:v>0</x:v>
      </x:c>
      <x:c r="I51" s="236" t="str">
        <x:f>IF('Raw Inputs'!AC56,"Asset growth only","Asset growth + capex")</x:f>
        <x:v>Asset growth + capex</x:v>
      </x:c>
      <x:c r="J51" s="269" t="n">
        <x:f>'Raw Inputs'!T56</x:f>
        <x:v>46112</x:v>
      </x:c>
      <x:c r="K51" s="271" t="n">
        <x:f>'Raw Inputs'!BS56</x:f>
        <x:v>12368000000</x:v>
      </x:c>
      <x:c r="L51" s="271" t="n">
        <x:f>'Raw Inputs'!BR56</x:f>
        <x:v>13131000000</x:v>
      </x:c>
      <x:c r="M51" s="20" t="str">
        <x:f>'Raw Inputs'!CC56</x:f>
        <x:v>https://data.sec.gov/api/xbrl/companyfacts/CIK0000712515.json</x:v>
      </x:c>
    </x:row>
    <x:row r="52">
      <x:c r="A52" s="237" t="n">
        <x:f>RANK(D52,$D$5:$D$121,0)</x:f>
        <x:v>48</x:v>
      </x:c>
      <x:c r="B52" s="236" t="str">
        <x:f>'Raw Inputs'!A16</x:f>
        <x:v>HIG</x:v>
      </x:c>
      <x:c r="C52" s="236" t="str">
        <x:f>'Raw Inputs'!B16</x:f>
        <x:v>The Hartford Insurance Group Inc.</x:v>
      </x:c>
      <x:c r="D52" s="238" t="n">
        <x:f>IF(COUNT('Raw Inputs'!AY16,'Raw Inputs'!BA16)=0,"",1+9*AVERAGE('Raw Inputs'!AY16,'Raw Inputs'!BA16))</x:f>
        <x:v>5.655172413793103</x:v>
      </x:c>
      <x:c r="E52" s="268" t="n">
        <x:f>'Raw Inputs'!AX16</x:f>
        <x:v>0.06278037989544849</x:v>
      </x:c>
      <x:c r="F52" s="268" t="n">
        <x:f>'Raw Inputs'!AY16</x:f>
        <x:v>0.5172413793103448</x:v>
      </x:c>
      <x:c r="G52" s="268" t="n">
        <x:f>'Raw Inputs'!AZ16</x:f>
        <x:v>0.0019411193788417987</x:v>
      </x:c>
      <x:c r="H52" s="268" t="n">
        <x:f>'Raw Inputs'!BA16</x:f>
        <x:v>0</x:v>
      </x:c>
      <x:c r="I52" s="236" t="str">
        <x:f>IF('Raw Inputs'!AC16,"Asset growth only","Asset growth + capex")</x:f>
        <x:v>Asset growth only</x:v>
      </x:c>
      <x:c r="J52" s="269" t="n">
        <x:f>'Raw Inputs'!T16</x:f>
        <x:v>46022</x:v>
      </x:c>
      <x:c r="K52" s="271" t="n">
        <x:f>'Raw Inputs'!BS16</x:f>
        <x:v>80917000000</x:v>
      </x:c>
      <x:c r="L52" s="271" t="n">
        <x:f>'Raw Inputs'!BR16</x:f>
        <x:v>85997000000</x:v>
      </x:c>
      <x:c r="M52" s="20" t="str">
        <x:f>'Raw Inputs'!CC16</x:f>
        <x:v>https://data.sec.gov/api/xbrl/companyfacts/CIK0000874766.json</x:v>
      </x:c>
    </x:row>
    <x:row r="53">
      <x:c r="A53" s="237" t="n">
        <x:f>RANK(D53,$D$5:$D$121,0)</x:f>
        <x:v>49</x:v>
      </x:c>
      <x:c r="B53" s="236" t="str">
        <x:f>'Raw Inputs'!A24</x:f>
        <x:v>VZ</x:v>
      </x:c>
      <x:c r="C53" s="236" t="str">
        <x:f>'Raw Inputs'!B24</x:f>
        <x:v>Verizon Communications Inc.</x:v>
      </x:c>
      <x:c r="D53" s="238" t="n">
        <x:f>IF(COUNT('Raw Inputs'!AY24,'Raw Inputs'!BA24)=0,"",1+9*AVERAGE('Raw Inputs'!AY24,'Raw Inputs'!BA24))</x:f>
        <x:v>5.625689655172414</x:v>
      </x:c>
      <x:c r="E53" s="268" t="n">
        <x:f>'Raw Inputs'!AX24</x:f>
        <x:v>0.0508095687412109</x:v>
      </x:c>
      <x:c r="F53" s="268" t="n">
        <x:f>'Raw Inputs'!AY24</x:f>
        <x:v>0.6379310344827587</x:v>
      </x:c>
      <x:c r="G53" s="268" t="n">
        <x:f>'Raw Inputs'!AZ24</x:f>
        <x:v>0.04300295702365999</x:v>
      </x:c>
      <x:c r="H53" s="268" t="n">
        <x:f>'Raw Inputs'!BA24</x:f>
        <x:v>0.39</x:v>
      </x:c>
      <x:c r="I53" s="236" t="str">
        <x:f>IF('Raw Inputs'!AC24,"Asset growth only","Asset growth + capex")</x:f>
        <x:v>Asset growth + capex</x:v>
      </x:c>
      <x:c r="J53" s="269" t="n">
        <x:f>'Raw Inputs'!T24</x:f>
        <x:v>46022</x:v>
      </x:c>
      <x:c r="K53" s="271" t="n">
        <x:f>'Raw Inputs'!BS24</x:f>
        <x:v>384711000000</x:v>
      </x:c>
      <x:c r="L53" s="271" t="n">
        <x:f>'Raw Inputs'!BR24</x:f>
        <x:v>404258000000</x:v>
      </x:c>
      <x:c r="M53" s="20" t="str">
        <x:f>'Raw Inputs'!CC24</x:f>
        <x:v>https://data.sec.gov/api/xbrl/companyfacts/CIK0000732712.json</x:v>
      </x:c>
    </x:row>
    <x:row r="54">
      <x:c r="A54" s="237" t="n">
        <x:f>RANK(D54,$D$5:$D$121,0)</x:f>
        <x:v>50</x:v>
      </x:c>
      <x:c r="B54" s="236" t="str">
        <x:f>'Raw Inputs'!A33</x:f>
        <x:v>WM</x:v>
      </x:c>
      <x:c r="C54" s="236" t="str">
        <x:f>'Raw Inputs'!B33</x:f>
        <x:v>Waste Management Inc.</x:v>
      </x:c>
      <x:c r="D54" s="238" t="n">
        <x:f>IF(COUNT('Raw Inputs'!AY33,'Raw Inputs'!BA33)=0,"",1+9*AVERAGE('Raw Inputs'!AY33,'Raw Inputs'!BA33))</x:f>
        <x:v>5.538793103448276</x:v>
      </x:c>
      <x:c r="E54" s="268" t="n">
        <x:f>'Raw Inputs'!AX33</x:f>
        <x:v>0.02845154486503465</x:v>
      </x:c>
      <x:c r="F54" s="268" t="n">
        <x:f>'Raw Inputs'!AY33</x:f>
        <x:v>0.7586206896551724</x:v>
      </x:c>
      <x:c r="G54" s="268" t="n">
        <x:f>'Raw Inputs'!AZ33</x:f>
        <x:v>0.0673878896484591</x:v>
      </x:c>
      <x:c r="H54" s="268" t="n">
        <x:f>'Raw Inputs'!BA33</x:f>
        <x:v>0.25</x:v>
      </x:c>
      <x:c r="I54" s="236" t="str">
        <x:f>IF('Raw Inputs'!AC33,"Asset growth only","Asset growth + capex")</x:f>
        <x:v>Asset growth + capex</x:v>
      </x:c>
      <x:c r="J54" s="269" t="n">
        <x:f>'Raw Inputs'!T33</x:f>
        <x:v>46022</x:v>
      </x:c>
      <x:c r="K54" s="271" t="n">
        <x:f>'Raw Inputs'!BS33</x:f>
        <x:v>44567000000</x:v>
      </x:c>
      <x:c r="L54" s="271" t="n">
        <x:f>'Raw Inputs'!BR33</x:f>
        <x:v>45835000000</x:v>
      </x:c>
      <x:c r="M54" s="20" t="str">
        <x:f>'Raw Inputs'!CC33</x:f>
        <x:v>https://data.sec.gov/api/xbrl/companyfacts/CIK0000823768.json</x:v>
      </x:c>
    </x:row>
    <x:row r="55">
      <x:c r="A55" s="237" t="n">
        <x:f>RANK(D55,$D$5:$D$121,0)</x:f>
        <x:v>51</x:v>
      </x:c>
      <x:c r="B55" s="236" t="str">
        <x:f>'Raw Inputs'!A83</x:f>
        <x:v>ABT</x:v>
      </x:c>
      <x:c r="C55" s="236" t="str">
        <x:f>'Raw Inputs'!B83</x:f>
        <x:v>Abbott Laboratories</x:v>
      </x:c>
      <x:c r="D55" s="238" t="n">
        <x:f>IF(COUNT('Raw Inputs'!AY83,'Raw Inputs'!BA83)=0,"",1+9*AVERAGE('Raw Inputs'!AY83,'Raw Inputs'!BA83))</x:f>
        <x:v>5.422413793103448</x:v>
      </x:c>
      <x:c r="E55" s="268" t="n">
        <x:f>'Raw Inputs'!AX83</x:f>
        <x:v>0.06508708575920608</x:v>
      </x:c>
      <x:c r="F55" s="268" t="n">
        <x:f>'Raw Inputs'!AY83</x:f>
        <x:v>0.48275862068965514</x:v>
      </x:c>
      <x:c r="G55" s="268" t="n">
        <x:f>'Raw Inputs'!AZ83</x:f>
        <x:v>0.024814574696509186</x:v>
      </x:c>
      <x:c r="H55" s="268" t="n">
        <x:f>'Raw Inputs'!BA83</x:f>
        <x:v>0.5</x:v>
      </x:c>
      <x:c r="I55" s="236" t="str">
        <x:f>IF('Raw Inputs'!AC83,"Asset growth only","Asset growth + capex")</x:f>
        <x:v>Asset growth + capex</x:v>
      </x:c>
      <x:c r="J55" s="269" t="n">
        <x:f>'Raw Inputs'!T83</x:f>
        <x:v>46022</x:v>
      </x:c>
      <x:c r="K55" s="271" t="n">
        <x:f>'Raw Inputs'!BS83</x:f>
        <x:v>81414000000</x:v>
      </x:c>
      <x:c r="L55" s="271" t="n">
        <x:f>'Raw Inputs'!BR83</x:f>
        <x:v>86713000000</x:v>
      </x:c>
      <x:c r="M55" s="20" t="str">
        <x:f>'Raw Inputs'!CC83</x:f>
        <x:v>https://data.sec.gov/api/xbrl/companyfacts/CIK0000001800.json</x:v>
      </x:c>
    </x:row>
    <x:row r="56">
      <x:c r="A56" s="237" t="n">
        <x:f>RANK(D56,$D$5:$D$121,0)</x:f>
        <x:v>52</x:v>
      </x:c>
      <x:c r="B56" s="236" t="str">
        <x:f>'Raw Inputs'!A40</x:f>
        <x:v>REGN</x:v>
      </x:c>
      <x:c r="C56" s="236" t="str">
        <x:f>'Raw Inputs'!B40</x:f>
        <x:v>Regeneron Pharmaceuticals Inc.</x:v>
      </x:c>
      <x:c r="D56" s="238" t="n">
        <x:f>IF(COUNT('Raw Inputs'!AY40,'Raw Inputs'!BA40)=0,"",1+9*AVERAGE('Raw Inputs'!AY40,'Raw Inputs'!BA40))</x:f>
        <x:v>5.408448275862069</x:v>
      </x:c>
      <x:c r="E56" s="268" t="n">
        <x:f>'Raw Inputs'!AX40</x:f>
        <x:v>0.07413518223276849</x:v>
      </x:c>
      <x:c r="F56" s="268" t="n">
        <x:f>'Raw Inputs'!AY40</x:f>
        <x:v>0.43965517241379315</x:v>
      </x:c>
      <x:c r="G56" s="268" t="n">
        <x:f>'Raw Inputs'!AZ40</x:f>
        <x:v>0.022975531837467967</x:v>
      </x:c>
      <x:c r="H56" s="268" t="n">
        <x:f>'Raw Inputs'!BA40</x:f>
        <x:v>0.54</x:v>
      </x:c>
      <x:c r="I56" s="236" t="str">
        <x:f>IF('Raw Inputs'!AC40,"Asset growth only","Asset growth + capex")</x:f>
        <x:v>Asset growth + capex</x:v>
      </x:c>
      <x:c r="J56" s="269" t="n">
        <x:f>'Raw Inputs'!T40</x:f>
        <x:v>46022</x:v>
      </x:c>
      <x:c r="K56" s="271" t="n">
        <x:f>'Raw Inputs'!BS40</x:f>
        <x:v>37759400000</x:v>
      </x:c>
      <x:c r="L56" s="271" t="n">
        <x:f>'Raw Inputs'!BR40</x:f>
        <x:v>40558700000</x:v>
      </x:c>
      <x:c r="M56" s="20" t="str">
        <x:f>'Raw Inputs'!CC40</x:f>
        <x:v>https://data.sec.gov/api/xbrl/companyfacts/CIK0000872589.json</x:v>
      </x:c>
    </x:row>
    <x:row r="57">
      <x:c r="A57" s="237" t="n">
        <x:f>RANK(D57,$D$5:$D$121,0)</x:f>
        <x:v>53</x:v>
      </x:c>
      <x:c r="B57" s="236" t="str">
        <x:f>'Raw Inputs'!A51</x:f>
        <x:v>INTU</x:v>
      </x:c>
      <x:c r="C57" s="236" t="str">
        <x:f>'Raw Inputs'!B51</x:f>
        <x:v>Intuit Inc.</x:v>
      </x:c>
      <x:c r="D57" s="238" t="n">
        <x:f>IF(COUNT('Raw Inputs'!AY51,'Raw Inputs'!BA51)=0,"",1+9*AVERAGE('Raw Inputs'!AY51,'Raw Inputs'!BA51))</x:f>
        <x:v>5.400689655172414</x:v>
      </x:c>
      <x:c r="E57" s="268" t="n">
        <x:f>'Raw Inputs'!AX51</x:f>
        <x:v>0.15019295406448396</x:v>
      </x:c>
      <x:c r="F57" s="268" t="n">
        <x:f>'Raw Inputs'!AY51</x:f>
        <x:v>0.13793103448275867</x:v>
      </x:c>
      <x:c r="G57" s="268" t="n">
        <x:f>'Raw Inputs'!AZ51</x:f>
        <x:v>0.003850050658561297</x:v>
      </x:c>
      <x:c r="H57" s="268" t="n">
        <x:f>'Raw Inputs'!BA51</x:f>
        <x:v>0.84</x:v>
      </x:c>
      <x:c r="I57" s="236" t="str">
        <x:f>IF('Raw Inputs'!AC51,"Asset growth only","Asset growth + capex")</x:f>
        <x:v>Asset growth + capex</x:v>
      </x:c>
      <x:c r="J57" s="269" t="n">
        <x:f>'Raw Inputs'!T51</x:f>
        <x:v>45869</x:v>
      </x:c>
      <x:c r="K57" s="271" t="n">
        <x:f>'Raw Inputs'!BS51</x:f>
        <x:v>32132000000</x:v>
      </x:c>
      <x:c r="L57" s="271" t="n">
        <x:f>'Raw Inputs'!BR51</x:f>
        <x:v>36958000000</x:v>
      </x:c>
      <x:c r="M57" s="20" t="str">
        <x:f>'Raw Inputs'!CC51</x:f>
        <x:v>https://data.sec.gov/api/xbrl/companyfacts/CIK0000896878.json</x:v>
      </x:c>
    </x:row>
    <x:row r="58">
      <x:c r="A58" s="237" t="n">
        <x:f>RANK(D58,$D$5:$D$121,0)</x:f>
        <x:v>54</x:v>
      </x:c>
      <x:c r="B58" s="236" t="str">
        <x:f>'Raw Inputs'!A34</x:f>
        <x:v>HSY</x:v>
      </x:c>
      <x:c r="C58" s="236" t="str">
        <x:f>'Raw Inputs'!B34</x:f>
        <x:v>The Hershey Co.</x:v>
      </x:c>
      <x:c r="D58" s="238" t="n">
        <x:f>IF(COUNT('Raw Inputs'!AY34,'Raw Inputs'!BA34)=0,"",1+9*AVERAGE('Raw Inputs'!AY34,'Raw Inputs'!BA34))</x:f>
        <x:v>5.385172413793104</x:v>
      </x:c>
      <x:c r="E58" s="268" t="n">
        <x:f>'Raw Inputs'!AX34</x:f>
        <x:v>0.06136128286230935</x:v>
      </x:c>
      <x:c r="F58" s="268" t="n">
        <x:f>'Raw Inputs'!AY34</x:f>
        <x:v>0.5344827586206897</x:v>
      </x:c>
      <x:c r="G58" s="268" t="n">
        <x:f>'Raw Inputs'!AZ34</x:f>
        <x:v>0.031751385764427806</x:v>
      </x:c>
      <x:c r="H58" s="268" t="n">
        <x:f>'Raw Inputs'!BA34</x:f>
        <x:v>0.43999999999999995</x:v>
      </x:c>
      <x:c r="I58" s="236" t="str">
        <x:f>IF('Raw Inputs'!AC34,"Asset growth only","Asset growth + capex")</x:f>
        <x:v>Asset growth + capex</x:v>
      </x:c>
      <x:c r="J58" s="269" t="n">
        <x:f>'Raw Inputs'!T34</x:f>
        <x:v>46022</x:v>
      </x:c>
      <x:c r="K58" s="271" t="n">
        <x:f>'Raw Inputs'!BS34</x:f>
        <x:v>12946861000</x:v>
      </x:c>
      <x:c r="L58" s="271" t="n">
        <x:f>'Raw Inputs'!BR34</x:f>
        <x:v>13741297000</x:v>
      </x:c>
      <x:c r="M58" s="20" t="str">
        <x:f>'Raw Inputs'!CC34</x:f>
        <x:v>https://data.sec.gov/api/xbrl/companyfacts/CIK0000047111.json</x:v>
      </x:c>
    </x:row>
    <x:row r="59">
      <x:c r="A59" s="237" t="n">
        <x:f>RANK(D59,$D$5:$D$121,0)</x:f>
        <x:v>55</x:v>
      </x:c>
      <x:c r="B59" s="236" t="str">
        <x:f>'Raw Inputs'!A76</x:f>
        <x:v>TMUS</x:v>
      </x:c>
      <x:c r="C59" s="236" t="str">
        <x:f>'Raw Inputs'!B76</x:f>
        <x:v>T-Mobile US Inc.</x:v>
      </x:c>
      <x:c r="D59" s="238" t="n">
        <x:f>IF(COUNT('Raw Inputs'!AY76,'Raw Inputs'!BA76)=0,"",1+9*AVERAGE('Raw Inputs'!AY76,'Raw Inputs'!BA76))</x:f>
        <x:v>5.3743103448275855</x:v>
      </x:c>
      <x:c r="E59" s="268" t="n">
        <x:f>'Raw Inputs'!AX76</x:f>
        <x:v>0.05384670848655282</x:v>
      </x:c>
      <x:c r="F59" s="268" t="n">
        <x:f>'Raw Inputs'!AY76</x:f>
        <x:v>0.6120689655172413</x:v>
      </x:c>
      <x:c r="G59" s="268" t="n">
        <x:f>'Raw Inputs'!AZ76</x:f>
        <x:v>0.04740305940946282</x:v>
      </x:c>
      <x:c r="H59" s="268" t="n">
        <x:f>'Raw Inputs'!BA76</x:f>
        <x:v>0.36</x:v>
      </x:c>
      <x:c r="I59" s="236" t="str">
        <x:f>IF('Raw Inputs'!AC76,"Asset growth only","Asset growth + capex")</x:f>
        <x:v>Asset growth + capex</x:v>
      </x:c>
      <x:c r="J59" s="269" t="n">
        <x:f>'Raw Inputs'!T76</x:f>
        <x:v>46022</x:v>
      </x:c>
      <x:c r="K59" s="271" t="n">
        <x:f>'Raw Inputs'!BS76</x:f>
        <x:v>208035000000</x:v>
      </x:c>
      <x:c r="L59" s="271" t="n">
        <x:f>'Raw Inputs'!BR76</x:f>
        <x:v>219237000000</x:v>
      </x:c>
      <x:c r="M59" s="20" t="str">
        <x:f>'Raw Inputs'!CC76</x:f>
        <x:v>https://data.sec.gov/api/xbrl/companyfacts/CIK0001283699.json</x:v>
      </x:c>
    </x:row>
    <x:row r="60">
      <x:c r="A60" s="237" t="n">
        <x:f>RANK(D60,$D$5:$D$121,0)</x:f>
        <x:v>56</x:v>
      </x:c>
      <x:c r="B60" s="236" t="str">
        <x:f>'Raw Inputs'!A35</x:f>
        <x:v>AR</x:v>
      </x:c>
      <x:c r="C60" s="236" t="str">
        <x:f>'Raw Inputs'!B35</x:f>
        <x:v>Antero Resources Corp.</x:v>
      </x:c>
      <x:c r="D60" s="238" t="n">
        <x:f>IF(COUNT('Raw Inputs'!AY35,'Raw Inputs'!BA35)=0,"",1+9*AVERAGE('Raw Inputs'!AY35,'Raw Inputs'!BA35))</x:f>
        <x:v>5.192758620689655</x:v>
      </x:c>
      <x:c r="E60" s="268" t="n">
        <x:f>'Raw Inputs'!AX35</x:f>
        <x:v>0.018090399345121577</x:v>
      </x:c>
      <x:c r="F60" s="268" t="n">
        <x:f>'Raw Inputs'!AY35</x:f>
        <x:v>0.8017241379310345</x:v>
      </x:c>
      <x:c r="G60" s="268" t="n">
        <x:f>'Raw Inputs'!AZ35</x:f>
        <x:v>0.08222344025472494</x:v>
      </x:c>
      <x:c r="H60" s="268" t="n">
        <x:f>'Raw Inputs'!BA35</x:f>
        <x:v>0.13</x:v>
      </x:c>
      <x:c r="I60" s="236" t="str">
        <x:f>IF('Raw Inputs'!AC35,"Asset growth only","Asset growth + capex")</x:f>
        <x:v>Asset growth + capex</x:v>
      </x:c>
      <x:c r="J60" s="269" t="n">
        <x:f>'Raw Inputs'!T35</x:f>
        <x:v>46022</x:v>
      </x:c>
      <x:c r="K60" s="271" t="n">
        <x:f>'Raw Inputs'!BS35</x:f>
        <x:v>13010050000</x:v>
      </x:c>
      <x:c r="L60" s="271" t="n">
        <x:f>'Raw Inputs'!BR35</x:f>
        <x:v>13245407000</x:v>
      </x:c>
      <x:c r="M60" s="20" t="str">
        <x:f>'Raw Inputs'!CC35</x:f>
        <x:v>https://data.sec.gov/api/xbrl/companyfacts/CIK0001433270.json</x:v>
      </x:c>
    </x:row>
    <x:row r="61">
      <x:c r="A61" s="237" t="n">
        <x:f>RANK(D61,$D$5:$D$121,0)</x:f>
        <x:v>57</x:v>
      </x:c>
      <x:c r="B61" s="236" t="str">
        <x:f>'Raw Inputs'!A26</x:f>
        <x:v>ORI</x:v>
      </x:c>
      <x:c r="C61" s="236" t="str">
        <x:f>'Raw Inputs'!B26</x:f>
        <x:v>Old Republic International Corp.</x:v>
      </x:c>
      <x:c r="D61" s="238" t="n">
        <x:f>IF(COUNT('Raw Inputs'!AY26,'Raw Inputs'!BA26)=0,"",1+9*AVERAGE('Raw Inputs'!AY26,'Raw Inputs'!BA26))</x:f>
        <x:v>5.189655172413794</x:v>
      </x:c>
      <x:c r="E61" s="268" t="n">
        <x:f>'Raw Inputs'!AX26</x:f>
        <x:v>0.07253502663137357</x:v>
      </x:c>
      <x:c r="F61" s="268" t="n">
        <x:f>'Raw Inputs'!AY26</x:f>
        <x:v>0.4655172413793104</x:v>
      </x:c>
      <x:c r="G61" s="268" t="n">
        <x:f>'Raw Inputs'!AZ26</x:f>
        <x:v>0</x:v>
      </x:c>
      <x:c r="H61" s="268" t="n">
        <x:f>'Raw Inputs'!BA26</x:f>
        <x:v>0</x:v>
      </x:c>
      <x:c r="I61" s="236" t="str">
        <x:f>IF('Raw Inputs'!AC26,"Asset growth only","Asset growth + capex")</x:f>
        <x:v>Asset growth only</x:v>
      </x:c>
      <x:c r="J61" s="269" t="n">
        <x:f>'Raw Inputs'!T26</x:f>
        <x:v>46022</x:v>
      </x:c>
      <x:c r="K61" s="271" t="n">
        <x:f>'Raw Inputs'!BS26</x:f>
        <x:v>27843100000</x:v>
      </x:c>
      <x:c r="L61" s="271" t="n">
        <x:f>'Raw Inputs'!BR26</x:f>
        <x:v>29862700000</x:v>
      </x:c>
      <x:c r="M61" s="20" t="str">
        <x:f>'Raw Inputs'!CC26</x:f>
        <x:v>https://data.sec.gov/api/xbrl/companyfacts/CIK0000074260.json</x:v>
      </x:c>
    </x:row>
    <x:row r="62">
      <x:c r="A62" s="237" t="n">
        <x:f>RANK(D62,$D$5:$D$121,0)</x:f>
        <x:v>58</x:v>
      </x:c>
      <x:c r="B62" s="236" t="str">
        <x:f>'Raw Inputs'!A86</x:f>
        <x:v>ED</x:v>
      </x:c>
      <x:c r="C62" s="236" t="str">
        <x:f>'Raw Inputs'!B86</x:f>
        <x:v>Consolidated Edison Inc.</x:v>
      </x:c>
      <x:c r="D62" s="238" t="n">
        <x:f>IF(COUNT('Raw Inputs'!AY86,'Raw Inputs'!BA86)=0,"",1+9*AVERAGE('Raw Inputs'!AY86,'Raw Inputs'!BA86))</x:f>
        <x:v>5.077931034482758</x:v>
      </x:c>
      <x:c r="E62" s="268" t="n">
        <x:f>'Raw Inputs'!AX86</x:f>
        <x:v>0.05726878489838727</x:v>
      </x:c>
      <x:c r="F62" s="268" t="n">
        <x:f>'Raw Inputs'!AY86</x:f>
        <x:v>0.5862068965517242</x:v>
      </x:c>
      <x:c r="G62" s="268" t="n">
        <x:f>'Raw Inputs'!AZ86</x:f>
        <x:v>0.05064581682912548</x:v>
      </x:c>
      <x:c r="H62" s="268" t="n">
        <x:f>'Raw Inputs'!BA86</x:f>
        <x:v>0.31999999999999995</x:v>
      </x:c>
      <x:c r="I62" s="236" t="str">
        <x:f>IF('Raw Inputs'!AC86,"Asset growth only","Asset growth + capex")</x:f>
        <x:v>Asset growth + capex</x:v>
      </x:c>
      <x:c r="J62" s="269" t="n">
        <x:f>'Raw Inputs'!T86</x:f>
        <x:v>46022</x:v>
      </x:c>
      <x:c r="K62" s="271" t="n">
        <x:f>'Raw Inputs'!BS86</x:f>
        <x:v>70562000000</x:v>
      </x:c>
      <x:c r="L62" s="271" t="n">
        <x:f>'Raw Inputs'!BR86</x:f>
        <x:v>74603000000</x:v>
      </x:c>
      <x:c r="M62" s="20" t="str">
        <x:f>'Raw Inputs'!CC86</x:f>
        <x:v>https://data.sec.gov/api/xbrl/companyfacts/CIK0001047862.json</x:v>
      </x:c>
    </x:row>
    <x:row r="63">
      <x:c r="A63" s="237" t="n">
        <x:f>RANK(D63,$D$5:$D$121,0)</x:f>
        <x:v>59</x:v>
      </x:c>
      <x:c r="B63" s="236" t="str">
        <x:f>'Raw Inputs'!A4</x:f>
        <x:v>ALL</x:v>
      </x:c>
      <x:c r="C63" s="236" t="str">
        <x:f>'Raw Inputs'!B4</x:f>
        <x:v>The Allstate Corp.</x:v>
      </x:c>
      <x:c r="D63" s="238" t="n">
        <x:f>IF(COUNT('Raw Inputs'!AY4,'Raw Inputs'!BA4)=0,"",1+9*AVERAGE('Raw Inputs'!AY4,'Raw Inputs'!BA4))</x:f>
        <x:v>5.0344827586206895</x:v>
      </x:c>
      <x:c r="E63" s="268" t="n">
        <x:f>'Raw Inputs'!AX4</x:f>
        <x:v>0.07293691821138348</x:v>
      </x:c>
      <x:c r="F63" s="268" t="n">
        <x:f>'Raw Inputs'!AY4</x:f>
        <x:v>0.4482758620689655</x:v>
      </x:c>
      <x:c r="G63" s="268" t="n">
        <x:f>'Raw Inputs'!AZ4</x:f>
        <x:v>0.0015213398163155052</x:v>
      </x:c>
      <x:c r="H63" s="268" t="n">
        <x:f>'Raw Inputs'!BA4</x:f>
        <x:v>0</x:v>
      </x:c>
      <x:c r="I63" s="236" t="str">
        <x:f>IF('Raw Inputs'!AC4,"Asset growth only","Asset growth + capex")</x:f>
        <x:v>Asset growth only</x:v>
      </x:c>
      <x:c r="J63" s="269" t="n">
        <x:f>'Raw Inputs'!T4</x:f>
        <x:v>46022</x:v>
      </x:c>
      <x:c r="K63" s="271" t="n">
        <x:f>'Raw Inputs'!BS4</x:f>
        <x:v>111617000000</x:v>
      </x:c>
      <x:c r="L63" s="271" t="n">
        <x:f>'Raw Inputs'!BR4</x:f>
        <x:v>119758000000</x:v>
      </x:c>
      <x:c r="M63" s="20" t="str">
        <x:f>'Raw Inputs'!CC4</x:f>
        <x:v>https://data.sec.gov/api/xbrl/companyfacts/CIK0000899051.json</x:v>
      </x:c>
    </x:row>
    <x:row r="64">
      <x:c r="A64" s="237" t="n">
        <x:f>RANK(D64,$D$5:$D$121,0)</x:f>
        <x:v>60</x:v>
      </x:c>
      <x:c r="B64" s="236" t="str">
        <x:f>'Raw Inputs'!A65</x:f>
        <x:v>COR</x:v>
      </x:c>
      <x:c r="C64" s="236" t="str">
        <x:f>'Raw Inputs'!B65</x:f>
        <x:v>Cencora Inc.</x:v>
      </x:c>
      <x:c r="D64" s="238" t="n">
        <x:f>IF(COUNT('Raw Inputs'!AY65,'Raw Inputs'!BA65)=0,"",1+9*AVERAGE('Raw Inputs'!AY65,'Raw Inputs'!BA65))</x:f>
        <x:v>5.028275862068965</x:v>
      </x:c>
      <x:c r="E64" s="268" t="n">
        <x:f>'Raw Inputs'!AX65</x:f>
        <x:v>0.14140401310745387</x:v>
      </x:c>
      <x:c r="F64" s="268" t="n">
        <x:f>'Raw Inputs'!AY65</x:f>
        <x:v>0.15517241379310343</x:v>
      </x:c>
      <x:c r="G64" s="268" t="n">
        <x:f>'Raw Inputs'!AZ65</x:f>
        <x:v>0.009993918997968561</x:v>
      </x:c>
      <x:c r="H64" s="268" t="n">
        <x:f>'Raw Inputs'!BA65</x:f>
        <x:v>0.74</x:v>
      </x:c>
      <x:c r="I64" s="236" t="str">
        <x:f>IF('Raw Inputs'!AC65,"Asset growth only","Asset growth + capex")</x:f>
        <x:v>Asset growth + capex</x:v>
      </x:c>
      <x:c r="J64" s="269" t="n">
        <x:f>'Raw Inputs'!T65</x:f>
        <x:v>45930</x:v>
      </x:c>
      <x:c r="K64" s="271" t="n">
        <x:f>'Raw Inputs'!BS65</x:f>
        <x:v>67101667000</x:v>
      </x:c>
      <x:c r="L64" s="271" t="n">
        <x:f>'Raw Inputs'!BR65</x:f>
        <x:v>76590112000</x:v>
      </x:c>
      <x:c r="M64" s="20" t="str">
        <x:f>'Raw Inputs'!CC65</x:f>
        <x:v>https://data.sec.gov/api/xbrl/companyfacts/CIK0001140859.json</x:v>
      </x:c>
    </x:row>
    <x:row r="65">
      <x:c r="A65" s="237" t="n">
        <x:f>RANK(D65,$D$5:$D$121,0)</x:f>
        <x:v>61</x:v>
      </x:c>
      <x:c r="B65" s="236" t="str">
        <x:f>'Raw Inputs'!A80</x:f>
        <x:v>LMT</x:v>
      </x:c>
      <x:c r="C65" s="236" t="str">
        <x:f>'Raw Inputs'!B80</x:f>
        <x:v>Lockheed Martin Corp.</x:v>
      </x:c>
      <x:c r="D65" s="238" t="n">
        <x:f>IF(COUNT('Raw Inputs'!AY80,'Raw Inputs'!BA80)=0,"",1+9*AVERAGE('Raw Inputs'!AY80,'Raw Inputs'!BA80))</x:f>
        <x:v>4.932068965517241</x:v>
      </x:c>
      <x:c r="E65" s="268" t="n">
        <x:f>'Raw Inputs'!AX80</x:f>
        <x:v>0.07593002139633565</x:v>
      </x:c>
      <x:c r="F65" s="268" t="n">
        <x:f>'Raw Inputs'!AY80</x:f>
        <x:v>0.4137931034482759</x:v>
      </x:c>
      <x:c r="G65" s="268" t="n">
        <x:f>'Raw Inputs'!AZ80</x:f>
        <x:v>0.029552127631932233</x:v>
      </x:c>
      <x:c r="H65" s="268" t="n">
        <x:f>'Raw Inputs'!BA80</x:f>
        <x:v>0.45999999999999996</x:v>
      </x:c>
      <x:c r="I65" s="236" t="str">
        <x:f>IF('Raw Inputs'!AC80,"Asset growth only","Asset growth + capex")</x:f>
        <x:v>Asset growth + capex</x:v>
      </x:c>
      <x:c r="J65" s="269" t="n">
        <x:f>'Raw Inputs'!T80</x:f>
        <x:v>46022</x:v>
      </x:c>
      <x:c r="K65" s="271" t="n">
        <x:f>'Raw Inputs'!BS80</x:f>
        <x:v>55617000000</x:v>
      </x:c>
      <x:c r="L65" s="271" t="n">
        <x:f>'Raw Inputs'!BR80</x:f>
        <x:v>59840000000</x:v>
      </x:c>
      <x:c r="M65" s="20" t="str">
        <x:f>'Raw Inputs'!CC80</x:f>
        <x:v>https://data.sec.gov/api/xbrl/companyfacts/CIK0000936468.json</x:v>
      </x:c>
    </x:row>
    <x:row r="66">
      <x:c r="A66" s="237" t="n">
        <x:f>RANK(D66,$D$5:$D$121,0)</x:f>
        <x:v>62</x:v>
      </x:c>
      <x:c r="B66" s="236" t="str">
        <x:f>'Raw Inputs'!A9</x:f>
        <x:v>CF</x:v>
      </x:c>
      <x:c r="C66" s="236" t="str">
        <x:f>'Raw Inputs'!B9</x:f>
        <x:v>CF Industries Holdings Inc.</x:v>
      </x:c>
      <x:c r="D66" s="238" t="n">
        <x:f>IF(COUNT('Raw Inputs'!AY9,'Raw Inputs'!BA9)=0,"",1+9*AVERAGE('Raw Inputs'!AY9,'Raw Inputs'!BA9))</x:f>
        <x:v>4.919655172413792</x:v>
      </x:c>
      <x:c r="E66" s="268" t="n">
        <x:f>'Raw Inputs'!AX9</x:f>
        <x:v>0.046190405465617035</x:v>
      </x:c>
      <x:c r="F66" s="268" t="n">
        <x:f>'Raw Inputs'!AY9</x:f>
        <x:v>0.6810344827586207</x:v>
      </x:c>
      <x:c r="G66" s="268" t="n">
        <x:f>'Raw Inputs'!AZ9</x:f>
        <x:v>0.07556071713725775</x:v>
      </x:c>
      <x:c r="H66" s="268" t="n">
        <x:f>'Raw Inputs'!BA9</x:f>
        <x:v>0.18999999999999995</x:v>
      </x:c>
      <x:c r="I66" s="236" t="str">
        <x:f>IF('Raw Inputs'!AC9,"Asset growth only","Asset growth + capex")</x:f>
        <x:v>Asset growth + capex</x:v>
      </x:c>
      <x:c r="J66" s="269" t="n">
        <x:f>'Raw Inputs'!T9</x:f>
        <x:v>46022</x:v>
      </x:c>
      <x:c r="K66" s="271" t="n">
        <x:f>'Raw Inputs'!BS9</x:f>
        <x:v>13466000000</x:v>
      </x:c>
      <x:c r="L66" s="271" t="n">
        <x:f>'Raw Inputs'!BR9</x:f>
        <x:v>14088000000</x:v>
      </x:c>
      <x:c r="M66" s="20" t="str">
        <x:f>'Raw Inputs'!CC9</x:f>
        <x:v>https://data.sec.gov/api/xbrl/companyfacts/CIK0001324404.json</x:v>
      </x:c>
    </x:row>
    <x:row r="67">
      <x:c r="A67" s="237" t="n">
        <x:f>RANK(D67,$D$5:$D$121,0)</x:f>
        <x:v>63</x:v>
      </x:c>
      <x:c r="B67" s="236" t="str">
        <x:f>'Raw Inputs'!A110</x:f>
        <x:v>WTRG</x:v>
      </x:c>
      <x:c r="C67" s="236" t="str">
        <x:f>'Raw Inputs'!B110</x:f>
        <x:v>Essential Utilities Inc.</x:v>
      </x:c>
      <x:c r="D67" s="238" t="n">
        <x:f>IF(COUNT('Raw Inputs'!AY110,'Raw Inputs'!BA110)=0,"",1+9*AVERAGE('Raw Inputs'!AY110,'Raw Inputs'!BA110))</x:f>
        <x:v>4.873103448275862</x:v>
      </x:c>
      <x:c r="E67" s="268" t="n">
        <x:f>'Raw Inputs'!AX110</x:f>
        <x:v>0.07978735148159766</x:v>
      </x:c>
      <x:c r="F67" s="268" t="n">
        <x:f>'Raw Inputs'!AY110</x:f>
        <x:v>0.3706896551724138</x:v>
      </x:c>
      <x:c r="G67" s="268" t="n">
        <x:f>'Raw Inputs'!AZ110</x:f>
        <x:v>0.026445372177229236</x:v>
      </x:c>
      <x:c r="H67" s="268" t="n">
        <x:f>'Raw Inputs'!BA110</x:f>
        <x:v>0.49</x:v>
      </x:c>
      <x:c r="I67" s="236" t="str">
        <x:f>IF('Raw Inputs'!AC110,"Asset growth only","Asset growth + capex")</x:f>
        <x:v>Asset growth + capex</x:v>
      </x:c>
      <x:c r="J67" s="269" t="n">
        <x:f>'Raw Inputs'!T110</x:f>
        <x:v>46022</x:v>
      </x:c>
      <x:c r="K67" s="271" t="n">
        <x:f>'Raw Inputs'!BS110</x:f>
        <x:v>18026554000</x:v>
      </x:c>
      <x:c r="L67" s="271" t="n">
        <x:f>'Raw Inputs'!BR110</x:f>
        <x:v>19464845000</x:v>
      </x:c>
      <x:c r="M67" s="20" t="str">
        <x:f>'Raw Inputs'!CC110</x:f>
        <x:v>https://data.sec.gov/api/xbrl/companyfacts/CIK0000078128.json</x:v>
      </x:c>
    </x:row>
    <x:row r="68">
      <x:c r="A68" s="237" t="n">
        <x:f>RANK(D68,$D$5:$D$121,0)</x:f>
        <x:v>64</x:v>
      </x:c>
      <x:c r="B68" s="236" t="str">
        <x:f>'Raw Inputs'!A69</x:f>
        <x:v>FCFS</x:v>
      </x:c>
      <x:c r="C68" s="236" t="str">
        <x:f>'Raw Inputs'!B69</x:f>
        <x:v>FirstCash Holdings Inc.</x:v>
      </x:c>
      <x:c r="D68" s="238" t="n">
        <x:f>IF(COUNT('Raw Inputs'!AY69,'Raw Inputs'!BA69)=0,"",1+9*AVERAGE('Raw Inputs'!AY69,'Raw Inputs'!BA69))</x:f>
        <x:v>4.852931034482758</x:v>
      </x:c>
      <x:c r="E68" s="268" t="n">
        <x:f>'Raw Inputs'!AX69</x:f>
        <x:v>0.18400258566812577</x:v>
      </x:c>
      <x:c r="F68" s="268" t="n">
        <x:f>'Raw Inputs'!AY69</x:f>
        <x:v>0.08620689655172409</x:v>
      </x:c>
      <x:c r="G68" s="268" t="n">
        <x:f>'Raw Inputs'!AZ69</x:f>
        <x:v>0.00906364031230501</x:v>
      </x:c>
      <x:c r="H68" s="268" t="n">
        <x:f>'Raw Inputs'!BA69</x:f>
        <x:v>0.77</x:v>
      </x:c>
      <x:c r="I68" s="236" t="str">
        <x:f>IF('Raw Inputs'!AC69,"Asset growth only","Asset growth + capex")</x:f>
        <x:v>Asset growth + capex</x:v>
      </x:c>
      <x:c r="J68" s="269" t="n">
        <x:f>'Raw Inputs'!T69</x:f>
        <x:v>46022</x:v>
      </x:c>
      <x:c r="K68" s="271" t="n">
        <x:f>'Raw Inputs'!BS69</x:f>
        <x:v>4476986000</x:v>
      </x:c>
      <x:c r="L68" s="271" t="n">
        <x:f>'Raw Inputs'!BR69</x:f>
        <x:v>5300763000</x:v>
      </x:c>
      <x:c r="M68" s="20" t="str">
        <x:f>'Raw Inputs'!CC69</x:f>
        <x:v>https://data.sec.gov/api/xbrl/companyfacts/CIK0000840489.json</x:v>
      </x:c>
    </x:row>
    <x:row r="69">
      <x:c r="A69" s="237" t="n">
        <x:f>RANK(D69,$D$5:$D$121,0)</x:f>
        <x:v>65</x:v>
      </x:c>
      <x:c r="B69" s="236" t="str">
        <x:f>'Raw Inputs'!A96</x:f>
        <x:v>RSG</x:v>
      </x:c>
      <x:c r="C69" s="236" t="str">
        <x:f>'Raw Inputs'!B96</x:f>
        <x:v>Republic Services Inc.</x:v>
      </x:c>
      <x:c r="D69" s="238" t="n">
        <x:f>IF(COUNT('Raw Inputs'!AY96,'Raw Inputs'!BA96)=0,"",1+9*AVERAGE('Raw Inputs'!AY96,'Raw Inputs'!BA96))</x:f>
        <x:v>4.787758620689655</x:v>
      </x:c>
      <x:c r="E69" s="268" t="n">
        <x:f>'Raw Inputs'!AX96</x:f>
        <x:v>0.060613542373927576</x:v>
      </x:c>
      <x:c r="F69" s="268" t="n">
        <x:f>'Raw Inputs'!AY96</x:f>
        <x:v>0.5517241379310345</x:v>
      </x:c>
      <x:c r="G69" s="268" t="n">
        <x:f>'Raw Inputs'!AZ96</x:f>
        <x:v>0.057033309369757965</x:v>
      </x:c>
      <x:c r="H69" s="268" t="n">
        <x:f>'Raw Inputs'!BA96</x:f>
        <x:v>0.29000000000000004</x:v>
      </x:c>
      <x:c r="I69" s="236" t="str">
        <x:f>IF('Raw Inputs'!AC96,"Asset growth only","Asset growth + capex")</x:f>
        <x:v>Asset growth + capex</x:v>
      </x:c>
      <x:c r="J69" s="269" t="n">
        <x:f>'Raw Inputs'!T96</x:f>
        <x:v>46022</x:v>
      </x:c>
      <x:c r="K69" s="271" t="n">
        <x:f>'Raw Inputs'!BS96</x:f>
        <x:v>32402000000</x:v>
      </x:c>
      <x:c r="L69" s="271" t="n">
        <x:f>'Raw Inputs'!BR96</x:f>
        <x:v>34366000000</x:v>
      </x:c>
      <x:c r="M69" s="20" t="str">
        <x:f>'Raw Inputs'!CC96</x:f>
        <x:v>https://data.sec.gov/api/xbrl/companyfacts/CIK0001060391.json</x:v>
      </x:c>
    </x:row>
    <x:row r="70">
      <x:c r="A70" s="237" t="n">
        <x:f>RANK(D70,$D$5:$D$121,0)</x:f>
        <x:v>66</x:v>
      </x:c>
      <x:c r="B70" s="236" t="str">
        <x:f>'Raw Inputs'!A108</x:f>
        <x:v>DUK</x:v>
      </x:c>
      <x:c r="C70" s="236" t="str">
        <x:f>'Raw Inputs'!B108</x:f>
        <x:v>Duke Energy Corp.</x:v>
      </x:c>
      <x:c r="D70" s="238" t="n">
        <x:f>IF(COUNT('Raw Inputs'!AY108,'Raw Inputs'!BA108)=0,"",1+9*AVERAGE('Raw Inputs'!AY108,'Raw Inputs'!BA108))</x:f>
        <x:v>4.758275862068966</x:v>
      </x:c>
      <x:c r="E70" s="268" t="n">
        <x:f>'Raw Inputs'!AX108</x:f>
        <x:v>0.05040704507279581</x:v>
      </x:c>
      <x:c r="F70" s="268" t="n">
        <x:f>'Raw Inputs'!AY108</x:f>
        <x:v>0.6551724137931034</x:v>
      </x:c>
      <x:c r="G70" s="268" t="n">
        <x:f>'Raw Inputs'!AZ108</x:f>
        <x:v>0.07832935073636604</x:v>
      </x:c>
      <x:c r="H70" s="268" t="n">
        <x:f>'Raw Inputs'!BA108</x:f>
        <x:v>0.18000000000000005</x:v>
      </x:c>
      <x:c r="I70" s="236" t="str">
        <x:f>IF('Raw Inputs'!AC108,"Asset growth only","Asset growth + capex")</x:f>
        <x:v>Asset growth + capex</x:v>
      </x:c>
      <x:c r="J70" s="269" t="n">
        <x:f>'Raw Inputs'!T108</x:f>
        <x:v>46022</x:v>
      </x:c>
      <x:c r="K70" s="271" t="n">
        <x:f>'Raw Inputs'!BS108</x:f>
        <x:v>186343000000</x:v>
      </x:c>
      <x:c r="L70" s="271" t="n">
        <x:f>'Raw Inputs'!BR108</x:f>
        <x:v>195736000000</x:v>
      </x:c>
      <x:c r="M70" s="20" t="str">
        <x:f>'Raw Inputs'!CC108</x:f>
        <x:v>https://data.sec.gov/api/xbrl/companyfacts/CIK0001326160.json</x:v>
      </x:c>
    </x:row>
    <x:row r="71">
      <x:c r="A71" s="237" t="n">
        <x:f>RANK(D71,$D$5:$D$121,0)</x:f>
        <x:v>67</x:v>
      </x:c>
      <x:c r="B71" s="236" t="str">
        <x:f>'Raw Inputs'!A8</x:f>
        <x:v>TRV</x:v>
      </x:c>
      <x:c r="C71" s="236" t="str">
        <x:f>'Raw Inputs'!B8</x:f>
        <x:v>The Travelers Cos. Inc.</x:v>
      </x:c>
      <x:c r="D71" s="238" t="n">
        <x:f>IF(COUNT('Raw Inputs'!AY8,'Raw Inputs'!BA8)=0,"",1+9*AVERAGE('Raw Inputs'!AY8,'Raw Inputs'!BA8))</x:f>
        <x:v>4.568965517241379</x:v>
      </x:c>
      <x:c r="E71" s="268" t="n">
        <x:f>'Raw Inputs'!AX8</x:f>
        <x:v>0.0789779936781565</x:v>
      </x:c>
      <x:c r="F71" s="268" t="n">
        <x:f>'Raw Inputs'!AY8</x:f>
        <x:v>0.39655172413793105</x:v>
      </x:c>
      <x:c r="G71" s="268" t="n">
        <x:f>'Raw Inputs'!AZ8</x:f>
        <x:v>0</x:v>
      </x:c>
      <x:c r="H71" s="268" t="n">
        <x:f>'Raw Inputs'!BA8</x:f>
        <x:v>0</x:v>
      </x:c>
      <x:c r="I71" s="236" t="str">
        <x:f>IF('Raw Inputs'!AC8,"Asset growth only","Asset growth + capex")</x:f>
        <x:v>Asset growth only</x:v>
      </x:c>
      <x:c r="J71" s="269" t="n">
        <x:f>'Raw Inputs'!T8</x:f>
        <x:v>46022</x:v>
      </x:c>
      <x:c r="K71" s="271" t="n">
        <x:f>'Raw Inputs'!BS8</x:f>
        <x:v>133189000000</x:v>
      </x:c>
      <x:c r="L71" s="271" t="n">
        <x:f>'Raw Inputs'!BR8</x:f>
        <x:v>143708000000</x:v>
      </x:c>
      <x:c r="M71" s="20" t="str">
        <x:f>'Raw Inputs'!CC8</x:f>
        <x:v>https://data.sec.gov/api/xbrl/companyfacts/CIK0000086312.json</x:v>
      </x:c>
    </x:row>
    <x:row r="72">
      <x:c r="A72" s="237" t="n">
        <x:f>RANK(D72,$D$5:$D$121,0)</x:f>
        <x:v>68</x:v>
      </x:c>
      <x:c r="B72" s="236" t="str">
        <x:f>'Raw Inputs'!A78</x:f>
        <x:v>T</x:v>
      </x:c>
      <x:c r="C72" s="236" t="str">
        <x:f>'Raw Inputs'!B78</x:f>
        <x:v>AT&amp;T Inc.</x:v>
      </x:c>
      <x:c r="D72" s="238" t="n">
        <x:f>IF(COUNT('Raw Inputs'!AY78,'Raw Inputs'!BA78)=0,"",1+9*AVERAGE('Raw Inputs'!AY78,'Raw Inputs'!BA78))</x:f>
        <x:v>4.561206896551725</x:v>
      </x:c>
      <x:c r="E72" s="268" t="n">
        <x:f>'Raw Inputs'!AX78</x:f>
        <x:v>0.06434478653478393</x:v>
      </x:c>
      <x:c r="F72" s="268" t="n">
        <x:f>'Raw Inputs'!AY78</x:f>
        <x:v>0.4913793103448276</x:v>
      </x:c>
      <x:c r="G72" s="268" t="n">
        <x:f>'Raw Inputs'!AZ78</x:f>
        <x:v>0.05261885684907723</x:v>
      </x:c>
      <x:c r="H72" s="268" t="n">
        <x:f>'Raw Inputs'!BA78</x:f>
        <x:v>0.30000000000000004</x:v>
      </x:c>
      <x:c r="I72" s="236" t="str">
        <x:f>IF('Raw Inputs'!AC78,"Asset growth only","Asset growth + capex")</x:f>
        <x:v>Asset growth + capex</x:v>
      </x:c>
      <x:c r="J72" s="269" t="n">
        <x:f>'Raw Inputs'!T78</x:f>
        <x:v>46022</x:v>
      </x:c>
      <x:c r="K72" s="271" t="n">
        <x:f>'Raw Inputs'!BS78</x:f>
        <x:v>394795000000</x:v>
      </x:c>
      <x:c r="L72" s="271" t="n">
        <x:f>'Raw Inputs'!BR78</x:f>
        <x:v>420198000000</x:v>
      </x:c>
      <x:c r="M72" s="20" t="str">
        <x:f>'Raw Inputs'!CC78</x:f>
        <x:v>https://data.sec.gov/api/xbrl/companyfacts/CIK0000732717.json</x:v>
      </x:c>
    </x:row>
    <x:row r="73">
      <x:c r="A73" s="237" t="n">
        <x:f>RANK(D73,$D$5:$D$121,0)</x:f>
        <x:v>69</x:v>
      </x:c>
      <x:c r="B73" s="236" t="str">
        <x:f>'Raw Inputs'!A90</x:f>
        <x:v>CCC</x:v>
      </x:c>
      <x:c r="C73" s="236" t="str">
        <x:f>'Raw Inputs'!B90</x:f>
        <x:v>CCC Intelligent Solutions Holdings Inc.</x:v>
      </x:c>
      <x:c r="D73" s="238" t="n">
        <x:f>IF(COUNT('Raw Inputs'!AY90,'Raw Inputs'!BA90)=0,"",1+9*AVERAGE('Raw Inputs'!AY90,'Raw Inputs'!BA90))</x:f>
        <x:v>4.50844827586207</x:v>
      </x:c>
      <x:c r="E73" s="268" t="n">
        <x:f>'Raw Inputs'!AX90</x:f>
        <x:v>0.12258475542674119</x:v>
      </x:c>
      <x:c r="F73" s="268" t="n">
        <x:f>'Raw Inputs'!AY90</x:f>
        <x:v>0.18965517241379315</x:v>
      </x:c>
      <x:c r="G73" s="268" t="n">
        <x:f>'Raw Inputs'!AZ90</x:f>
        <x:v>0.01804770115367823</x:v>
      </x:c>
      <x:c r="H73" s="268" t="n">
        <x:f>'Raw Inputs'!BA90</x:f>
        <x:v>0.5900000000000001</x:v>
      </x:c>
      <x:c r="I73" s="236" t="str">
        <x:f>IF('Raw Inputs'!AC90,"Asset growth only","Asset growth + capex")</x:f>
        <x:v>Asset growth + capex</x:v>
      </x:c>
      <x:c r="J73" s="269" t="n">
        <x:f>'Raw Inputs'!T90</x:f>
        <x:v>46022</x:v>
      </x:c>
      <x:c r="K73" s="271" t="n">
        <x:f>'Raw Inputs'!BS90</x:f>
        <x:v>3183218000</x:v>
      </x:c>
      <x:c r="L73" s="271" t="n">
        <x:f>'Raw Inputs'!BR90</x:f>
        <x:v>3573432000</x:v>
      </x:c>
      <x:c r="M73" s="20" t="str">
        <x:f>'Raw Inputs'!CC90</x:f>
        <x:v>https://data.sec.gov/api/xbrl/companyfacts/CIK0001818201.json</x:v>
      </x:c>
    </x:row>
    <x:row r="74">
      <x:c r="A74" s="237" t="n">
        <x:f>RANK(D74,$D$5:$D$121,0)</x:f>
        <x:v>70</x:v>
      </x:c>
      <x:c r="B74" s="236" t="str">
        <x:f>'Raw Inputs'!A2</x:f>
        <x:v>MUSA</x:v>
      </x:c>
      <x:c r="C74" s="236" t="str">
        <x:f>'Raw Inputs'!B2</x:f>
        <x:v>Murphy USA Inc.</x:v>
      </x:c>
      <x:c r="D74" s="238" t="n">
        <x:f>IF(COUNT('Raw Inputs'!AY2,'Raw Inputs'!BA2)=0,"",1+9*AVERAGE('Raw Inputs'!AY2,'Raw Inputs'!BA2))</x:f>
        <x:v>4.489827586206896</x:v>
      </x:c>
      <x:c r="E74" s="268" t="n">
        <x:f>'Raw Inputs'!AX2</x:f>
        <x:v>0.04055839351770296</x:v>
      </x:c>
      <x:c r="F74" s="268" t="n">
        <x:f>'Raw Inputs'!AY2</x:f>
        <x:v>0.7155172413793103</x:v>
      </x:c>
      <x:c r="G74" s="268" t="n">
        <x:f>'Raw Inputs'!AZ2</x:f>
        <x:v>0.09713619785484602</x:v>
      </x:c>
      <x:c r="H74" s="268" t="n">
        <x:f>'Raw Inputs'!BA2</x:f>
        <x:v>0.06000000000000005</x:v>
      </x:c>
      <x:c r="I74" s="236" t="str">
        <x:f>IF('Raw Inputs'!AC2,"Asset growth only","Asset growth + capex")</x:f>
        <x:v>Asset growth + capex</x:v>
      </x:c>
      <x:c r="J74" s="269" t="n">
        <x:f>'Raw Inputs'!T2</x:f>
        <x:v>46022</x:v>
      </x:c>
      <x:c r="K74" s="271" t="n">
        <x:f>'Raw Inputs'!BS2</x:f>
        <x:v>4541600000</x:v>
      </x:c>
      <x:c r="L74" s="271" t="n">
        <x:f>'Raw Inputs'!BR2</x:f>
        <x:v>4725800000</x:v>
      </x:c>
      <x:c r="M74" s="20" t="str">
        <x:f>'Raw Inputs'!CC2</x:f>
        <x:v>https://data.sec.gov/api/xbrl/companyfacts/CIK0001573516.json</x:v>
      </x:c>
    </x:row>
    <x:row r="75">
      <x:c r="A75" s="237" t="n">
        <x:f>RANK(D75,$D$5:$D$121,0)</x:f>
        <x:v>71</x:v>
      </x:c>
      <x:c r="B75" s="236" t="str">
        <x:f>'Raw Inputs'!A85</x:f>
        <x:v>CACI</x:v>
      </x:c>
      <x:c r="C75" s="236" t="str">
        <x:f>'Raw Inputs'!B85</x:f>
        <x:v>CACI International Inc.</x:v>
      </x:c>
      <x:c r="D75" s="238" t="n">
        <x:f>IF(COUNT('Raw Inputs'!AY85,'Raw Inputs'!BA85)=0,"",1+9*AVERAGE('Raw Inputs'!AY85,'Raw Inputs'!BA85))</x:f>
        <x:v>4.472758620689655</x:v>
      </x:c>
      <x:c r="E75" s="268" t="n">
        <x:f>'Raw Inputs'!AX85</x:f>
        <x:v>0.2724351801128324</x:v>
      </x:c>
      <x:c r="F75" s="268" t="n">
        <x:f>'Raw Inputs'!AY85</x:f>
        <x:v>0.051724137931034475</x:v>
      </x:c>
      <x:c r="G75" s="268" t="n">
        <x:f>'Raw Inputs'!AZ85</x:f>
        <x:v>0.011375383578765682</x:v>
      </x:c>
      <x:c r="H75" s="268" t="n">
        <x:f>'Raw Inputs'!BA85</x:f>
        <x:v>0.72</x:v>
      </x:c>
      <x:c r="I75" s="236" t="str">
        <x:f>IF('Raw Inputs'!AC85,"Asset growth only","Asset growth + capex")</x:f>
        <x:v>Asset growth + capex</x:v>
      </x:c>
      <x:c r="J75" s="269" t="n">
        <x:f>'Raw Inputs'!T85</x:f>
        <x:v>45838</x:v>
      </x:c>
      <x:c r="K75" s="271" t="n">
        <x:f>'Raw Inputs'!BS85</x:f>
        <x:v>6796101000</x:v>
      </x:c>
      <x:c r="L75" s="271" t="n">
        <x:f>'Raw Inputs'!BR85</x:f>
        <x:v>8647598000</x:v>
      </x:c>
      <x:c r="M75" s="20" t="str">
        <x:f>'Raw Inputs'!CC85</x:f>
        <x:v>https://data.sec.gov/api/xbrl/companyfacts/CIK0000016058.json</x:v>
      </x:c>
    </x:row>
    <x:row r="76">
      <x:c r="A76" s="237" t="n">
        <x:f>RANK(D76,$D$5:$D$121,0)</x:f>
        <x:v>72</x:v>
      </x:c>
      <x:c r="B76" s="236" t="str">
        <x:f>'Raw Inputs'!A74</x:f>
        <x:v>ENSG</x:v>
      </x:c>
      <x:c r="C76" s="236" t="str">
        <x:f>'Raw Inputs'!B74</x:f>
        <x:v>The Ensign Group Inc.</x:v>
      </x:c>
      <x:c r="D76" s="238" t="n">
        <x:f>IF(COUNT('Raw Inputs'!AY74,'Raw Inputs'!BA74)=0,"",1+9*AVERAGE('Raw Inputs'!AY74,'Raw Inputs'!BA74))</x:f>
        <x:v>4.43551724137931</x:v>
      </x:c>
      <x:c r="E76" s="268" t="n">
        <x:f>'Raw Inputs'!AX74</x:f>
        <x:v>0.16996219607157825</x:v>
      </x:c>
      <x:c r="F76" s="268" t="n">
        <x:f>'Raw Inputs'!AY74</x:f>
        <x:v>0.10344827586206895</x:v>
      </x:c>
      <x:c r="G76" s="268" t="n">
        <x:f>'Raw Inputs'!AZ74</x:f>
        <x:v>0.014121337983006074</x:v>
      </x:c>
      <x:c r="H76" s="268" t="n">
        <x:f>'Raw Inputs'!BA74</x:f>
        <x:v>0.6599999999999999</x:v>
      </x:c>
      <x:c r="I76" s="236" t="str">
        <x:f>IF('Raw Inputs'!AC74,"Asset growth only","Asset growth + capex")</x:f>
        <x:v>Asset growth + capex</x:v>
      </x:c>
      <x:c r="J76" s="269" t="n">
        <x:f>'Raw Inputs'!T74</x:f>
        <x:v>46022</x:v>
      </x:c>
      <x:c r="K76" s="271" t="n">
        <x:f>'Raw Inputs'!BS74</x:f>
        <x:v>4669356000</x:v>
      </x:c>
      <x:c r="L76" s="271" t="n">
        <x:f>'Raw Inputs'!BR74</x:f>
        <x:v>5462970000</x:v>
      </x:c>
      <x:c r="M76" s="20" t="str">
        <x:f>'Raw Inputs'!CC74</x:f>
        <x:v>https://data.sec.gov/api/xbrl/companyfacts/CIK0001125376.json</x:v>
      </x:c>
    </x:row>
    <x:row r="77">
      <x:c r="A77" s="237" t="n">
        <x:f>RANK(D77,$D$5:$D$121,0)</x:f>
        <x:v>73</x:v>
      </x:c>
      <x:c r="B77" s="236" t="str">
        <x:f>'Raw Inputs'!A88</x:f>
        <x:v>MOS</x:v>
      </x:c>
      <x:c r="C77" s="236" t="str">
        <x:f>'Raw Inputs'!B88</x:f>
        <x:v>The Mosaic Co.</x:v>
      </x:c>
      <x:c r="D77" s="238" t="n">
        <x:f>IF(COUNT('Raw Inputs'!AY88,'Raw Inputs'!BA88)=0,"",1+9*AVERAGE('Raw Inputs'!AY88,'Raw Inputs'!BA88))</x:f>
        <x:v>4.393620689655172</x:v>
      </x:c>
      <x:c r="E77" s="268" t="n">
        <x:f>'Raw Inputs'!AX88</x:f>
        <x:v>0.06788082359099623</x:v>
      </x:c>
      <x:c r="F77" s="268" t="n">
        <x:f>'Raw Inputs'!AY88</x:f>
        <x:v>0.47413793103448276</x:v>
      </x:c>
      <x:c r="G77" s="268" t="n">
        <x:f>'Raw Inputs'!AZ88</x:f>
        <x:v>0.05802873591102879</x:v>
      </x:c>
      <x:c r="H77" s="268" t="n">
        <x:f>'Raw Inputs'!BA88</x:f>
        <x:v>0.28</x:v>
      </x:c>
      <x:c r="I77" s="236" t="str">
        <x:f>IF('Raw Inputs'!AC88,"Asset growth only","Asset growth + capex")</x:f>
        <x:v>Asset growth + capex</x:v>
      </x:c>
      <x:c r="J77" s="269" t="n">
        <x:f>'Raw Inputs'!T88</x:f>
        <x:v>46022</x:v>
      </x:c>
      <x:c r="K77" s="271" t="n">
        <x:f>'Raw Inputs'!BS88</x:f>
        <x:v>22924000000</x:v>
      </x:c>
      <x:c r="L77" s="271" t="n">
        <x:f>'Raw Inputs'!BR88</x:f>
        <x:v>24480100000</x:v>
      </x:c>
      <x:c r="M77" s="20" t="str">
        <x:f>'Raw Inputs'!CC88</x:f>
        <x:v>https://data.sec.gov/api/xbrl/companyfacts/CIK0001285785.json</x:v>
      </x:c>
    </x:row>
    <x:row r="78">
      <x:c r="A78" s="237" t="n">
        <x:f>RANK(D78,$D$5:$D$121,0)</x:f>
        <x:v>74</x:v>
      </x:c>
      <x:c r="B78" s="236" t="str">
        <x:f>'Raw Inputs'!A43</x:f>
        <x:v>APD</x:v>
      </x:c>
      <x:c r="C78" s="236" t="str">
        <x:f>'Raw Inputs'!B43</x:f>
        <x:v>Air Products and Chemicals Inc.</x:v>
      </x:c>
      <x:c r="D78" s="238" t="n">
        <x:f>IF(COUNT('Raw Inputs'!AY43,'Raw Inputs'!BA43)=0,"",1+9*AVERAGE('Raw Inputs'!AY43,'Raw Inputs'!BA43))</x:f>
        <x:v>4.381206896551724</x:v>
      </x:c>
      <x:c r="E78" s="268" t="n">
        <x:f>'Raw Inputs'!AX43</x:f>
        <x:v>0.03752154159486132</x:v>
      </x:c>
      <x:c r="F78" s="268" t="n">
        <x:f>'Raw Inputs'!AY43</x:f>
        <x:v>0.7413793103448276</x:v>
      </x:c>
      <x:c r="G78" s="268" t="n">
        <x:f>'Raw Inputs'!AZ43</x:f>
        <x:v>0.1332513167506055</x:v>
      </x:c>
      <x:c r="H78" s="268" t="n">
        <x:f>'Raw Inputs'!BA43</x:f>
        <x:v>0.010000000000000009</x:v>
      </x:c>
      <x:c r="I78" s="236" t="str">
        <x:f>IF('Raw Inputs'!AC43,"Asset growth only","Asset growth + capex")</x:f>
        <x:v>Asset growth + capex</x:v>
      </x:c>
      <x:c r="J78" s="269" t="n">
        <x:f>'Raw Inputs'!T43</x:f>
        <x:v>45930</x:v>
      </x:c>
      <x:c r="K78" s="271" t="n">
        <x:f>'Raw Inputs'!BS43</x:f>
        <x:v>39574600000</x:v>
      </x:c>
      <x:c r="L78" s="271" t="n">
        <x:f>'Raw Inputs'!BR43</x:f>
        <x:v>41059500000</x:v>
      </x:c>
      <x:c r="M78" s="20" t="str">
        <x:f>'Raw Inputs'!CC43</x:f>
        <x:v>https://data.sec.gov/api/xbrl/companyfacts/CIK0000002969.json</x:v>
      </x:c>
    </x:row>
    <x:row r="79">
      <x:c r="A79" s="237" t="n">
        <x:f>RANK(D79,$D$5:$D$121,0)</x:f>
        <x:v>75</x:v>
      </x:c>
      <x:c r="B79" s="236" t="str">
        <x:f>'Raw Inputs'!A105</x:f>
        <x:v>JNJ</x:v>
      </x:c>
      <x:c r="C79" s="236" t="str">
        <x:f>'Raw Inputs'!B105</x:f>
        <x:v>Johnson &amp; Johnson</x:v>
      </x:c>
      <x:c r="D79" s="238" t="n">
        <x:f>IF(COUNT('Raw Inputs'!AY105,'Raw Inputs'!BA105)=0,"",1+9*AVERAGE('Raw Inputs'!AY105,'Raw Inputs'!BA105))</x:f>
        <x:v>4.362586206896552</x:v>
      </x:c>
      <x:c r="E79" s="268" t="n">
        <x:f>'Raw Inputs'!AX105</x:f>
        <x:v>0.10608315195664719</x:v>
      </x:c>
      <x:c r="F79" s="268" t="n">
        <x:f>'Raw Inputs'!AY105</x:f>
        <x:v>0.26724137931034486</x:v>
      </x:c>
      <x:c r="G79" s="268" t="n">
        <x:f>'Raw Inputs'!AZ105</x:f>
        <x:v>0.026816832492341437</x:v>
      </x:c>
      <x:c r="H79" s="268" t="n">
        <x:f>'Raw Inputs'!BA105</x:f>
        <x:v>0.48</x:v>
      </x:c>
      <x:c r="I79" s="236" t="str">
        <x:f>IF('Raw Inputs'!AC105,"Asset growth only","Asset growth + capex")</x:f>
        <x:v>Asset growth + capex</x:v>
      </x:c>
      <x:c r="J79" s="269" t="n">
        <x:f>'Raw Inputs'!T105</x:f>
        <x:v>46019</x:v>
      </x:c>
      <x:c r="K79" s="271" t="n">
        <x:f>'Raw Inputs'!BS105</x:f>
        <x:v>180104000000</x:v>
      </x:c>
      <x:c r="L79" s="271" t="n">
        <x:f>'Raw Inputs'!BR105</x:f>
        <x:v>199210000000</x:v>
      </x:c>
      <x:c r="M79" s="20" t="str">
        <x:f>'Raw Inputs'!CC105</x:f>
        <x:v>https://data.sec.gov/api/xbrl/companyfacts/CIK0000200406.json</x:v>
      </x:c>
    </x:row>
    <x:row r="80">
      <x:c r="A80" s="237" t="n">
        <x:f>RANK(D80,$D$5:$D$121,0)</x:f>
        <x:v>76</x:v>
      </x:c>
      <x:c r="B80" s="236" t="str">
        <x:f>'Raw Inputs'!A101</x:f>
        <x:v>PM</x:v>
      </x:c>
      <x:c r="C80" s="236" t="str">
        <x:f>'Raw Inputs'!B101</x:f>
        <x:v>Philip Morris International Inc.</x:v>
      </x:c>
      <x:c r="D80" s="238" t="n">
        <x:f>IF(COUNT('Raw Inputs'!AY101,'Raw Inputs'!BA101)=0,"",1+9*AVERAGE('Raw Inputs'!AY101,'Raw Inputs'!BA101))</x:f>
        <x:v>4.316034482758621</x:v>
      </x:c>
      <x:c r="E80" s="268" t="n">
        <x:f>'Raw Inputs'!AX101</x:f>
        <x:v>0.11978829470413044</x:v>
      </x:c>
      <x:c r="F80" s="268" t="n">
        <x:f>'Raw Inputs'!AY101</x:f>
        <x:v>0.2068965517241379</x:v>
      </x:c>
      <x:c r="G80" s="268" t="n">
        <x:f>'Raw Inputs'!AZ101</x:f>
        <x:v>0.02318105811298857</x:v>
      </x:c>
      <x:c r="H80" s="268" t="n">
        <x:f>'Raw Inputs'!BA101</x:f>
        <x:v>0.53</x:v>
      </x:c>
      <x:c r="I80" s="236" t="str">
        <x:f>IF('Raw Inputs'!AC101,"Asset growth only","Asset growth + capex")</x:f>
        <x:v>Asset growth + capex</x:v>
      </x:c>
      <x:c r="J80" s="269" t="n">
        <x:f>'Raw Inputs'!T101</x:f>
        <x:v>46022</x:v>
      </x:c>
      <x:c r="K80" s="271" t="n">
        <x:f>'Raw Inputs'!BS101</x:f>
        <x:v>61784000000</x:v>
      </x:c>
      <x:c r="L80" s="271" t="n">
        <x:f>'Raw Inputs'!BR101</x:f>
        <x:v>69185000000</x:v>
      </x:c>
      <x:c r="M80" s="20" t="str">
        <x:f>'Raw Inputs'!CC101</x:f>
        <x:v>https://data.sec.gov/api/xbrl/companyfacts/CIK0001413329.json</x:v>
      </x:c>
    </x:row>
    <x:row r="81">
      <x:c r="A81" s="237" t="n">
        <x:f>RANK(D81,$D$5:$D$121,0)</x:f>
        <x:v>77</x:v>
      </x:c>
      <x:c r="B81" s="236" t="str">
        <x:f>'Raw Inputs'!A77</x:f>
        <x:v>G</x:v>
      </x:c>
      <x:c r="C81" s="236" t="str">
        <x:f>'Raw Inputs'!B77</x:f>
        <x:v>Genpact Ltd.</x:v>
      </x:c>
      <x:c r="D81" s="238" t="n">
        <x:f>IF(COUNT('Raw Inputs'!AY77,'Raw Inputs'!BA77)=0,"",1+9*AVERAGE('Raw Inputs'!AY77,'Raw Inputs'!BA77))</x:f>
        <x:v>4.306724137931035</x:v>
      </x:c>
      <x:c r="E81" s="268" t="n">
        <x:f>'Raw Inputs'!AX77</x:f>
        <x:v>0.17166387315568632</x:v>
      </x:c>
      <x:c r="F81" s="268" t="n">
        <x:f>'Raw Inputs'!AY77</x:f>
        <x:v>0.09482758620689657</x:v>
      </x:c>
      <x:c r="G81" s="268" t="n">
        <x:f>'Raw Inputs'!AZ77</x:f>
        <x:v>0.014801642041582875</x:v>
      </x:c>
      <x:c r="H81" s="268" t="n">
        <x:f>'Raw Inputs'!BA77</x:f>
        <x:v>0.64</x:v>
      </x:c>
      <x:c r="I81" s="236" t="str">
        <x:f>IF('Raw Inputs'!AC77,"Asset growth only","Asset growth + capex")</x:f>
        <x:v>Asset growth + capex</x:v>
      </x:c>
      <x:c r="J81" s="269" t="n">
        <x:f>'Raw Inputs'!T77</x:f>
        <x:v>46022</x:v>
      </x:c>
      <x:c r="K81" s="271" t="n">
        <x:f>'Raw Inputs'!BS77</x:f>
        <x:v>4987153000</x:v>
      </x:c>
      <x:c r="L81" s="271" t="n">
        <x:f>'Raw Inputs'!BR77</x:f>
        <x:v>5843267000</x:v>
      </x:c>
      <x:c r="M81" s="20" t="str">
        <x:f>'Raw Inputs'!CC77</x:f>
        <x:v>https://data.sec.gov/api/xbrl/companyfacts/CIK0001398659.json</x:v>
      </x:c>
    </x:row>
    <x:row r="82">
      <x:c r="A82" s="237" t="n">
        <x:f>RANK(D82,$D$5:$D$121,0)</x:f>
        <x:v>78</x:v>
      </x:c>
      <x:c r="B82" s="236" t="str">
        <x:f>'Raw Inputs'!A79</x:f>
        <x:v>FAST</x:v>
      </x:c>
      <x:c r="C82" s="236" t="str">
        <x:f>'Raw Inputs'!B79</x:f>
        <x:v>Fastenal Co.</x:v>
      </x:c>
      <x:c r="D82" s="238" t="n">
        <x:f>IF(COUNT('Raw Inputs'!AY79,'Raw Inputs'!BA79)=0,"",1+9*AVERAGE('Raw Inputs'!AY79,'Raw Inputs'!BA79))</x:f>
        <x:v>4.295862068965517</x:v>
      </x:c>
      <x:c r="E82" s="268" t="n">
        <x:f>'Raw Inputs'!AX79</x:f>
        <x:v>0.07554278416347371</x:v>
      </x:c>
      <x:c r="F82" s="268" t="n">
        <x:f>'Raw Inputs'!AY79</x:f>
        <x:v>0.4224137931034483</x:v>
      </x:c>
      <x:c r="G82" s="268" t="n">
        <x:f>'Raw Inputs'!AZ79</x:f>
        <x:v>0.05096965408321283</x:v>
      </x:c>
      <x:c r="H82" s="268" t="n">
        <x:f>'Raw Inputs'!BA79</x:f>
        <x:v>0.31000000000000005</x:v>
      </x:c>
      <x:c r="I82" s="236" t="str">
        <x:f>IF('Raw Inputs'!AC79,"Asset growth only","Asset growth + capex")</x:f>
        <x:v>Asset growth + capex</x:v>
      </x:c>
      <x:c r="J82" s="269" t="n">
        <x:f>'Raw Inputs'!T79</x:f>
        <x:v>46022</x:v>
      </x:c>
      <x:c r="K82" s="271" t="n">
        <x:f>'Raw Inputs'!BS79</x:f>
        <x:v>4698000000</x:v>
      </x:c>
      <x:c r="L82" s="271" t="n">
        <x:f>'Raw Inputs'!BR79</x:f>
        <x:v>5052900000</x:v>
      </x:c>
      <x:c r="M82" s="20" t="str">
        <x:f>'Raw Inputs'!CC79</x:f>
        <x:v>https://data.sec.gov/api/xbrl/companyfacts/CIK0000815556.json</x:v>
      </x:c>
    </x:row>
    <x:row r="83">
      <x:c r="A83" s="237" t="n">
        <x:f>RANK(D83,$D$5:$D$121,0)</x:f>
        <x:v>79</x:v>
      </x:c>
      <x:c r="B83" s="236" t="str">
        <x:f>'Raw Inputs'!A11</x:f>
        <x:v>MKTX</x:v>
      </x:c>
      <x:c r="C83" s="236" t="str">
        <x:f>'Raw Inputs'!B11</x:f>
        <x:v>MarketAxess Holdings Inc.</x:v>
      </x:c>
      <x:c r="D83" s="238" t="n">
        <x:f>IF(COUNT('Raw Inputs'!AY11,'Raw Inputs'!BA11)=0,"",1+9*AVERAGE('Raw Inputs'!AY11,'Raw Inputs'!BA11))</x:f>
        <x:v>4.258620689655172</x:v>
      </x:c>
      <x:c r="E83" s="268" t="n">
        <x:f>'Raw Inputs'!AX11</x:f>
        <x:v>0.08141554736823275</x:v>
      </x:c>
      <x:c r="F83" s="268" t="n">
        <x:f>'Raw Inputs'!AY11</x:f>
        <x:v>0.3620689655172413</x:v>
      </x:c>
      <x:c r="G83" s="268" t="n">
        <x:f>'Raw Inputs'!AZ11</x:f>
        <x:v>0.0035084968134599967</x:v>
      </x:c>
      <x:c r="H83" s="268" t="n">
        <x:f>'Raw Inputs'!BA11</x:f>
        <x:v>0</x:v>
      </x:c>
      <x:c r="I83" s="236" t="str">
        <x:f>IF('Raw Inputs'!AC11,"Asset growth only","Asset growth + capex")</x:f>
        <x:v>Asset growth only</x:v>
      </x:c>
      <x:c r="J83" s="269" t="n">
        <x:f>'Raw Inputs'!T11</x:f>
        <x:v>46022</x:v>
      </x:c>
      <x:c r="K83" s="271" t="n">
        <x:f>'Raw Inputs'!BS11</x:f>
        <x:v>1789216000</x:v>
      </x:c>
      <x:c r="L83" s="271" t="n">
        <x:f>'Raw Inputs'!BR11</x:f>
        <x:v>1934886000</x:v>
      </x:c>
      <x:c r="M83" s="20" t="str">
        <x:f>'Raw Inputs'!CC11</x:f>
        <x:v>https://data.sec.gov/api/xbrl/companyfacts/CIK0001278021.json</x:v>
      </x:c>
    </x:row>
    <x:row r="84">
      <x:c r="A84" s="237" t="n">
        <x:f>RANK(D84,$D$5:$D$121,0)</x:f>
        <x:v>80</x:v>
      </x:c>
      <x:c r="B84" s="236" t="str">
        <x:f>'Raw Inputs'!A72</x:f>
        <x:v>VRTX</x:v>
      </x:c>
      <x:c r="C84" s="236" t="str">
        <x:f>'Raw Inputs'!B72</x:f>
        <x:v>Vertex Pharmaceuticals Inc.</x:v>
      </x:c>
      <x:c r="D84" s="238" t="n">
        <x:f>IF(COUNT('Raw Inputs'!AY72,'Raw Inputs'!BA72)=0,"",1+9*AVERAGE('Raw Inputs'!AY72,'Raw Inputs'!BA72))</x:f>
        <x:v>4.212068965517242</x:v>
      </x:c>
      <x:c r="E84" s="268" t="n">
        <x:f>'Raw Inputs'!AX72</x:f>
        <x:v>0.13800969236504357</x:v>
      </x:c>
      <x:c r="F84" s="268" t="n">
        <x:f>'Raw Inputs'!AY72</x:f>
        <x:v>0.1637931034482759</x:v>
      </x:c>
      <x:c r="G84" s="268" t="n">
        <x:f>'Raw Inputs'!AZ72</x:f>
        <x:v>0.022015019864580435</x:v>
      </x:c>
      <x:c r="H84" s="268" t="n">
        <x:f>'Raw Inputs'!BA72</x:f>
        <x:v>0.55</x:v>
      </x:c>
      <x:c r="I84" s="236" t="str">
        <x:f>IF('Raw Inputs'!AC72,"Asset growth only","Asset growth + capex")</x:f>
        <x:v>Asset growth + capex</x:v>
      </x:c>
      <x:c r="J84" s="269" t="n">
        <x:f>'Raw Inputs'!T72</x:f>
        <x:v>46022</x:v>
      </x:c>
      <x:c r="K84" s="271" t="n">
        <x:f>'Raw Inputs'!BS72</x:f>
        <x:v>22533200000</x:v>
      </x:c>
      <x:c r="L84" s="271" t="n">
        <x:f>'Raw Inputs'!BR72</x:f>
        <x:v>25643000000</x:v>
      </x:c>
      <x:c r="M84" s="20" t="str">
        <x:f>'Raw Inputs'!CC72</x:f>
        <x:v>https://data.sec.gov/api/xbrl/companyfacts/CIK0000875320.json</x:v>
      </x:c>
    </x:row>
    <x:row r="85">
      <x:c r="A85" s="237" t="n">
        <x:f>RANK(D85,$D$5:$D$121,0)</x:f>
        <x:v>81</x:v>
      </x:c>
      <x:c r="B85" s="236" t="str">
        <x:f>'Raw Inputs'!A103</x:f>
        <x:v>PCG</x:v>
      </x:c>
      <x:c r="C85" s="236" t="str">
        <x:f>'Raw Inputs'!B103</x:f>
        <x:v>PG&amp;E Corp.</x:v>
      </x:c>
      <x:c r="D85" s="238" t="n">
        <x:f>IF(COUNT('Raw Inputs'!AY103,'Raw Inputs'!BA103)=0,"",1+9*AVERAGE('Raw Inputs'!AY103,'Raw Inputs'!BA103))</x:f>
        <x:v>4.055344827586207</x:v>
      </x:c>
      <x:c r="E85" s="268" t="n">
        <x:f>'Raw Inputs'!AX103</x:f>
        <x:v>0.05948675744426146</x:v>
      </x:c>
      <x:c r="F85" s="268" t="n">
        <x:f>'Raw Inputs'!AY103</x:f>
        <x:v>0.5689655172413793</x:v>
      </x:c>
      <x:c r="G85" s="268" t="n">
        <x:f>'Raw Inputs'!AZ103</x:f>
        <x:v>0.09087771686810452</x:v>
      </x:c>
      <x:c r="H85" s="268" t="n">
        <x:f>'Raw Inputs'!BA103</x:f>
        <x:v>0.10999999999999999</x:v>
      </x:c>
      <x:c r="I85" s="236" t="str">
        <x:f>IF('Raw Inputs'!AC103,"Asset growth only","Asset growth + capex")</x:f>
        <x:v>Asset growth + capex</x:v>
      </x:c>
      <x:c r="J85" s="269" t="n">
        <x:f>'Raw Inputs'!T103</x:f>
        <x:v>46022</x:v>
      </x:c>
      <x:c r="K85" s="271" t="n">
        <x:f>'Raw Inputs'!BS103</x:f>
        <x:v>133660000000</x:v>
      </x:c>
      <x:c r="L85" s="271" t="n">
        <x:f>'Raw Inputs'!BR103</x:f>
        <x:v>141611000000</x:v>
      </x:c>
      <x:c r="M85" s="20" t="str">
        <x:f>'Raw Inputs'!CC103</x:f>
        <x:v>https://data.sec.gov/api/xbrl/companyfacts/CIK0001004980.json</x:v>
      </x:c>
    </x:row>
    <x:row r="86">
      <x:c r="A86" s="237" t="n">
        <x:f>RANK(D86,$D$5:$D$121,0)</x:f>
        <x:v>82</x:v>
      </x:c>
      <x:c r="B86" s="236" t="str">
        <x:f>'Raw Inputs'!A111</x:f>
        <x:v>MCD</x:v>
      </x:c>
      <x:c r="C86" s="236" t="str">
        <x:f>'Raw Inputs'!B111</x:f>
        <x:v>McDonald's Corp.</x:v>
      </x:c>
      <x:c r="D86" s="238" t="n">
        <x:f>IF(COUNT('Raw Inputs'!AY111,'Raw Inputs'!BA111)=0,"",1+9*AVERAGE('Raw Inputs'!AY111,'Raw Inputs'!BA111))</x:f>
        <x:v>4.038275862068966</x:v>
      </x:c>
      <x:c r="E86" s="268" t="n">
        <x:f>'Raw Inputs'!AX111</x:f>
        <x:v>0.07852198180566128</x:v>
      </x:c>
      <x:c r="F86" s="268" t="n">
        <x:f>'Raw Inputs'!AY111</x:f>
        <x:v>0.4051724137931034</x:v>
      </x:c>
      <x:c r="G86" s="268" t="n">
        <x:f>'Raw Inputs'!AZ111</x:f>
        <x:v>0.06096061797605866</x:v>
      </x:c>
      <x:c r="H86" s="268" t="n">
        <x:f>'Raw Inputs'!BA111</x:f>
        <x:v>0.27</x:v>
      </x:c>
      <x:c r="I86" s="236" t="str">
        <x:f>IF('Raw Inputs'!AC111,"Asset growth only","Asset growth + capex")</x:f>
        <x:v>Asset growth + capex</x:v>
      </x:c>
      <x:c r="J86" s="269" t="n">
        <x:f>'Raw Inputs'!T111</x:f>
        <x:v>46022</x:v>
      </x:c>
      <x:c r="K86" s="271" t="n">
        <x:f>'Raw Inputs'!BS111</x:f>
        <x:v>55182000000</x:v>
      </x:c>
      <x:c r="L86" s="271" t="n">
        <x:f>'Raw Inputs'!BR111</x:f>
        <x:v>59515000000</x:v>
      </x:c>
      <x:c r="M86" s="20" t="str">
        <x:f>'Raw Inputs'!CC111</x:f>
        <x:v>https://data.sec.gov/api/xbrl/companyfacts/CIK0000063908.json</x:v>
      </x:c>
    </x:row>
    <x:row r="87">
      <x:c r="A87" s="237" t="n">
        <x:f>RANK(D87,$D$5:$D$121,0)</x:f>
        <x:v>83</x:v>
      </x:c>
      <x:c r="B87" s="236" t="str">
        <x:f>'Raw Inputs'!A27</x:f>
        <x:v>WRB</x:v>
      </x:c>
      <x:c r="C87" s="236" t="str">
        <x:f>'Raw Inputs'!B27</x:f>
        <x:v>W. R. Berkley Corp.</x:v>
      </x:c>
      <x:c r="D87" s="238" t="n">
        <x:f>IF(COUNT('Raw Inputs'!AY27,'Raw Inputs'!BA27)=0,"",1+9*AVERAGE('Raw Inputs'!AY27,'Raw Inputs'!BA27))</x:f>
        <x:v>4.025862068965517</x:v>
      </x:c>
      <x:c r="E87" s="268" t="n">
        <x:f>'Raw Inputs'!AX27</x:f>
        <x:v>0.08637019875235374</x:v>
      </x:c>
      <x:c r="F87" s="268" t="n">
        <x:f>'Raw Inputs'!AY27</x:f>
        <x:v>0.3362068965517241</x:v>
      </x:c>
      <x:c r="G87" s="268" t="n">
        <x:f>'Raw Inputs'!AZ27</x:f>
        <x:v>0.0014285960881155761</x:v>
      </x:c>
      <x:c r="H87" s="268" t="n">
        <x:f>'Raw Inputs'!BA27</x:f>
        <x:v>0</x:v>
      </x:c>
      <x:c r="I87" s="236" t="str">
        <x:f>IF('Raw Inputs'!AC27,"Asset growth only","Asset growth + capex")</x:f>
        <x:v>Asset growth only</x:v>
      </x:c>
      <x:c r="J87" s="269" t="n">
        <x:f>'Raw Inputs'!T27</x:f>
        <x:v>46022</x:v>
      </x:c>
      <x:c r="K87" s="271" t="n">
        <x:f>'Raw Inputs'!BS27</x:f>
        <x:v>40567268000</x:v>
      </x:c>
      <x:c r="L87" s="271" t="n">
        <x:f>'Raw Inputs'!BR27</x:f>
        <x:v>44071071000</x:v>
      </x:c>
      <x:c r="M87" s="20" t="str">
        <x:f>'Raw Inputs'!CC27</x:f>
        <x:v>https://data.sec.gov/api/xbrl/companyfacts/CIK0000011544.json</x:v>
      </x:c>
    </x:row>
    <x:row r="88">
      <x:c r="A88" s="237" t="n">
        <x:f>RANK(D88,$D$5:$D$121,0)</x:f>
        <x:v>84</x:v>
      </x:c>
      <x:c r="B88" s="236" t="str">
        <x:f>'Raw Inputs'!A98</x:f>
        <x:v>PAYX</x:v>
      </x:c>
      <x:c r="C88" s="236" t="str">
        <x:f>'Raw Inputs'!B98</x:f>
        <x:v>Paychex Inc.</x:v>
      </x:c>
      <x:c r="D88" s="238" t="n">
        <x:f>IF(COUNT('Raw Inputs'!AY98,'Raw Inputs'!BA98)=0,"",1+9*AVERAGE('Raw Inputs'!AY98,'Raw Inputs'!BA98))</x:f>
        <x:v>3.8225862068965517</x:v>
      </x:c>
      <x:c r="E88" s="268" t="n">
        <x:f>'Raw Inputs'!AX98</x:f>
        <x:v>0.5952942762758713</x:v>
      </x:c>
      <x:c r="F88" s="268" t="n">
        <x:f>'Raw Inputs'!AY98</x:f>
        <x:v>0.017241379310344862</x:v>
      </x:c>
      <x:c r="G88" s="268" t="n">
        <x:f>'Raw Inputs'!AZ98</x:f>
        <x:v>0.017033309583184896</x:v>
      </x:c>
      <x:c r="H88" s="268" t="n">
        <x:f>'Raw Inputs'!BA98</x:f>
        <x:v>0.61</x:v>
      </x:c>
      <x:c r="I88" s="236" t="str">
        <x:f>IF('Raw Inputs'!AC98,"Asset growth only","Asset growth + capex")</x:f>
        <x:v>Asset growth + capex</x:v>
      </x:c>
      <x:c r="J88" s="269" t="n">
        <x:f>'Raw Inputs'!T98</x:f>
        <x:v>45808</x:v>
      </x:c>
      <x:c r="K88" s="271" t="n">
        <x:f>'Raw Inputs'!BS98</x:f>
        <x:v>10383100000</x:v>
      </x:c>
      <x:c r="L88" s="271" t="n">
        <x:f>'Raw Inputs'!BR98</x:f>
        <x:v>16564100000</x:v>
      </x:c>
      <x:c r="M88" s="20" t="str">
        <x:f>'Raw Inputs'!CC98</x:f>
        <x:v>https://data.sec.gov/api/xbrl/companyfacts/CIK0000723531.json</x:v>
      </x:c>
    </x:row>
    <x:row r="89">
      <x:c r="A89" s="237" t="n">
        <x:f>RANK(D89,$D$5:$D$121,0)</x:f>
        <x:v>85</x:v>
      </x:c>
      <x:c r="B89" s="236" t="str">
        <x:f>'Raw Inputs'!A42</x:f>
        <x:v>RLI</x:v>
      </x:c>
      <x:c r="C89" s="236" t="str">
        <x:f>'Raw Inputs'!B42</x:f>
        <x:v>RLI Corp.</x:v>
      </x:c>
      <x:c r="D89" s="238" t="n">
        <x:f>IF(COUNT('Raw Inputs'!AY42,'Raw Inputs'!BA42)=0,"",1+9*AVERAGE('Raw Inputs'!AY42,'Raw Inputs'!BA42))</x:f>
        <x:v>3.7931034482758617</x:v>
      </x:c>
      <x:c r="E89" s="268" t="n">
        <x:f>'Raw Inputs'!AX42</x:f>
        <x:v>0.0946354126508624</x:v>
      </x:c>
      <x:c r="F89" s="268" t="n">
        <x:f>'Raw Inputs'!AY42</x:f>
        <x:v>0.31034482758620685</x:v>
      </x:c>
      <x:c r="G89" s="268" t="n">
        <x:f>'Raw Inputs'!AZ42</x:f>
        <x:v>0.0009383994691223828</x:v>
      </x:c>
      <x:c r="H89" s="268" t="n">
        <x:f>'Raw Inputs'!BA42</x:f>
        <x:v>0</x:v>
      </x:c>
      <x:c r="I89" s="236" t="str">
        <x:f>IF('Raw Inputs'!AC42,"Asset growth only","Asset growth + capex")</x:f>
        <x:v>Asset growth only</x:v>
      </x:c>
      <x:c r="J89" s="269" t="n">
        <x:f>'Raw Inputs'!T42</x:f>
        <x:v>46022</x:v>
      </x:c>
      <x:c r="K89" s="271" t="n">
        <x:f>'Raw Inputs'!BS42</x:f>
        <x:v>5628802000</x:v>
      </x:c>
      <x:c r="L89" s="271" t="n">
        <x:f>'Raw Inputs'!BR42</x:f>
        <x:v>6161486000</x:v>
      </x:c>
      <x:c r="M89" s="20" t="str">
        <x:f>'Raw Inputs'!CC42</x:f>
        <x:v>https://data.sec.gov/api/xbrl/companyfacts/CIK0000084246.json</x:v>
      </x:c>
    </x:row>
    <x:row r="90">
      <x:c r="A90" s="237" t="n">
        <x:f>RANK(D90,$D$5:$D$121,0)</x:f>
        <x:v>86</x:v>
      </x:c>
      <x:c r="B90" s="236" t="str">
        <x:f>'Raw Inputs'!A92</x:f>
        <x:v>LIN</x:v>
      </x:c>
      <x:c r="C90" s="236" t="str">
        <x:f>'Raw Inputs'!B92</x:f>
        <x:v>Linde PLC</x:v>
      </x:c>
      <x:c r="D90" s="238" t="n">
        <x:f>IF(COUNT('Raw Inputs'!AY92,'Raw Inputs'!BA92)=0,"",1+9*AVERAGE('Raw Inputs'!AY92,'Raw Inputs'!BA92))</x:f>
        <x:v>3.7217241379310346</x:v>
      </x:c>
      <x:c r="E90" s="268" t="n">
        <x:f>'Raw Inputs'!AX92</x:f>
        <x:v>0.08322207942904902</x:v>
      </x:c>
      <x:c r="F90" s="268" t="n">
        <x:f>'Raw Inputs'!AY92</x:f>
        <x:v>0.3448275862068966</x:v>
      </x:c>
      <x:c r="G90" s="268" t="n">
        <x:f>'Raw Inputs'!AZ92</x:f>
        <x:v>0.06388203445054023</x:v>
      </x:c>
      <x:c r="H90" s="268" t="n">
        <x:f>'Raw Inputs'!BA92</x:f>
        <x:v>0.26</x:v>
      </x:c>
      <x:c r="I90" s="236" t="str">
        <x:f>IF('Raw Inputs'!AC92,"Asset growth only","Asset growth + capex")</x:f>
        <x:v>Asset growth + capex</x:v>
      </x:c>
      <x:c r="J90" s="269" t="n">
        <x:f>'Raw Inputs'!T92</x:f>
        <x:v>46022</x:v>
      </x:c>
      <x:c r="K90" s="271" t="n">
        <x:f>'Raw Inputs'!BS92</x:f>
        <x:v>80147000000</x:v>
      </x:c>
      <x:c r="L90" s="271" t="n">
        <x:f>'Raw Inputs'!BR92</x:f>
        <x:v>86817000000</x:v>
      </x:c>
      <x:c r="M90" s="20" t="str">
        <x:f>'Raw Inputs'!CC92</x:f>
        <x:v>https://data.sec.gov/api/xbrl/companyfacts/CIK0001707925.json</x:v>
      </x:c>
    </x:row>
    <x:row r="91">
      <x:c r="A91" s="237" t="n">
        <x:f>RANK(D91,$D$5:$D$121,0)</x:f>
        <x:v>87</x:v>
      </x:c>
      <x:c r="B91" s="236" t="str">
        <x:f>'Raw Inputs'!A64</x:f>
        <x:v>SO</x:v>
      </x:c>
      <x:c r="C91" s="236" t="str">
        <x:f>'Raw Inputs'!B64</x:f>
        <x:v>The Southern Co.</x:v>
      </x:c>
      <x:c r="D91" s="238" t="n">
        <x:f>IF(COUNT('Raw Inputs'!AY64,'Raw Inputs'!BA64)=0,"",1+9*AVERAGE('Raw Inputs'!AY64,'Raw Inputs'!BA64))</x:f>
        <x:v>3.5960344827586206</x:v>
      </x:c>
      <x:c r="E91" s="268" t="n">
        <x:f>'Raw Inputs'!AX64</x:f>
        <x:v>0.07259953161592514</x:v>
      </x:c>
      <x:c r="F91" s="268" t="n">
        <x:f>'Raw Inputs'!AY64</x:f>
        <x:v>0.4568965517241379</x:v>
      </x:c>
      <x:c r="G91" s="268" t="n">
        <x:f>'Raw Inputs'!AZ64</x:f>
        <x:v>0.0880292455965437</x:v>
      </x:c>
      <x:c r="H91" s="268" t="n">
        <x:f>'Raw Inputs'!BA64</x:f>
        <x:v>0.12</x:v>
      </x:c>
      <x:c r="I91" s="236" t="str">
        <x:f>IF('Raw Inputs'!AC64,"Asset growth only","Asset growth + capex")</x:f>
        <x:v>Asset growth + capex</x:v>
      </x:c>
      <x:c r="J91" s="269" t="n">
        <x:f>'Raw Inputs'!T64</x:f>
        <x:v>46022</x:v>
      </x:c>
      <x:c r="K91" s="271" t="n">
        <x:f>'Raw Inputs'!BS64</x:f>
        <x:v>145180000000</x:v>
      </x:c>
      <x:c r="L91" s="271" t="n">
        <x:f>'Raw Inputs'!BR64</x:f>
        <x:v>155720000000</x:v>
      </x:c>
      <x:c r="M91" s="20" t="str">
        <x:f>'Raw Inputs'!CC64</x:f>
        <x:v>https://data.sec.gov/api/xbrl/companyfacts/CIK0000092122.json</x:v>
      </x:c>
    </x:row>
    <x:row r="92">
      <x:c r="A92" s="237" t="n">
        <x:f>RANK(D92,$D$5:$D$121,0)</x:f>
        <x:v>88</x:v>
      </x:c>
      <x:c r="B92" s="236" t="str">
        <x:f>'Raw Inputs'!A38</x:f>
        <x:v>CB</x:v>
      </x:c>
      <x:c r="C92" s="236" t="str">
        <x:f>'Raw Inputs'!B38</x:f>
        <x:v>Chubb Ltd.</x:v>
      </x:c>
      <x:c r="D92" s="238" t="n">
        <x:f>IF(COUNT('Raw Inputs'!AY38,'Raw Inputs'!BA38)=0,"",1+9*AVERAGE('Raw Inputs'!AY38,'Raw Inputs'!BA38))</x:f>
        <x:v>3.4827586206896552</x:v>
      </x:c>
      <x:c r="E92" s="268" t="n">
        <x:f>'Raw Inputs'!AX38</x:f>
        <x:v>0.10455976118240673</x:v>
      </x:c>
      <x:c r="F92" s="268" t="n">
        <x:f>'Raw Inputs'!AY38</x:f>
        <x:v>0.27586206896551724</x:v>
      </x:c>
      <x:c r="G92" s="268" t="n">
        <x:f>'Raw Inputs'!AZ38</x:f>
        <x:v>0</x:v>
      </x:c>
      <x:c r="H92" s="268" t="n">
        <x:f>'Raw Inputs'!BA38</x:f>
        <x:v>0</x:v>
      </x:c>
      <x:c r="I92" s="236" t="str">
        <x:f>IF('Raw Inputs'!AC38,"Asset growth only","Asset growth + capex")</x:f>
        <x:v>Asset growth only</x:v>
      </x:c>
      <x:c r="J92" s="269" t="n">
        <x:f>'Raw Inputs'!T38</x:f>
        <x:v>46022</x:v>
      </x:c>
      <x:c r="K92" s="271" t="n">
        <x:f>'Raw Inputs'!BS38</x:f>
        <x:v>246548000000</x:v>
      </x:c>
      <x:c r="L92" s="271" t="n">
        <x:f>'Raw Inputs'!BR38</x:f>
        <x:v>272327000000</x:v>
      </x:c>
      <x:c r="M92" s="20" t="str">
        <x:f>'Raw Inputs'!CC38</x:f>
        <x:v>https://data.sec.gov/api/xbrl/companyfacts/CIK0000896159.json</x:v>
      </x:c>
    </x:row>
    <x:row r="93">
      <x:c r="A93" s="237" t="n">
        <x:f>RANK(D93,$D$5:$D$121,0)</x:f>
        <x:v>89</x:v>
      </x:c>
      <x:c r="B93" s="236" t="str">
        <x:f>'Raw Inputs'!A118</x:f>
        <x:v>LNG</x:v>
      </x:c>
      <x:c r="C93" s="236" t="str">
        <x:f>'Raw Inputs'!B118</x:f>
        <x:v>Cheniere Energy Inc.</x:v>
      </x:c>
      <x:c r="D93" s="238" t="n">
        <x:f>IF(COUNT('Raw Inputs'!AY118,'Raw Inputs'!BA118)=0,"",1+9*AVERAGE('Raw Inputs'!AY118,'Raw Inputs'!BA118))</x:f>
        <x:v>3.470344827586207</x:v>
      </x:c>
      <x:c r="E93" s="268" t="n">
        <x:f>'Raw Inputs'!AX118</x:f>
        <x:v>0.09175064982443337</x:v>
      </x:c>
      <x:c r="F93" s="268" t="n">
        <x:f>'Raw Inputs'!AY118</x:f>
        <x:v>0.31896551724137934</x:v>
      </x:c>
      <x:c r="G93" s="268" t="n">
        <x:f>'Raw Inputs'!AZ118</x:f>
        <x:v>0.06956616524961849</x:v>
      </x:c>
      <x:c r="H93" s="268" t="n">
        <x:f>'Raw Inputs'!BA118</x:f>
        <x:v>0.22999999999999998</x:v>
      </x:c>
      <x:c r="I93" s="236" t="str">
        <x:f>IF('Raw Inputs'!AC118,"Asset growth only","Asset growth + capex")</x:f>
        <x:v>Asset growth + capex</x:v>
      </x:c>
      <x:c r="J93" s="269" t="n">
        <x:f>'Raw Inputs'!T118</x:f>
        <x:v>46022</x:v>
      </x:c>
      <x:c r="K93" s="271" t="n">
        <x:f>'Raw Inputs'!BS118</x:f>
        <x:v>43858000000</x:v>
      </x:c>
      <x:c r="L93" s="271" t="n">
        <x:f>'Raw Inputs'!BR118</x:f>
        <x:v>47882000000</x:v>
      </x:c>
      <x:c r="M93" s="20" t="str">
        <x:f>'Raw Inputs'!CC118</x:f>
        <x:v>https://data.sec.gov/api/xbrl/companyfacts/CIK0000003570.json</x:v>
      </x:c>
    </x:row>
    <x:row r="94">
      <x:c r="A94" s="237" t="n">
        <x:f>RANK(D94,$D$5:$D$121,0)</x:f>
        <x:v>90</x:v>
      </x:c>
      <x:c r="B94" s="236" t="str">
        <x:f>'Raw Inputs'!A81</x:f>
        <x:v>BJ</x:v>
      </x:c>
      <x:c r="C94" s="236" t="str">
        <x:f>'Raw Inputs'!B81</x:f>
        <x:v>BJ's Wholesale Club Holdings Inc.</x:v>
      </x:c>
      <x:c r="D94" s="238" t="n">
        <x:f>IF(COUNT('Raw Inputs'!AY81,'Raw Inputs'!BA81)=0,"",1+9*AVERAGE('Raw Inputs'!AY81,'Raw Inputs'!BA81))</x:f>
        <x:v>3.468793103448276</x:v>
      </x:c>
      <x:c r="E94" s="268" t="n">
        <x:f>'Raw Inputs'!AX81</x:f>
        <x:v>0.06300789562517117</x:v>
      </x:c>
      <x:c r="F94" s="268" t="n">
        <x:f>'Raw Inputs'!AY81</x:f>
        <x:v>0.5086206896551724</x:v>
      </x:c>
      <x:c r="G94" s="268" t="n">
        <x:f>'Raw Inputs'!AZ81</x:f>
        <x:v>0.10202610083302574</x:v>
      </x:c>
      <x:c r="H94" s="268" t="n">
        <x:f>'Raw Inputs'!BA81</x:f>
        <x:v>0.040000000000000036</x:v>
      </x:c>
      <x:c r="I94" s="236" t="str">
        <x:f>IF('Raw Inputs'!AC81,"Asset growth only","Asset growth + capex")</x:f>
        <x:v>Asset growth + capex</x:v>
      </x:c>
      <x:c r="J94" s="269" t="n">
        <x:f>'Raw Inputs'!T81</x:f>
        <x:v>46053</x:v>
      </x:c>
      <x:c r="K94" s="271" t="n">
        <x:f>'Raw Inputs'!BS81</x:f>
        <x:v>7065305000</x:v>
      </x:c>
      <x:c r="L94" s="271" t="n">
        <x:f>'Raw Inputs'!BR81</x:f>
        <x:v>7510475000</x:v>
      </x:c>
      <x:c r="M94" s="20" t="str">
        <x:f>'Raw Inputs'!CC81</x:f>
        <x:v>https://data.sec.gov/api/xbrl/companyfacts/CIK0001531152.json</x:v>
      </x:c>
    </x:row>
    <x:row r="95">
      <x:c r="A95" s="237" t="n">
        <x:f>RANK(D95,$D$5:$D$121,0)</x:f>
        <x:v>91</x:v>
      </x:c>
      <x:c r="B95" s="236" t="str">
        <x:f>'Raw Inputs'!A53</x:f>
        <x:v>FE</x:v>
      </x:c>
      <x:c r="C95" s="236" t="str">
        <x:f>'Raw Inputs'!B53</x:f>
        <x:v>FirstEnergy Corp.</x:v>
      </x:c>
      <x:c r="D95" s="238" t="n">
        <x:f>IF(COUNT('Raw Inputs'!AY53,'Raw Inputs'!BA53)=0,"",1+9*AVERAGE('Raw Inputs'!AY53,'Raw Inputs'!BA53))</x:f>
        <x:v>3.389655172413793</x:v>
      </x:c>
      <x:c r="E95" s="268" t="n">
        <x:f>'Raw Inputs'!AX53</x:f>
        <x:v>0.0741680116824226</x:v>
      </x:c>
      <x:c r="F95" s="268" t="n">
        <x:f>'Raw Inputs'!AY53</x:f>
        <x:v>0.43103448275862066</x:v>
      </x:c>
      <x:c r="G95" s="268" t="n">
        <x:f>'Raw Inputs'!AZ53</x:f>
        <x:v>0.09180346092563085</x:v>
      </x:c>
      <x:c r="H95" s="268" t="n">
        <x:f>'Raw Inputs'!BA53</x:f>
        <x:v>0.09999999999999998</x:v>
      </x:c>
      <x:c r="I95" s="236" t="str">
        <x:f>IF('Raw Inputs'!AC53,"Asset growth only","Asset growth + capex")</x:f>
        <x:v>Asset growth + capex</x:v>
      </x:c>
      <x:c r="J95" s="269" t="n">
        <x:f>'Raw Inputs'!T53</x:f>
        <x:v>46022</x:v>
      </x:c>
      <x:c r="K95" s="271" t="n">
        <x:f>'Raw Inputs'!BS53</x:f>
        <x:v>52044000000</x:v>
      </x:c>
      <x:c r="L95" s="271" t="n">
        <x:f>'Raw Inputs'!BR53</x:f>
        <x:v>55904000000</x:v>
      </x:c>
      <x:c r="M95" s="20" t="str">
        <x:f>'Raw Inputs'!CC53</x:f>
        <x:v>https://data.sec.gov/api/xbrl/companyfacts/CIK0001031296.json</x:v>
      </x:c>
    </x:row>
    <x:row r="96">
      <x:c r="A96" s="237" t="n">
        <x:f>RANK(D96,$D$5:$D$121,0)</x:f>
        <x:v>92</x:v>
      </x:c>
      <x:c r="B96" s="236" t="str">
        <x:f>'Raw Inputs'!A106</x:f>
        <x:v>CNP</x:v>
      </x:c>
      <x:c r="C96" s="236" t="str">
        <x:f>'Raw Inputs'!B106</x:f>
        <x:v>Centerpoint Energy Inc.</x:v>
      </x:c>
      <x:c r="D96" s="238" t="n">
        <x:f>IF(COUNT('Raw Inputs'!AY106,'Raw Inputs'!BA106)=0,"",1+9*AVERAGE('Raw Inputs'!AY106,'Raw Inputs'!BA106))</x:f>
        <x:v>3.34</x:v>
      </x:c>
      <x:c r="E96" s="268" t="n">
        <x:f>'Raw Inputs'!AX106</x:f>
        <x:v>0.06319685615061221</x:v>
      </x:c>
      <x:c r="F96" s="268" t="n">
        <x:f>'Raw Inputs'!AY106</x:f>
        <x:v>0.5</x:v>
      </x:c>
      <x:c r="G96" s="268" t="n">
        <x:f>'Raw Inputs'!AZ106</x:f>
        <x:v>0.11140395561560099</x:v>
      </x:c>
      <x:c r="H96" s="268" t="n">
        <x:f>'Raw Inputs'!BA106</x:f>
        <x:v>0.020000000000000018</x:v>
      </x:c>
      <x:c r="I96" s="236" t="str">
        <x:f>IF('Raw Inputs'!AC106,"Asset growth only","Asset growth + capex")</x:f>
        <x:v>Asset growth + capex</x:v>
      </x:c>
      <x:c r="J96" s="269" t="n">
        <x:f>'Raw Inputs'!T106</x:f>
        <x:v>46022</x:v>
      </x:c>
      <x:c r="K96" s="271" t="n">
        <x:f>'Raw Inputs'!BS106</x:f>
        <x:v>43768000000</x:v>
      </x:c>
      <x:c r="L96" s="271" t="n">
        <x:f>'Raw Inputs'!BR106</x:f>
        <x:v>46534000000</x:v>
      </x:c>
      <x:c r="M96" s="20" t="str">
        <x:f>'Raw Inputs'!CC106</x:f>
        <x:v>https://data.sec.gov/api/xbrl/companyfacts/CIK0001130310.json</x:v>
      </x:c>
    </x:row>
    <x:row r="97">
      <x:c r="A97" s="237" t="n">
        <x:f>RANK(D97,$D$5:$D$121,0)</x:f>
        <x:v>93</x:v>
      </x:c>
      <x:c r="B97" s="236" t="str">
        <x:f>'Raw Inputs'!A19</x:f>
        <x:v>THG</x:v>
      </x:c>
      <x:c r="C97" s="236" t="str">
        <x:f>'Raw Inputs'!B19</x:f>
        <x:v>The Hanover Insurance Group Inc.</x:v>
      </x:c>
      <x:c r="D97" s="238" t="n">
        <x:f>IF(COUNT('Raw Inputs'!AY19,'Raw Inputs'!BA19)=0,"",1+9*AVERAGE('Raw Inputs'!AY19,'Raw Inputs'!BA19))</x:f>
        <x:v>3.3275862068965516</x:v>
      </x:c>
      <x:c r="E97" s="268" t="n">
        <x:f>'Raw Inputs'!AX19</x:f>
        <x:v>0.10942420373825668</x:v>
      </x:c>
      <x:c r="F97" s="268" t="n">
        <x:f>'Raw Inputs'!AY19</x:f>
        <x:v>0.2586206896551724</x:v>
      </x:c>
      <x:c r="G97" s="268" t="n">
        <x:f>'Raw Inputs'!AZ19</x:f>
        <x:v>0.0005834812727340443</x:v>
      </x:c>
      <x:c r="H97" s="268" t="n">
        <x:f>'Raw Inputs'!BA19</x:f>
        <x:v>0</x:v>
      </x:c>
      <x:c r="I97" s="236" t="str">
        <x:f>IF('Raw Inputs'!AC19,"Asset growth only","Asset growth + capex")</x:f>
        <x:v>Asset growth only</x:v>
      </x:c>
      <x:c r="J97" s="269" t="n">
        <x:f>'Raw Inputs'!T19</x:f>
        <x:v>46022</x:v>
      </x:c>
      <x:c r="K97" s="271" t="n">
        <x:f>'Raw Inputs'!BS19</x:f>
        <x:v>15274500000</x:v>
      </x:c>
      <x:c r="L97" s="271" t="n">
        <x:f>'Raw Inputs'!BR19</x:f>
        <x:v>16945900000</x:v>
      </x:c>
      <x:c r="M97" s="20" t="str">
        <x:f>'Raw Inputs'!CC19</x:f>
        <x:v>https://data.sec.gov/api/xbrl/companyfacts/CIK0000944695.json</x:v>
      </x:c>
    </x:row>
    <x:row r="98">
      <x:c r="A98" s="237" t="n">
        <x:f>RANK(D98,$D$5:$D$121,0)</x:f>
        <x:v>94</x:v>
      </x:c>
      <x:c r="B98" s="236" t="str">
        <x:f>'Raw Inputs'!A114</x:f>
        <x:v>EXC</x:v>
      </x:c>
      <x:c r="C98" s="236" t="str">
        <x:f>'Raw Inputs'!B114</x:f>
        <x:v>Exelon Corp.</x:v>
      </x:c>
      <x:c r="D98" s="238" t="n">
        <x:f>IF(COUNT('Raw Inputs'!AY114,'Raw Inputs'!BA114)=0,"",1+9*AVERAGE('Raw Inputs'!AY114,'Raw Inputs'!BA114))</x:f>
        <x:v>3.3105172413793102</x:v>
      </x:c>
      <x:c r="E98" s="268" t="n">
        <x:f>'Raw Inputs'!AX114</x:f>
        <x:v>0.08151488161508191</x:v>
      </x:c>
      <x:c r="F98" s="268" t="n">
        <x:f>'Raw Inputs'!AY114</x:f>
        <x:v>0.35344827586206895</x:v>
      </x:c>
      <x:c r="G98" s="268" t="n">
        <x:f>'Raw Inputs'!AZ114</x:f>
        <x:v>0.07970439573174537</x:v>
      </x:c>
      <x:c r="H98" s="268" t="n">
        <x:f>'Raw Inputs'!BA114</x:f>
        <x:v>0.16000000000000003</x:v>
      </x:c>
      <x:c r="I98" s="236" t="str">
        <x:f>IF('Raw Inputs'!AC114,"Asset growth only","Asset growth + capex")</x:f>
        <x:v>Asset growth + capex</x:v>
      </x:c>
      <x:c r="J98" s="269" t="n">
        <x:f>'Raw Inputs'!T114</x:f>
        <x:v>46022</x:v>
      </x:c>
      <x:c r="K98" s="271" t="n">
        <x:f>'Raw Inputs'!BS114</x:f>
        <x:v>107784000000</x:v>
      </x:c>
      <x:c r="L98" s="271" t="n">
        <x:f>'Raw Inputs'!BR114</x:f>
        <x:v>116570000000</x:v>
      </x:c>
      <x:c r="M98" s="20" t="str">
        <x:f>'Raw Inputs'!CC114</x:f>
        <x:v>https://data.sec.gov/api/xbrl/companyfacts/CIK0001109357.json</x:v>
      </x:c>
    </x:row>
    <x:row r="99">
      <x:c r="A99" s="237" t="n">
        <x:f>RANK(D99,$D$5:$D$121,0)</x:f>
        <x:v>95</x:v>
      </x:c>
      <x:c r="B99" s="236" t="str">
        <x:f>'Raw Inputs'!A109</x:f>
        <x:v>EIX</x:v>
      </x:c>
      <x:c r="C99" s="236" t="str">
        <x:f>'Raw Inputs'!B109</x:f>
        <x:v>Edison International</x:v>
      </x:c>
      <x:c r="D99" s="238" t="n">
        <x:f>IF(COUNT('Raw Inputs'!AY109,'Raw Inputs'!BA109)=0,"",1+9*AVERAGE('Raw Inputs'!AY109,'Raw Inputs'!BA109))</x:f>
        <x:v>3.2639655172413793</x:v>
      </x:c>
      <x:c r="E99" s="268" t="n">
        <x:f>'Raw Inputs'!AX109</x:f>
        <x:v>0.09870412133817874</x:v>
      </x:c>
      <x:c r="F99" s="268" t="n">
        <x:f>'Raw Inputs'!AY109</x:f>
        <x:v>0.2931034482758621</x:v>
      </x:c>
      <x:c r="G99" s="268" t="n">
        <x:f>'Raw Inputs'!AZ109</x:f>
        <x:v>0.07400684836168259</x:v>
      </x:c>
      <x:c r="H99" s="268" t="n">
        <x:f>'Raw Inputs'!BA109</x:f>
        <x:v>0.20999999999999996</x:v>
      </x:c>
      <x:c r="I99" s="236" t="str">
        <x:f>IF('Raw Inputs'!AC109,"Asset growth only","Asset growth + capex")</x:f>
        <x:v>Asset growth + capex</x:v>
      </x:c>
      <x:c r="J99" s="269" t="n">
        <x:f>'Raw Inputs'!T109</x:f>
        <x:v>46022</x:v>
      </x:c>
      <x:c r="K99" s="271" t="n">
        <x:f>'Raw Inputs'!BS109</x:f>
        <x:v>85579000000</x:v>
      </x:c>
      <x:c r="L99" s="271" t="n">
        <x:f>'Raw Inputs'!BR109</x:f>
        <x:v>94026000000</x:v>
      </x:c>
      <x:c r="M99" s="20" t="str">
        <x:f>'Raw Inputs'!CC109</x:f>
        <x:v>https://data.sec.gov/api/xbrl/companyfacts/CIK0000827052.json</x:v>
      </x:c>
    </x:row>
    <x:row r="100">
      <x:c r="A100" s="237" t="n">
        <x:f>RANK(D100,$D$5:$D$121,0)</x:f>
        <x:v>96</x:v>
      </x:c>
      <x:c r="B100" s="236" t="str">
        <x:f>'Raw Inputs'!A15</x:f>
        <x:v>EG</x:v>
      </x:c>
      <x:c r="C100" s="236" t="str">
        <x:f>'Raw Inputs'!B15</x:f>
        <x:v>Everest Group Ltd.</x:v>
      </x:c>
      <x:c r="D100" s="238" t="n">
        <x:f>IF(COUNT('Raw Inputs'!AY15,'Raw Inputs'!BA15)=0,"",1+9*AVERAGE('Raw Inputs'!AY15,'Raw Inputs'!BA15))</x:f>
        <x:v>3.25</x:v>
      </x:c>
      <x:c r="E100" s="268" t="n">
        <x:f>'Raw Inputs'!AX15</x:f>
        <x:v>0.10956497044780877</x:v>
      </x:c>
      <x:c r="F100" s="268" t="n">
        <x:f>'Raw Inputs'!AY15</x:f>
        <x:v>0.25</x:v>
      </x:c>
      <x:c r="G100" s="268" t="n">
        <x:f>'Raw Inputs'!AZ15</x:f>
        <x:v>0</x:v>
      </x:c>
      <x:c r="H100" s="268" t="n">
        <x:f>'Raw Inputs'!BA15</x:f>
        <x:v>0</x:v>
      </x:c>
      <x:c r="I100" s="236" t="str">
        <x:f>IF('Raw Inputs'!AC15,"Asset growth only","Asset growth + capex")</x:f>
        <x:v>Asset growth only</x:v>
      </x:c>
      <x:c r="J100" s="269" t="n">
        <x:f>'Raw Inputs'!T15</x:f>
        <x:v>46022</x:v>
      </x:c>
      <x:c r="K100" s="271" t="n">
        <x:f>'Raw Inputs'!BS15</x:f>
        <x:v>56341000000</x:v>
      </x:c>
      <x:c r="L100" s="271" t="n">
        <x:f>'Raw Inputs'!BR15</x:f>
        <x:v>62514000000</x:v>
      </x:c>
      <x:c r="M100" s="20" t="str">
        <x:f>'Raw Inputs'!CC15</x:f>
        <x:v>https://data.sec.gov/api/xbrl/companyfacts/CIK0001095073.json</x:v>
      </x:c>
    </x:row>
    <x:row r="101">
      <x:c r="A101" s="237" t="n">
        <x:f>RANK(D101,$D$5:$D$121,0)</x:f>
        <x:v>97</x:v>
      </x:c>
      <x:c r="B101" s="236" t="str">
        <x:f>'Raw Inputs'!A113</x:f>
        <x:v>ORLY</x:v>
      </x:c>
      <x:c r="C101" s="236" t="str">
        <x:f>'Raw Inputs'!B113</x:f>
        <x:v>O'Reilly Automotive Inc.</x:v>
      </x:c>
      <x:c r="D101" s="238" t="n">
        <x:f>IF(COUNT('Raw Inputs'!AY113,'Raw Inputs'!BA113)=0,"",1+9*AVERAGE('Raw Inputs'!AY113,'Raw Inputs'!BA113))</x:f>
        <x:v>3.0762068965517244</x:v>
      </x:c>
      <x:c r="E101" s="268" t="n">
        <x:f>'Raw Inputs'!AX113</x:f>
        <x:v>0.11041631514875938</x:v>
      </x:c>
      <x:c r="F101" s="268" t="n">
        <x:f>'Raw Inputs'!AY113</x:f>
        <x:v>0.24137931034482762</x:v>
      </x:c>
      <x:c r="G101" s="268" t="n">
        <x:f>'Raw Inputs'!AZ113</x:f>
        <x:v>0.07166653187831482</x:v>
      </x:c>
      <x:c r="H101" s="268" t="n">
        <x:f>'Raw Inputs'!BA113</x:f>
        <x:v>0.21999999999999997</x:v>
      </x:c>
      <x:c r="I101" s="236" t="str">
        <x:f>IF('Raw Inputs'!AC113,"Asset growth only","Asset growth + capex")</x:f>
        <x:v>Asset growth + capex</x:v>
      </x:c>
      <x:c r="J101" s="269" t="n">
        <x:f>'Raw Inputs'!T113</x:f>
        <x:v>46022</x:v>
      </x:c>
      <x:c r="K101" s="271" t="n">
        <x:f>'Raw Inputs'!BS113</x:f>
        <x:v>14893741000</x:v>
      </x:c>
      <x:c r="L101" s="271" t="n">
        <x:f>'Raw Inputs'!BR113</x:f>
        <x:v>16538253000</x:v>
      </x:c>
      <x:c r="M101" s="20" t="str">
        <x:f>'Raw Inputs'!CC113</x:f>
        <x:v>https://data.sec.gov/api/xbrl/companyfacts/CIK0000898173.json</x:v>
      </x:c>
    </x:row>
    <x:row r="102">
      <x:c r="A102" s="237" t="n">
        <x:f>RANK(D102,$D$5:$D$121,0)</x:f>
        <x:v>98</x:v>
      </x:c>
      <x:c r="B102" s="236" t="str">
        <x:f>'Raw Inputs'!A104</x:f>
        <x:v>AWK</x:v>
      </x:c>
      <x:c r="C102" s="236" t="str">
        <x:f>'Raw Inputs'!B104</x:f>
        <x:v>American Water Works Co. Inc.</x:v>
      </x:c>
      <x:c r="D102" s="238" t="n">
        <x:f>IF(COUNT('Raw Inputs'!AY104,'Raw Inputs'!BA104)=0,"",1+9*AVERAGE('Raw Inputs'!AY104,'Raw Inputs'!BA104))</x:f>
        <x:v>3.0668965517241378</x:v>
      </x:c>
      <x:c r="E102" s="268" t="n">
        <x:f>'Raw Inputs'!AX104</x:f>
        <x:v>0.0795613767895218</x:v>
      </x:c>
      <x:c r="F102" s="268" t="n">
        <x:f>'Raw Inputs'!AY104</x:f>
        <x:v>0.3793103448275862</x:v>
      </x:c>
      <x:c r="G102" s="268" t="n">
        <x:f>'Raw Inputs'!AZ104</x:f>
        <x:v>0.0948265760487462</x:v>
      </x:c>
      <x:c r="H102" s="268" t="n">
        <x:f>'Raw Inputs'!BA104</x:f>
        <x:v>0.07999999999999996</x:v>
      </x:c>
      <x:c r="I102" s="236" t="str">
        <x:f>IF('Raw Inputs'!AC104,"Asset growth only","Asset growth + capex")</x:f>
        <x:v>Asset growth + capex</x:v>
      </x:c>
      <x:c r="J102" s="269" t="n">
        <x:f>'Raw Inputs'!T104</x:f>
        <x:v>46022</x:v>
      </x:c>
      <x:c r="K102" s="271" t="n">
        <x:f>'Raw Inputs'!BS104</x:f>
        <x:v>32830000000</x:v>
      </x:c>
      <x:c r="L102" s="271" t="n">
        <x:f>'Raw Inputs'!BR104</x:f>
        <x:v>35442000000</x:v>
      </x:c>
      <x:c r="M102" s="20" t="str">
        <x:f>'Raw Inputs'!CC104</x:f>
        <x:v>https://data.sec.gov/api/xbrl/companyfacts/CIK0001410636.json</x:v>
      </x:c>
    </x:row>
    <x:row r="103">
      <x:c r="A103" s="237" t="n">
        <x:f>RANK(D103,$D$5:$D$121,0)</x:f>
        <x:v>99</x:v>
      </x:c>
      <x:c r="B103" s="236" t="str">
        <x:f>'Raw Inputs'!A22</x:f>
        <x:v>ACGL</x:v>
      </x:c>
      <x:c r="C103" s="236" t="str">
        <x:f>'Raw Inputs'!B22</x:f>
        <x:v>Arch Capital Group Ltd.</x:v>
      </x:c>
      <x:c r="D103" s="238" t="n">
        <x:f>IF(COUNT('Raw Inputs'!AY22,'Raw Inputs'!BA22)=0,"",1+9*AVERAGE('Raw Inputs'!AY22,'Raw Inputs'!BA22))</x:f>
        <x:v>2.9396551724137936</x:v>
      </x:c>
      <x:c r="E103" s="268" t="n">
        <x:f>'Raw Inputs'!AX22</x:f>
        <x:v>0.11754999576904623</x:v>
      </x:c>
      <x:c r="F103" s="268" t="n">
        <x:f>'Raw Inputs'!AY22</x:f>
        <x:v>0.2155172413793104</x:v>
      </x:c>
      <x:c r="G103" s="268" t="n">
        <x:f>'Raw Inputs'!AZ22</x:f>
        <x:v>0.0005727720167569115</x:v>
      </x:c>
      <x:c r="H103" s="268" t="n">
        <x:f>'Raw Inputs'!BA22</x:f>
        <x:v>0</x:v>
      </x:c>
      <x:c r="I103" s="236" t="str">
        <x:f>IF('Raw Inputs'!AC22,"Asset growth only","Asset growth + capex")</x:f>
        <x:v>Asset growth only</x:v>
      </x:c>
      <x:c r="J103" s="269" t="n">
        <x:f>'Raw Inputs'!T22</x:f>
        <x:v>46022</x:v>
      </x:c>
      <x:c r="K103" s="271" t="n">
        <x:f>'Raw Inputs'!BS22</x:f>
        <x:v>70906000000</x:v>
      </x:c>
      <x:c r="L103" s="271" t="n">
        <x:f>'Raw Inputs'!BR22</x:f>
        <x:v>79241000000</x:v>
      </x:c>
      <x:c r="M103" s="20" t="str">
        <x:f>'Raw Inputs'!CC22</x:f>
        <x:v>https://data.sec.gov/api/xbrl/companyfacts/CIK0000947484.json</x:v>
      </x:c>
    </x:row>
    <x:row r="104">
      <x:c r="A104" s="237" t="n">
        <x:f>RANK(D104,$D$5:$D$121,0)</x:f>
        <x:v>100</x:v>
      </x:c>
      <x:c r="B104" s="236" t="str">
        <x:f>'Raw Inputs'!A87</x:f>
        <x:v>YUM</x:v>
      </x:c>
      <x:c r="C104" s="236" t="str">
        <x:f>'Raw Inputs'!B87</x:f>
        <x:v>Yum! Brands Inc.</x:v>
      </x:c>
      <x:c r="D104" s="238" t="n">
        <x:f>IF(COUNT('Raw Inputs'!AY87,'Raw Inputs'!BA87)=0,"",1+9*AVERAGE('Raw Inputs'!AY87,'Raw Inputs'!BA87))</x:f>
        <x:v>2.7953448275862067</x:v>
      </x:c>
      <x:c r="E104" s="268" t="n">
        <x:f>'Raw Inputs'!AX87</x:f>
        <x:v>0.21852237252861606</x:v>
      </x:c>
      <x:c r="F104" s="268" t="n">
        <x:f>'Raw Inputs'!AY87</x:f>
        <x:v>0.06896551724137934</x:v>
      </x:c>
      <x:c r="G104" s="268" t="n">
        <x:f>'Raw Inputs'!AZ87</x:f>
        <x:v>0.05025462342535513</x:v>
      </x:c>
      <x:c r="H104" s="268" t="n">
        <x:f>'Raw Inputs'!BA87</x:f>
        <x:v>0.32999999999999996</x:v>
      </x:c>
      <x:c r="I104" s="236" t="str">
        <x:f>IF('Raw Inputs'!AC87,"Asset growth only","Asset growth + capex")</x:f>
        <x:v>Asset growth + capex</x:v>
      </x:c>
      <x:c r="J104" s="269" t="n">
        <x:f>'Raw Inputs'!T87</x:f>
        <x:v>46022</x:v>
      </x:c>
      <x:c r="K104" s="271" t="n">
        <x:f>'Raw Inputs'!BS87</x:f>
        <x:v>6727000000</x:v>
      </x:c>
      <x:c r="L104" s="271" t="n">
        <x:f>'Raw Inputs'!BR87</x:f>
        <x:v>8197000000</x:v>
      </x:c>
      <x:c r="M104" s="20" t="str">
        <x:f>'Raw Inputs'!CC87</x:f>
        <x:v>https://data.sec.gov/api/xbrl/companyfacts/CIK0001041061.json</x:v>
      </x:c>
    </x:row>
    <x:row r="105">
      <x:c r="A105" s="237" t="n">
        <x:f>RANK(D105,$D$5:$D$121,0)</x:f>
        <x:v>101</x:v>
      </x:c>
      <x:c r="B105" s="236" t="str">
        <x:f>'Raw Inputs'!A46</x:f>
        <x:v>SIGI</x:v>
      </x:c>
      <x:c r="C105" s="236" t="str">
        <x:f>'Raw Inputs'!B46</x:f>
        <x:v>Selective Insurance Group Inc.</x:v>
      </x:c>
      <x:c r="D105" s="238" t="n">
        <x:f>IF(COUNT('Raw Inputs'!AY46,'Raw Inputs'!BA46)=0,"",1+9*AVERAGE('Raw Inputs'!AY46,'Raw Inputs'!BA46))</x:f>
        <x:v>2.7844827586206895</x:v>
      </x:c>
      <x:c r="E105" s="268" t="n">
        <x:f>'Raw Inputs'!AX46</x:f>
        <x:v>0.121466482376412</x:v>
      </x:c>
      <x:c r="F105" s="268" t="n">
        <x:f>'Raw Inputs'!AY46</x:f>
        <x:v>0.19827586206896552</x:v>
      </x:c>
      <x:c r="G105" s="268" t="n">
        <x:f>'Raw Inputs'!AZ46</x:f>
        <x:v>0.0025578046159144127</x:v>
      </x:c>
      <x:c r="H105" s="268" t="n">
        <x:f>'Raw Inputs'!BA46</x:f>
        <x:v>0</x:v>
      </x:c>
      <x:c r="I105" s="236" t="str">
        <x:f>IF('Raw Inputs'!AC46,"Asset growth only","Asset growth + capex")</x:f>
        <x:v>Asset growth only</x:v>
      </x:c>
      <x:c r="J105" s="269" t="n">
        <x:f>'Raw Inputs'!T46</x:f>
        <x:v>46022</x:v>
      </x:c>
      <x:c r="K105" s="271" t="n">
        <x:f>'Raw Inputs'!BS46</x:f>
        <x:v>13514189000</x:v>
      </x:c>
      <x:c r="L105" s="271" t="n">
        <x:f>'Raw Inputs'!BR46</x:f>
        <x:v>15155710000</x:v>
      </x:c>
      <x:c r="M105" s="20" t="str">
        <x:f>'Raw Inputs'!CC46</x:f>
        <x:v>https://data.sec.gov/api/xbrl/companyfacts/CIK0000230557.json</x:v>
      </x:c>
    </x:row>
    <x:row r="106">
      <x:c r="A106" s="237" t="n">
        <x:f>RANK(D106,$D$5:$D$121,0)</x:f>
        <x:v>102</x:v>
      </x:c>
      <x:c r="B106" s="236" t="str">
        <x:f>'Raw Inputs'!A116</x:f>
        <x:v>MTDR</x:v>
      </x:c>
      <x:c r="C106" s="236" t="str">
        <x:f>'Raw Inputs'!B116</x:f>
        <x:v>Matador Resources Co.</x:v>
      </x:c>
      <x:c r="D106" s="238" t="n">
        <x:f>IF(COUNT('Raw Inputs'!AY116,'Raw Inputs'!BA116)=0,"",1+9*AVERAGE('Raw Inputs'!AY116,'Raw Inputs'!BA116))</x:f>
        <x:v>2.745689655172414</x:v>
      </x:c>
      <x:c r="E106" s="268" t="n">
        <x:f>'Raw Inputs'!AX116</x:f>
        <x:v>0.0793042724271249</x:v>
      </x:c>
      <x:c r="F106" s="268" t="n">
        <x:f>'Raw Inputs'!AY116</x:f>
        <x:v>0.3879310344827587</x:v>
      </x:c>
      <x:c r="G106" s="268" t="n">
        <x:f>'Raw Inputs'!AZ116</x:f>
        <x:v>0.1859941443249179</x:v>
      </x:c>
      <x:c r="H106" s="268" t="n">
        <x:f>'Raw Inputs'!BA116</x:f>
        <x:v>0</x:v>
      </x:c>
      <x:c r="I106" s="236" t="str">
        <x:f>IF('Raw Inputs'!AC116,"Asset growth only","Asset growth + capex")</x:f>
        <x:v>Asset growth + capex</x:v>
      </x:c>
      <x:c r="J106" s="269" t="n">
        <x:f>'Raw Inputs'!T116</x:f>
        <x:v>46022</x:v>
      </x:c>
      <x:c r="K106" s="271" t="n">
        <x:f>'Raw Inputs'!BS116</x:f>
        <x:v>10850109000</x:v>
      </x:c>
      <x:c r="L106" s="271" t="n">
        <x:f>'Raw Inputs'!BR116</x:f>
        <x:v>11710569000</x:v>
      </x:c>
      <x:c r="M106" s="20" t="str">
        <x:f>'Raw Inputs'!CC116</x:f>
        <x:v>https://data.sec.gov/api/xbrl/companyfacts/CIK0001520006.json</x:v>
      </x:c>
    </x:row>
    <x:row r="107">
      <x:c r="A107" s="237" t="n">
        <x:f>RANK(D107,$D$5:$D$121,0)</x:f>
        <x:v>103</x:v>
      </x:c>
      <x:c r="B107" s="236" t="str">
        <x:f>'Raw Inputs'!A57</x:f>
        <x:v>VRSK</x:v>
      </x:c>
      <x:c r="C107" s="236" t="str">
        <x:f>'Raw Inputs'!B57</x:f>
        <x:v>Verisk Analytics Inc.</x:v>
      </x:c>
      <x:c r="D107" s="238" t="n">
        <x:f>IF(COUNT('Raw Inputs'!AY57,'Raw Inputs'!BA57)=0,"",1+9*AVERAGE('Raw Inputs'!AY57,'Raw Inputs'!BA57))</x:f>
        <x:v>2.6463793103448277</x:v>
      </x:c>
      <x:c r="E107" s="268" t="n">
        <x:f>'Raw Inputs'!AX57</x:f>
        <x:v>0.4527399348137031</x:v>
      </x:c>
      <x:c r="F107" s="268" t="n">
        <x:f>'Raw Inputs'!AY57</x:f>
        <x:v>0.025862068965517238</x:v>
      </x:c>
      <x:c r="G107" s="268" t="n">
        <x:f>'Raw Inputs'!AZ57</x:f>
        <x:v>0.04864151737060477</x:v>
      </x:c>
      <x:c r="H107" s="268" t="n">
        <x:f>'Raw Inputs'!BA57</x:f>
        <x:v>0.33999999999999997</x:v>
      </x:c>
      <x:c r="I107" s="236" t="str">
        <x:f>IF('Raw Inputs'!AC57,"Asset growth only","Asset growth + capex")</x:f>
        <x:v>Asset growth + capex</x:v>
      </x:c>
      <x:c r="J107" s="269" t="n">
        <x:f>'Raw Inputs'!T57</x:f>
        <x:v>46022</x:v>
      </x:c>
      <x:c r="K107" s="271" t="n">
        <x:f>'Raw Inputs'!BS57</x:f>
        <x:v>4264700000</x:v>
      </x:c>
      <x:c r="L107" s="271" t="n">
        <x:f>'Raw Inputs'!BR57</x:f>
        <x:v>6195500000</x:v>
      </x:c>
      <x:c r="M107" s="20" t="str">
        <x:f>'Raw Inputs'!CC57</x:f>
        <x:v>https://data.sec.gov/api/xbrl/companyfacts/CIK0001442145.json</x:v>
      </x:c>
    </x:row>
    <x:row r="108">
      <x:c r="A108" s="237" t="n">
        <x:f>RANK(D108,$D$5:$D$121,0)</x:f>
        <x:v>104</x:v>
      </x:c>
      <x:c r="B108" s="236" t="str">
        <x:f>'Raw Inputs'!A55</x:f>
        <x:v>TW</x:v>
      </x:c>
      <x:c r="C108" s="236" t="str">
        <x:f>'Raw Inputs'!B55</x:f>
        <x:v>Tradeweb Markets Inc.</x:v>
      </x:c>
      <x:c r="D108" s="238" t="n">
        <x:f>IF(COUNT('Raw Inputs'!AY55,'Raw Inputs'!BA55)=0,"",1+9*AVERAGE('Raw Inputs'!AY55,'Raw Inputs'!BA55))</x:f>
        <x:v>2.629310344827586</x:v>
      </x:c>
      <x:c r="E108" s="268" t="n">
        <x:f>'Raw Inputs'!AX55</x:f>
        <x:v>0.12679759047649064</x:v>
      </x:c>
      <x:c r="F108" s="268" t="n">
        <x:f>'Raw Inputs'!AY55</x:f>
        <x:v>0.18103448275862066</x:v>
      </x:c>
      <x:c r="G108" s="268" t="n">
        <x:f>'Raw Inputs'!AZ55</x:f>
        <x:v>0.0062756387655223496</x:v>
      </x:c>
      <x:c r="H108" s="268" t="n">
        <x:f>'Raw Inputs'!BA55</x:f>
        <x:v>0</x:v>
      </x:c>
      <x:c r="I108" s="236" t="str">
        <x:f>IF('Raw Inputs'!AC55,"Asset growth only","Asset growth + capex")</x:f>
        <x:v>Asset growth only</x:v>
      </x:c>
      <x:c r="J108" s="269" t="n">
        <x:f>'Raw Inputs'!T55</x:f>
        <x:v>46022</x:v>
      </x:c>
      <x:c r="K108" s="271" t="n">
        <x:f>'Raw Inputs'!BS55</x:f>
        <x:v>7267993000</x:v>
      </x:c>
      <x:c r="L108" s="271" t="n">
        <x:f>'Raw Inputs'!BR55</x:f>
        <x:v>8189557000</x:v>
      </x:c>
      <x:c r="M108" s="20" t="str">
        <x:f>'Raw Inputs'!CC55</x:f>
        <x:v>https://data.sec.gov/api/xbrl/companyfacts/CIK0001758730.json</x:v>
      </x:c>
    </x:row>
    <x:row r="109">
      <x:c r="A109" s="237" t="n">
        <x:f>RANK(D109,$D$5:$D$121,0)</x:f>
        <x:v>105</x:v>
      </x:c>
      <x:c r="B109" s="236" t="str">
        <x:f>'Raw Inputs'!A18</x:f>
        <x:v>SFM</x:v>
      </x:c>
      <x:c r="C109" s="236" t="str">
        <x:f>'Raw Inputs'!B18</x:f>
        <x:v>Sprouts Farmers Market Inc.</x:v>
      </x:c>
      <x:c r="D109" s="238" t="n">
        <x:f>IF(COUNT('Raw Inputs'!AY18,'Raw Inputs'!BA18)=0,"",1+9*AVERAGE('Raw Inputs'!AY18,'Raw Inputs'!BA18))</x:f>
        <x:v>2.5594827586206894</x:v>
      </x:c>
      <x:c r="E109" s="268" t="n">
        <x:f>'Raw Inputs'!AX18</x:f>
        <x:v>0.14226663615970447</x:v>
      </x:c>
      <x:c r="F109" s="268" t="n">
        <x:f>'Raw Inputs'!AY18</x:f>
        <x:v>0.14655172413793105</x:v>
      </x:c>
      <x:c r="G109" s="268" t="n">
        <x:f>'Raw Inputs'!AZ18</x:f>
        <x:v>0.0743495481930028</x:v>
      </x:c>
      <x:c r="H109" s="268" t="n">
        <x:f>'Raw Inputs'!BA18</x:f>
        <x:v>0.19999999999999996</x:v>
      </x:c>
      <x:c r="I109" s="236" t="str">
        <x:f>IF('Raw Inputs'!AC18,"Asset growth only","Asset growth + capex")</x:f>
        <x:v>Asset growth + capex</x:v>
      </x:c>
      <x:c r="J109" s="269" t="n">
        <x:f>'Raw Inputs'!T18</x:f>
        <x:v>46019</x:v>
      </x:c>
      <x:c r="K109" s="271" t="n">
        <x:f>'Raw Inputs'!BS18</x:f>
        <x:v>3640699000</x:v>
      </x:c>
      <x:c r="L109" s="271" t="n">
        <x:f>'Raw Inputs'!BR18</x:f>
        <x:v>4158649000</x:v>
      </x:c>
      <x:c r="M109" s="20" t="str">
        <x:f>'Raw Inputs'!CC18</x:f>
        <x:v>https://data.sec.gov/api/xbrl/companyfacts/CIK0001575515.json</x:v>
      </x:c>
    </x:row>
    <x:row r="110">
      <x:c r="A110" s="237" t="n">
        <x:f>RANK(D110,$D$5:$D$121,0)</x:f>
        <x:v>106</x:v>
      </x:c>
      <x:c r="B110" s="236" t="str">
        <x:f>'Raw Inputs'!A115</x:f>
        <x:v>AZO</x:v>
      </x:c>
      <x:c r="C110" s="236" t="str">
        <x:f>'Raw Inputs'!B115</x:f>
        <x:v>AutoZone Inc.</x:v>
      </x:c>
      <x:c r="D110" s="238" t="n">
        <x:f>IF(COUNT('Raw Inputs'!AY115,'Raw Inputs'!BA115)=0,"",1+9*AVERAGE('Raw Inputs'!AY115,'Raw Inputs'!BA115))</x:f>
        <x:v>2.5408620689655175</x:v>
      </x:c>
      <x:c r="E110" s="268" t="n">
        <x:f>'Raw Inputs'!AX115</x:f>
        <x:v>0.12684663230739512</x:v>
      </x:c>
      <x:c r="F110" s="268" t="n">
        <x:f>'Raw Inputs'!AY115</x:f>
        <x:v>0.1724137931034483</x:v>
      </x:c>
      <x:c r="G110" s="268" t="n">
        <x:f>'Raw Inputs'!AZ115</x:f>
        <x:v>0.07878711465624172</x:v>
      </x:c>
      <x:c r="H110" s="268" t="n">
        <x:f>'Raw Inputs'!BA115</x:f>
        <x:v>0.17000000000000004</x:v>
      </x:c>
      <x:c r="I110" s="236" t="str">
        <x:f>IF('Raw Inputs'!AC115,"Asset growth only","Asset growth + capex")</x:f>
        <x:v>Asset growth + capex</x:v>
      </x:c>
      <x:c r="J110" s="269" t="n">
        <x:f>'Raw Inputs'!T115</x:f>
        <x:v>45899</x:v>
      </x:c>
      <x:c r="K110" s="271" t="n">
        <x:f>'Raw Inputs'!BS115</x:f>
        <x:v>17176538000</x:v>
      </x:c>
      <x:c r="L110" s="271" t="n">
        <x:f>'Raw Inputs'!BR115</x:f>
        <x:v>19355324000</x:v>
      </x:c>
      <x:c r="M110" s="20" t="str">
        <x:f>'Raw Inputs'!CC115</x:f>
        <x:v>https://data.sec.gov/api/xbrl/companyfacts/CIK0000866787.json</x:v>
      </x:c>
    </x:row>
    <x:row r="111">
      <x:c r="A111" s="237" t="n">
        <x:f>RANK(D111,$D$5:$D$121,0)</x:f>
        <x:v>107</x:v>
      </x:c>
      <x:c r="B111" s="236" t="str">
        <x:f>'Raw Inputs'!A52</x:f>
        <x:v>TSCO</x:v>
      </x:c>
      <x:c r="C111" s="236" t="str">
        <x:f>'Raw Inputs'!B52</x:f>
        <x:v>Tractor Supply Co.</x:v>
      </x:c>
      <x:c r="D111" s="238" t="n">
        <x:f>IF(COUNT('Raw Inputs'!AY52,'Raw Inputs'!BA52)=0,"",1+9*AVERAGE('Raw Inputs'!AY52,'Raw Inputs'!BA52))</x:f>
        <x:v>2.4136206896551724</x:v>
      </x:c>
      <x:c r="E111" s="268" t="n">
        <x:f>'Raw Inputs'!AX52</x:f>
        <x:v>0.11505743979007677</x:v>
      </x:c>
      <x:c r="F111" s="268" t="n">
        <x:f>'Raw Inputs'!AY52</x:f>
        <x:v>0.22413793103448276</x:v>
      </x:c>
      <x:c r="G111" s="268" t="n">
        <x:f>'Raw Inputs'!AZ52</x:f>
        <x:v>0.09220236649847602</x:v>
      </x:c>
      <x:c r="H111" s="268" t="n">
        <x:f>'Raw Inputs'!BA52</x:f>
        <x:v>0.08999999999999997</x:v>
      </x:c>
      <x:c r="I111" s="236" t="str">
        <x:f>IF('Raw Inputs'!AC52,"Asset growth only","Asset growth + capex")</x:f>
        <x:v>Asset growth + capex</x:v>
      </x:c>
      <x:c r="J111" s="269" t="n">
        <x:f>'Raw Inputs'!T52</x:f>
        <x:v>46018</x:v>
      </x:c>
      <x:c r="K111" s="271" t="n">
        <x:f>'Raw Inputs'!BS52</x:f>
        <x:v>9805485000</x:v>
      </x:c>
      <x:c r="L111" s="271" t="n">
        <x:f>'Raw Inputs'!BR52</x:f>
        <x:v>10933679000</x:v>
      </x:c>
      <x:c r="M111" s="20" t="str">
        <x:f>'Raw Inputs'!CC52</x:f>
        <x:v>https://data.sec.gov/api/xbrl/companyfacts/CIK0000916365.json</x:v>
      </x:c>
    </x:row>
    <x:row r="112">
      <x:c r="A112" s="237" t="n">
        <x:f>RANK(D112,$D$5:$D$121,0)</x:f>
        <x:v>108</x:v>
      </x:c>
      <x:c r="B112" s="236" t="str">
        <x:f>'Raw Inputs'!A112</x:f>
        <x:v>CMS</x:v>
      </x:c>
      <x:c r="C112" s="236" t="str">
        <x:f>'Raw Inputs'!B112</x:f>
        <x:v>CMS Energy Corp.</x:v>
      </x:c>
      <x:c r="D112" s="238" t="n">
        <x:f>IF(COUNT('Raw Inputs'!AY112,'Raw Inputs'!BA112)=0,"",1+9*AVERAGE('Raw Inputs'!AY112,'Raw Inputs'!BA112))</x:f>
        <x:v>2.272413793103448</x:v>
      </x:c>
      <x:c r="E112" s="268" t="n">
        <x:f>'Raw Inputs'!AX112</x:f>
        <x:v>0.11194320712694883</x:v>
      </x:c>
      <x:c r="F112" s="268" t="n">
        <x:f>'Raw Inputs'!AY112</x:f>
        <x:v>0.23275862068965514</x:v>
      </x:c>
      <x:c r="G112" s="268" t="n">
        <x:f>'Raw Inputs'!AZ112</x:f>
        <x:v>0.09989322576818128</x:v>
      </x:c>
      <x:c r="H112" s="268" t="n">
        <x:f>'Raw Inputs'!BA112</x:f>
        <x:v>0.050000000000000044</x:v>
      </x:c>
      <x:c r="I112" s="236" t="str">
        <x:f>IF('Raw Inputs'!AC112,"Asset growth only","Asset growth + capex")</x:f>
        <x:v>Asset growth + capex</x:v>
      </x:c>
      <x:c r="J112" s="269" t="n">
        <x:f>'Raw Inputs'!T112</x:f>
        <x:v>46022</x:v>
      </x:c>
      <x:c r="K112" s="271" t="n">
        <x:f>'Raw Inputs'!BS112</x:f>
        <x:v>35920000000</x:v>
      </x:c>
      <x:c r="L112" s="271" t="n">
        <x:f>'Raw Inputs'!BR112</x:f>
        <x:v>39941000000</x:v>
      </x:c>
      <x:c r="M112" s="20" t="str">
        <x:f>'Raw Inputs'!CC112</x:f>
        <x:v>https://data.sec.gov/api/xbrl/companyfacts/CIK0000811156.json</x:v>
      </x:c>
    </x:row>
    <x:row r="113">
      <x:c r="A113" s="237" t="n">
        <x:f>RANK(D113,$D$5:$D$121,0)</x:f>
        <x:v>109</x:v>
      </x:c>
      <x:c r="B113" s="236" t="str">
        <x:f>'Raw Inputs'!A95</x:f>
        <x:v>ADC</x:v>
      </x:c>
      <x:c r="C113" s="236" t="str">
        <x:f>'Raw Inputs'!B95</x:f>
        <x:v>Agree Realty Corp. REIT</x:v>
      </x:c>
      <x:c r="D113" s="238" t="n">
        <x:f>IF(COUNT('Raw Inputs'!AY95,'Raw Inputs'!BA95)=0,"",1+9*AVERAGE('Raw Inputs'!AY95,'Raw Inputs'!BA95))</x:f>
        <x:v>2.163793103448276</x:v>
      </x:c>
      <x:c r="E113" s="268" t="n">
        <x:f>'Raw Inputs'!AX95</x:f>
        <x:v>0.15450118930822154</x:v>
      </x:c>
      <x:c r="F113" s="268" t="n">
        <x:f>'Raw Inputs'!AY95</x:f>
        <x:v>0.1293103448275862</x:v>
      </x:c>
      <x:c r="G113" s="268" t="n">
        <x:f>'Raw Inputs'!AZ95</x:f>
        <x:v>0.09571179439487668</x:v>
      </x:c>
      <x:c r="H113" s="268" t="n">
        <x:f>'Raw Inputs'!BA95</x:f>
        <x:v>0</x:v>
      </x:c>
      <x:c r="I113" s="236" t="str">
        <x:f>IF('Raw Inputs'!AC95,"Asset growth only","Asset growth + capex")</x:f>
        <x:v>Asset growth only</x:v>
      </x:c>
      <x:c r="J113" s="269" t="n">
        <x:f>'Raw Inputs'!T95</x:f>
        <x:v>46022</x:v>
      </x:c>
      <x:c r="K113" s="271" t="n">
        <x:f>'Raw Inputs'!BS95</x:f>
        <x:v>8486446000</x:v>
      </x:c>
      <x:c r="L113" s="271" t="n">
        <x:f>'Raw Inputs'!BR95</x:f>
        <x:v>9797612000</x:v>
      </x:c>
      <x:c r="M113" s="20" t="str">
        <x:f>'Raw Inputs'!CC95</x:f>
        <x:v>https://data.sec.gov/api/xbrl/companyfacts/CIK0000917251.json</x:v>
      </x:c>
    </x:row>
    <x:row r="114">
      <x:c r="A114" s="237" t="n">
        <x:f>RANK(D114,$D$5:$D$121,0)</x:f>
        <x:v>110</x:v>
      </x:c>
      <x:c r="B114" s="236" t="str">
        <x:f>'Raw Inputs'!A75</x:f>
        <x:v>ERIE</x:v>
      </x:c>
      <x:c r="C114" s="236" t="str">
        <x:f>'Raw Inputs'!B75</x:f>
        <x:v>Erie Indemnity Co.</x:v>
      </x:c>
      <x:c r="D114" s="238" t="n">
        <x:f>IF(COUNT('Raw Inputs'!AY75,'Raw Inputs'!BA75)=0,"",1+9*AVERAGE('Raw Inputs'!AY75,'Raw Inputs'!BA75))</x:f>
        <x:v>2.086206896551724</x:v>
      </x:c>
      <x:c r="E114" s="268" t="n">
        <x:f>'Raw Inputs'!AX75</x:f>
        <x:v>0.16162318676015563</x:v>
      </x:c>
      <x:c r="F114" s="268" t="n">
        <x:f>'Raw Inputs'!AY75</x:f>
        <x:v>0.12068965517241381</x:v>
      </x:c>
      <x:c r="G114" s="268" t="n">
        <x:f>'Raw Inputs'!AZ75</x:f>
        <x:v>0.03953559322848227</x:v>
      </x:c>
      <x:c r="H114" s="268" t="n">
        <x:f>'Raw Inputs'!BA75</x:f>
        <x:v>0</x:v>
      </x:c>
      <x:c r="I114" s="236" t="str">
        <x:f>IF('Raw Inputs'!AC75,"Asset growth only","Asset growth + capex")</x:f>
        <x:v>Asset growth only</x:v>
      </x:c>
      <x:c r="J114" s="269" t="n">
        <x:f>'Raw Inputs'!T75</x:f>
        <x:v>46022</x:v>
      </x:c>
      <x:c r="K114" s="271" t="n">
        <x:f>'Raw Inputs'!BS75</x:f>
        <x:v>2888614000</x:v>
      </x:c>
      <x:c r="L114" s="271" t="n">
        <x:f>'Raw Inputs'!BR75</x:f>
        <x:v>3355481000</x:v>
      </x:c>
      <x:c r="M114" s="20" t="str">
        <x:f>'Raw Inputs'!CC75</x:f>
        <x:v>https://data.sec.gov/api/xbrl/companyfacts/CIK0000922621.json</x:v>
      </x:c>
    </x:row>
    <x:row r="115">
      <x:c r="A115" s="237" t="n">
        <x:f>RANK(D115,$D$5:$D$121,0)</x:f>
        <x:v>111</x:v>
      </x:c>
      <x:c r="B115" s="236" t="str">
        <x:f>'Raw Inputs'!A30</x:f>
        <x:v>PGR</x:v>
      </x:c>
      <x:c r="C115" s="236" t="str">
        <x:f>'Raw Inputs'!B30</x:f>
        <x:v>The Progressive Corp.</x:v>
      </x:c>
      <x:c r="D115" s="238" t="n">
        <x:f>IF(COUNT('Raw Inputs'!AY30,'Raw Inputs'!BA30)=0,"",1+9*AVERAGE('Raw Inputs'!AY30,'Raw Inputs'!BA30))</x:f>
        <x:v>2.0086206896551717</x:v>
      </x:c>
      <x:c r="E115" s="268" t="n">
        <x:f>'Raw Inputs'!AX30</x:f>
        <x:v>0.16354437562059676</x:v>
      </x:c>
      <x:c r="F115" s="268" t="n">
        <x:f>'Raw Inputs'!AY30</x:f>
        <x:v>0.11206896551724133</x:v>
      </x:c>
      <x:c r="G115" s="268" t="n">
        <x:f>'Raw Inputs'!AZ30</x:f>
        <x:v>0.003077138261416882</x:v>
      </x:c>
      <x:c r="H115" s="268" t="n">
        <x:f>'Raw Inputs'!BA30</x:f>
        <x:v>0</x:v>
      </x:c>
      <x:c r="I115" s="236" t="str">
        <x:f>IF('Raw Inputs'!AC30,"Asset growth only","Asset growth + capex")</x:f>
        <x:v>Asset growth only</x:v>
      </x:c>
      <x:c r="J115" s="269" t="n">
        <x:f>'Raw Inputs'!T30</x:f>
        <x:v>46022</x:v>
      </x:c>
      <x:c r="K115" s="271" t="n">
        <x:f>'Raw Inputs'!BS30</x:f>
        <x:v>105745000000</x:v>
      </x:c>
      <x:c r="L115" s="271" t="n">
        <x:f>'Raw Inputs'!BR30</x:f>
        <x:v>123039000000</x:v>
      </x:c>
      <x:c r="M115" s="20" t="str">
        <x:f>'Raw Inputs'!CC30</x:f>
        <x:v>https://data.sec.gov/api/xbrl/companyfacts/CIK0000080661.json</x:v>
      </x:c>
    </x:row>
    <x:row r="116">
      <x:c r="A116" s="237" t="n">
        <x:f>RANK(D116,$D$5:$D$121,0)</x:f>
        <x:v>112</x:v>
      </x:c>
      <x:c r="B116" s="236" t="str">
        <x:f>'Raw Inputs'!A32</x:f>
        <x:v>CBOE</x:v>
      </x:c>
      <x:c r="C116" s="236" t="str">
        <x:f>'Raw Inputs'!B32</x:f>
        <x:v>CBOE Global Markets Inc.</x:v>
      </x:c>
      <x:c r="D116" s="238" t="n">
        <x:f>IF(COUNT('Raw Inputs'!AY32,'Raw Inputs'!BA32)=0,"",1+9*AVERAGE('Raw Inputs'!AY32,'Raw Inputs'!BA32))</x:f>
        <x:v>1.6982758620689653</x:v>
      </x:c>
      <x:c r="E116" s="268" t="n">
        <x:f>'Raw Inputs'!AX32</x:f>
        <x:v>0.19465663555481383</x:v>
      </x:c>
      <x:c r="F116" s="268" t="n">
        <x:f>'Raw Inputs'!AY32</x:f>
        <x:v>0.07758620689655171</x:v>
      </x:c>
      <x:c r="G116" s="268" t="n">
        <x:f>'Raw Inputs'!AZ32</x:f>
        <x:v>0.008833302134032198</x:v>
      </x:c>
      <x:c r="H116" s="268" t="n">
        <x:f>'Raw Inputs'!BA32</x:f>
        <x:v>0</x:v>
      </x:c>
      <x:c r="I116" s="236" t="str">
        <x:f>IF('Raw Inputs'!AC32,"Asset growth only","Asset growth + capex")</x:f>
        <x:v>Asset growth only</x:v>
      </x:c>
      <x:c r="J116" s="269" t="n">
        <x:f>'Raw Inputs'!T32</x:f>
        <x:v>46022</x:v>
      </x:c>
      <x:c r="K116" s="271" t="n">
        <x:f>'Raw Inputs'!BS32</x:f>
        <x:v>7789100000</x:v>
      </x:c>
      <x:c r="L116" s="271" t="n">
        <x:f>'Raw Inputs'!BR32</x:f>
        <x:v>9305300000</x:v>
      </x:c>
      <x:c r="M116" s="20" t="str">
        <x:f>'Raw Inputs'!CC32</x:f>
        <x:v>https://data.sec.gov/api/xbrl/companyfacts/CIK0001374310.json</x:v>
      </x:c>
    </x:row>
    <x:row r="117">
      <x:c r="A117" s="237" t="n">
        <x:f>RANK(D117,$D$5:$D$121,0)</x:f>
        <x:v>113</x:v>
      </x:c>
      <x:c r="B117" s="236" t="str">
        <x:f>'Raw Inputs'!A54</x:f>
        <x:v>WTM</x:v>
      </x:c>
      <x:c r="C117" s="236" t="str">
        <x:f>'Raw Inputs'!B54</x:f>
        <x:v>White Mountains Insurance Group Ltd.</x:v>
      </x:c>
      <x:c r="D117" s="238" t="n">
        <x:f>IF(COUNT('Raw Inputs'!AY54,'Raw Inputs'!BA54)=0,"",1+9*AVERAGE('Raw Inputs'!AY54,'Raw Inputs'!BA54))</x:f>
        <x:v>1.5431034482758617</x:v>
      </x:c>
      <x:c r="E117" s="268" t="n">
        <x:f>'Raw Inputs'!AX54</x:f>
        <x:v>0.2398746675263963</x:v>
      </x:c>
      <x:c r="F117" s="268" t="n">
        <x:f>'Raw Inputs'!AY54</x:f>
        <x:v>0.06034482758620685</x:v>
      </x:c>
      <x:c r="G117" s="268" t="n">
        <x:f>'Raw Inputs'!AZ54</x:f>
        <x:v>0</x:v>
      </x:c>
      <x:c r="H117" s="268" t="n">
        <x:f>'Raw Inputs'!BA54</x:f>
        <x:v>0</x:v>
      </x:c>
      <x:c r="I117" s="236" t="str">
        <x:f>IF('Raw Inputs'!AC54,"Asset growth only","Asset growth + capex")</x:f>
        <x:v>Asset growth only</x:v>
      </x:c>
      <x:c r="J117" s="269" t="n">
        <x:f>'Raw Inputs'!T54</x:f>
        <x:v>46022</x:v>
      </x:c>
      <x:c r="K117" s="271" t="n">
        <x:f>'Raw Inputs'!BS54</x:f>
        <x:v>9925600000</x:v>
      </x:c>
      <x:c r="L117" s="271" t="n">
        <x:f>'Raw Inputs'!BR54</x:f>
        <x:v>12306500000</x:v>
      </x:c>
      <x:c r="M117" s="20" t="str">
        <x:f>'Raw Inputs'!CC54</x:f>
        <x:v>https://data.sec.gov/api/xbrl/companyfacts/CIK0000776867.json</x:v>
      </x:c>
    </x:row>
    <x:row r="118">
      <x:c r="A118" s="237" t="n">
        <x:f>RANK(D118,$D$5:$D$121,0)</x:f>
        <x:v>114</x:v>
      </x:c>
      <x:c r="B118" s="236" t="str">
        <x:f>'Raw Inputs'!A91</x:f>
        <x:v>WELL</x:v>
      </x:c>
      <x:c r="C118" s="236" t="str">
        <x:f>'Raw Inputs'!B91</x:f>
        <x:v>Welltower Inc. REIT</x:v>
      </x:c>
      <x:c r="D118" s="238" t="n">
        <x:f>IF(COUNT('Raw Inputs'!AY91,'Raw Inputs'!BA91)=0,"",1+9*AVERAGE('Raw Inputs'!AY91,'Raw Inputs'!BA91))</x:f>
        <x:v>1.387931034482759</x:v>
      </x:c>
      <x:c r="E118" s="268" t="n">
        <x:f>'Raw Inputs'!AX91</x:f>
        <x:v>0.3185220769375501</x:v>
      </x:c>
      <x:c r="F118" s="268" t="n">
        <x:f>'Raw Inputs'!AY91</x:f>
        <x:v>0.0431034482758621</x:v>
      </x:c>
      <x:c r="G118" s="268" t="n">
        <x:f>'Raw Inputs'!AZ91</x:f>
        <x:v>0</x:v>
      </x:c>
      <x:c r="H118" s="268" t="n">
        <x:f>'Raw Inputs'!BA91</x:f>
        <x:v>0</x:v>
      </x:c>
      <x:c r="I118" s="236" t="str">
        <x:f>IF('Raw Inputs'!AC91,"Asset growth only","Asset growth + capex")</x:f>
        <x:v>Asset growth only</x:v>
      </x:c>
      <x:c r="J118" s="269" t="n">
        <x:f>'Raw Inputs'!T91</x:f>
        <x:v>46022</x:v>
      </x:c>
      <x:c r="K118" s="271" t="n">
        <x:f>'Raw Inputs'!BS91</x:f>
        <x:v>51044308000</x:v>
      </x:c>
      <x:c r="L118" s="271" t="n">
        <x:f>'Raw Inputs'!BR91</x:f>
        <x:v>67303047000</x:v>
      </x:c>
      <x:c r="M118" s="20" t="str">
        <x:f>'Raw Inputs'!CC91</x:f>
        <x:v>https://data.sec.gov/api/xbrl/companyfacts/CIK0000766704.json</x:v>
      </x:c>
    </x:row>
    <x:row r="119">
      <x:c r="A119" s="237" t="n">
        <x:f>RANK(D119,$D$5:$D$121,0)</x:f>
        <x:v>115</x:v>
      </x:c>
      <x:c r="B119" s="236" t="str">
        <x:f>'Raw Inputs'!A36</x:f>
        <x:v>CME</x:v>
      </x:c>
      <x:c r="C119" s="236" t="str">
        <x:f>'Raw Inputs'!B36</x:f>
        <x:v>CME Group Inc.</x:v>
      </x:c>
      <x:c r="D119" s="238" t="n">
        <x:f>IF(COUNT('Raw Inputs'!AY36,'Raw Inputs'!BA36)=0,"",1+9*AVERAGE('Raw Inputs'!AY36,'Raw Inputs'!BA36))</x:f>
        <x:v>1.3103448275862064</x:v>
      </x:c>
      <x:c r="E119" s="268" t="n">
        <x:f>'Raw Inputs'!AX36</x:f>
        <x:v>0.4436415491062009</x:v>
      </x:c>
      <x:c r="F119" s="268" t="n">
        <x:f>'Raw Inputs'!AY36</x:f>
        <x:v>0.03448275862068961</x:v>
      </x:c>
      <x:c r="G119" s="268" t="n">
        <x:f>'Raw Inputs'!AZ36</x:f>
        <x:v>0.0005424698515383278</x:v>
      </x:c>
      <x:c r="H119" s="268" t="n">
        <x:f>'Raw Inputs'!BA36</x:f>
        <x:v>0</x:v>
      </x:c>
      <x:c r="I119" s="236" t="str">
        <x:f>IF('Raw Inputs'!AC36,"Asset growth only","Asset growth + capex")</x:f>
        <x:v>Asset growth only</x:v>
      </x:c>
      <x:c r="J119" s="269" t="n">
        <x:f>'Raw Inputs'!T36</x:f>
        <x:v>46022</x:v>
      </x:c>
      <x:c r="K119" s="271" t="n">
        <x:f>'Raw Inputs'!BS36</x:f>
        <x:v>137447000000</x:v>
      </x:c>
      <x:c r="L119" s="271" t="n">
        <x:f>'Raw Inputs'!BR36</x:f>
        <x:v>198424200000</x:v>
      </x:c>
      <x:c r="M119" s="20" t="str">
        <x:f>'Raw Inputs'!CC36</x:f>
        <x:v>https://data.sec.gov/api/xbrl/companyfacts/CIK0001156375.json</x:v>
      </x:c>
    </x:row>
    <x:row r="120">
      <x:c r="A120" s="237" t="n">
        <x:f>RANK(D120,$D$5:$D$121,0)</x:f>
        <x:v>116</x:v>
      </x:c>
      <x:c r="B120" s="236" t="str">
        <x:f>'Raw Inputs'!A102</x:f>
        <x:v>BRO</x:v>
      </x:c>
      <x:c r="C120" s="236" t="str">
        <x:f>'Raw Inputs'!B102</x:f>
        <x:v>Brown &amp; Brown Inc.</x:v>
      </x:c>
      <x:c r="D120" s="238" t="n">
        <x:f>IF(COUNT('Raw Inputs'!AY102,'Raw Inputs'!BA102)=0,"",1+9*AVERAGE('Raw Inputs'!AY102,'Raw Inputs'!BA102))</x:f>
        <x:v>1.0775862068965514</x:v>
      </x:c>
      <x:c r="E120" s="268" t="n">
        <x:f>'Raw Inputs'!AX102</x:f>
        <x:v>0.7028730411083353</x:v>
      </x:c>
      <x:c r="F120" s="268" t="n">
        <x:f>'Raw Inputs'!AY102</x:f>
        <x:v>0.008620689655172376</x:v>
      </x:c>
      <x:c r="G120" s="268" t="n">
        <x:f>'Raw Inputs'!AZ102</x:f>
        <x:v>0.003025019431548432</x:v>
      </x:c>
      <x:c r="H120" s="268" t="n">
        <x:f>'Raw Inputs'!BA102</x:f>
        <x:v>0</x:v>
      </x:c>
      <x:c r="I120" s="236" t="str">
        <x:f>IF('Raw Inputs'!AC102,"Asset growth only","Asset growth + capex")</x:f>
        <x:v>Asset growth only</x:v>
      </x:c>
      <x:c r="J120" s="269" t="n">
        <x:f>'Raw Inputs'!T102</x:f>
        <x:v>46022</x:v>
      </x:c>
      <x:c r="K120" s="271" t="n">
        <x:f>'Raw Inputs'!BS102</x:f>
        <x:v>17612000000</x:v>
      </x:c>
      <x:c r="L120" s="271" t="n">
        <x:f>'Raw Inputs'!BR102</x:f>
        <x:v>29991000000</x:v>
      </x:c>
      <x:c r="M120" s="20" t="str">
        <x:f>'Raw Inputs'!CC102</x:f>
        <x:v>https://data.sec.gov/api/xbrl/companyfacts/CIK0000079282.json</x:v>
      </x:c>
    </x:row>
    <x:row r="121">
      <x:c r="A121" s="237" t="n">
        <x:f>RANK(D121,$D$5:$D$121,0)</x:f>
        <x:v>117</x:v>
      </x:c>
      <x:c r="B121" s="236" t="str">
        <x:f>'Raw Inputs'!A117</x:f>
        <x:v>VNOM</x:v>
      </x:c>
      <x:c r="C121" s="236" t="str">
        <x:f>'Raw Inputs'!B117</x:f>
        <x:v>Viper Energy Inc.</x:v>
      </x:c>
      <x:c r="D121" s="238" t="n">
        <x:f>IF(COUNT('Raw Inputs'!AY117,'Raw Inputs'!BA117)=0,"",1+9*AVERAGE('Raw Inputs'!AY117,'Raw Inputs'!BA117))</x:f>
        <x:v>1</x:v>
      </x:c>
      <x:c r="E121" s="268" t="n">
        <x:f>'Raw Inputs'!AX117</x:f>
        <x:v>1.4997040836456894</x:v>
      </x:c>
      <x:c r="F121" s="268" t="n">
        <x:f>'Raw Inputs'!AY117</x:f>
        <x:v>0</x:v>
      </x:c>
      <x:c r="G121" s="268" t="n">
        <x:f>'Raw Inputs'!AZ117</x:f>
        <x:v>0</x:v>
      </x:c>
      <x:c r="H121" s="268" t="n">
        <x:f>'Raw Inputs'!BA117</x:f>
        <x:v>0</x:v>
      </x:c>
      <x:c r="I121" s="236" t="str">
        <x:f>IF('Raw Inputs'!AC117,"Asset growth only","Asset growth + capex")</x:f>
        <x:v>Asset growth + capex</x:v>
      </x:c>
      <x:c r="J121" s="269" t="n">
        <x:f>'Raw Inputs'!T117</x:f>
        <x:v>46022</x:v>
      </x:c>
      <x:c r="K121" s="271" t="n">
        <x:f>'Raw Inputs'!BS117</x:f>
        <x:v>5069000000</x:v>
      </x:c>
      <x:c r="L121" s="271" t="n">
        <x:f>'Raw Inputs'!BR117</x:f>
        <x:v>12671000000</x:v>
      </x:c>
      <x:c r="M121" s="20" t="str">
        <x:f>'Raw Inputs'!CC117</x:f>
        <x:v>https://data.sec.gov/api/xbrl/companyfacts/CIK0002074176.json</x:v>
      </x:c>
    </x:row>
  </x:sheetData>
  <x:mergeCells>
    <x:mergeCell ref="A1:M1"/>
    <x:mergeCell ref="A2:M2"/>
    <x:mergeCell ref="A3:M3"/>
  </x:mergeCells>
  <x:conditionalFormatting sqref="D5:D12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85c1ad8ca1d42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0" hidden="0" customWidth="1"/>
    <x:col min="4" max="4" width="11" hidden="0" customWidth="1"/>
    <x:col min="5" max="5" width="20" hidden="0" customWidth="1"/>
    <x:col min="6" max="6" width="14" hidden="0" customWidth="1"/>
    <x:col min="7" max="7" width="17" hidden="0" customWidth="1"/>
    <x:col min="8" max="8" width="29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7" hidden="0" customWidth="1"/>
    <x:col min="14" max="14" width="44" hidden="0" customWidth="1"/>
  </x:cols>
  <x:sheetData>
    <x:row r="1" ht="34" customHeight="1">
      <x:c r="A1" s="24" t="str">
        <x:v>Shareholder Yield Ranking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33" t="str">
        <x:v>Higher scores reward cash returned through dividends and net buybacks, plus net debt paydown where economically comparable.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5"/>
    </x:row>
    <x:row r="3">
      <x:c r="A3" s="263" t="str">
        <x:v>Cash repurchases less issuance is preferred; inverse diluted-share growth is the fallback. Financial/real-estate debt changes are excluded because debt is operating funding.</x:v>
      </x:c>
      <x:c r="B3" s="264"/>
      <x:c r="C3" s="264"/>
      <x:c r="D3" s="264"/>
      <x:c r="E3" s="264"/>
      <x:c r="F3" s="264"/>
      <x:c r="G3" s="264"/>
      <x:c r="H3" s="264"/>
      <x:c r="I3" s="264"/>
      <x:c r="J3" s="264"/>
      <x:c r="K3" s="264"/>
      <x:c r="L3" s="264"/>
      <x:c r="M3" s="264"/>
      <x:c r="N3" s="265"/>
    </x:row>
    <x:row r="4">
      <x:c r="A4" s="7" t="str">
        <x:v>Rank</x:v>
      </x:c>
      <x:c r="B4" s="7" t="str">
        <x:v>Ticker</x:v>
      </x:c>
      <x:c r="C4" s="7" t="str">
        <x:v>Company</x:v>
      </x:c>
      <x:c r="D4" s="7" t="str">
        <x:v>SY Score</x:v>
      </x:c>
      <x:c r="E4" s="7" t="str">
        <x:v>Total Shareholder Yield</x:v>
      </x:c>
      <x:c r="F4" s="7" t="str">
        <x:v>Dividend Yield</x:v>
      </x:c>
      <x:c r="G4" s="7" t="str">
        <x:v>Net Buyback Yield</x:v>
      </x:c>
      <x:c r="H4" s="7" t="str">
        <x:v>Buyback Method</x:v>
      </x:c>
      <x:c r="I4" s="7" t="str">
        <x:v>Net Debt Paydown</x:v>
      </x:c>
      <x:c r="J4" s="7" t="str">
        <x:v>Cash Repurchases</x:v>
      </x:c>
      <x:c r="K4" s="7" t="str">
        <x:v>Cash Issuance</x:v>
      </x:c>
      <x:c r="L4" s="7" t="str">
        <x:v>Share Change Proxy</x:v>
      </x:c>
      <x:c r="M4" s="7" t="str">
        <x:v>Market Cap</x:v>
      </x:c>
      <x:c r="N4" s="7" t="str">
        <x:v>SEC Source</x:v>
      </x:c>
    </x:row>
    <x:row r="5">
      <x:c r="A5" s="237" t="n">
        <x:f>RANK(D5,$D$5:$D$121,0)</x:f>
        <x:v>1</x:v>
      </x:c>
      <x:c r="B5" s="236" t="str">
        <x:f>'Raw Inputs'!A13</x:f>
        <x:v>PPC</x:v>
      </x:c>
      <x:c r="C5" s="236" t="str">
        <x:f>'Raw Inputs'!B13</x:f>
        <x:v>Pilgrim's Pride Corp.</x:v>
      </x:c>
      <x:c r="D5" s="238" t="n">
        <x:f>1+9*'Raw Inputs'!BC13</x:f>
        <x:v>10</x:v>
      </x:c>
      <x:c r="E5" s="268" t="n">
        <x:f>'Raw Inputs'!BB13</x:f>
        <x:v>0.7731083143729311</x:v>
      </x:c>
      <x:c r="F5" s="268" t="n">
        <x:f>'Raw Inputs'!BD13</x:f>
        <x:v>0.29095308856078256</x:v>
      </x:c>
      <x:c r="G5" s="268" t="n">
        <x:f>'Raw Inputs'!BG13</x:f>
        <x:v>0.014428558025133017</x:v>
      </x:c>
      <x:c r="H5" s="236" t="str">
        <x:f>'Raw Inputs'!BH13</x:f>
        <x:v>cash repurchases less issuance</x:v>
      </x:c>
      <x:c r="I5" s="268" t="n">
        <x:f>'Raw Inputs'!BI13</x:f>
        <x:v>0.4677266677870156</x:v>
      </x:c>
      <x:c r="J5" s="271" t="n">
        <x:f>'Raw Inputs'!BK13</x:f>
        <x:v>99233000</x:v>
      </x:c>
      <x:c r="K5" s="271" t="n">
        <x:f>'Raw Inputs'!BL13</x:f>
        <x:v>332000</x:v>
      </x:c>
      <x:c r="L5" s="268" t="n">
        <x:f>'Raw Inputs'!BY13</x:f>
        <x:v>0.0027291841883936296</x:v>
      </x:c>
      <x:c r="M5" s="271" t="n">
        <x:f>'Raw Inputs'!M13</x:f>
        <x:v>6854531120</x:v>
      </x:c>
      <x:c r="N5" s="20" t="str">
        <x:f>'Raw Inputs'!CC13</x:f>
        <x:v>https://data.sec.gov/api/xbrl/companyfacts/CIK0000802481.json</x:v>
      </x:c>
    </x:row>
    <x:row r="6">
      <x:c r="A6" s="237" t="n">
        <x:f>RANK(D6,$D$5:$D$121,0)</x:f>
        <x:v>2</x:v>
      </x:c>
      <x:c r="B6" s="236" t="str">
        <x:f>'Raw Inputs'!A66</x:f>
        <x:v>ACI</x:v>
      </x:c>
      <x:c r="C6" s="236" t="str">
        <x:f>'Raw Inputs'!B66</x:f>
        <x:v>Albertsons Cos. Inc.</x:v>
      </x:c>
      <x:c r="D6" s="238" t="n">
        <x:f>1+9*'Raw Inputs'!BC66</x:f>
        <x:v>9.922413793103448</x:v>
      </x:c>
      <x:c r="E6" s="268" t="n">
        <x:f>'Raw Inputs'!BB66</x:f>
        <x:v>0.24613747085921606</x:v>
      </x:c>
      <x:c r="F6" s="268" t="n">
        <x:f>'Raw Inputs'!BD66</x:f>
        <x:v>0.044104926340312635</x:v>
      </x:c>
      <x:c r="G6" s="268" t="n">
        <x:f>'Raw Inputs'!BG66</x:f>
        <x:v>0.20203254451890343</x:v>
      </x:c>
      <x:c r="H6" s="236" t="str">
        <x:f>'Raw Inputs'!BH66</x:f>
        <x:v>cash repurchases less issuance</x:v>
      </x:c>
      <x:c r="I6" s="268" t="n">
        <x:f>'Raw Inputs'!BI66</x:f>
        <x:v>0</x:v>
      </x:c>
      <x:c r="J6" s="271" t="n">
        <x:f>'Raw Inputs'!BK66</x:f>
        <x:v>1478200000</x:v>
      </x:c>
      <x:c r="K6" s="271" t="n">
        <x:f>'Raw Inputs'!BL66</x:f>
        <x:v>0</x:v>
      </x:c>
      <x:c r="L6" s="268" t="n">
        <x:f>'Raw Inputs'!BY66</x:f>
        <x:v>-0.0626927029804728</x:v>
      </x:c>
      <x:c r="M6" s="271" t="n">
        <x:f>'Raw Inputs'!M66</x:f>
        <x:v>7316642987</x:v>
      </x:c>
      <x:c r="N6" s="20" t="str">
        <x:f>'Raw Inputs'!CC66</x:f>
        <x:v>https://data.sec.gov/api/xbrl/companyfacts/CIK0001646972.json</x:v>
      </x:c>
    </x:row>
    <x:row r="7">
      <x:c r="A7" s="237" t="n">
        <x:f>RANK(D7,$D$5:$D$121,0)</x:f>
        <x:v>3</x:v>
      </x:c>
      <x:c r="B7" s="236" t="str">
        <x:f>'Raw Inputs'!A21</x:f>
        <x:v>RTX</x:v>
      </x:c>
      <x:c r="C7" s="236" t="str">
        <x:f>'Raw Inputs'!B21</x:f>
        <x:v>RTX Corp.</x:v>
      </x:c>
      <x:c r="D7" s="238" t="n">
        <x:f>1+9*'Raw Inputs'!BC21</x:f>
        <x:v>9.844827586206897</x:v>
      </x:c>
      <x:c r="E7" s="268" t="n">
        <x:f>'Raw Inputs'!BB21</x:f>
        <x:v>0.1701708304128117</x:v>
      </x:c>
      <x:c r="F7" s="268" t="n">
        <x:f>'Raw Inputs'!BD21</x:f>
        <x:v>0.013675808326483832</x:v>
      </x:c>
      <x:c r="G7" s="268" t="n">
        <x:f>'Raw Inputs'!BG21</x:f>
        <x:v>0.00009183531053038947</x:v>
      </x:c>
      <x:c r="H7" s="236" t="str">
        <x:f>'Raw Inputs'!BH21</x:f>
        <x:v>cash repurchases less issuance</x:v>
      </x:c>
      <x:c r="I7" s="268" t="n">
        <x:f>'Raw Inputs'!BI21</x:f>
        <x:v>0.15640318677579748</x:v>
      </x:c>
      <x:c r="J7" s="271" t="n">
        <x:f>'Raw Inputs'!BK21</x:f>
        <x:v>50000000</x:v>
      </x:c>
      <x:c r="K7" s="271" t="n">
        <x:f>'Raw Inputs'!BL21</x:f>
        <x:v>26000000</x:v>
      </x:c>
      <x:c r="L7" s="268" t="n">
        <x:f>'Raw Inputs'!BY21</x:f>
        <x:v>0.009526644834772169</x:v>
      </x:c>
      <x:c r="M7" s="271" t="n">
        <x:f>'Raw Inputs'!M21</x:f>
        <x:v>261337386038</x:v>
      </x:c>
      <x:c r="N7" s="20" t="str">
        <x:f>'Raw Inputs'!CC21</x:f>
        <x:v>https://data.sec.gov/api/xbrl/companyfacts/CIK0000101829.json</x:v>
      </x:c>
    </x:row>
    <x:row r="8">
      <x:c r="A8" s="237" t="n">
        <x:f>RANK(D8,$D$5:$D$121,0)</x:f>
        <x:v>4</x:v>
      </x:c>
      <x:c r="B8" s="236" t="str">
        <x:f>'Raw Inputs'!A20</x:f>
        <x:v>AIG</x:v>
      </x:c>
      <x:c r="C8" s="236" t="str">
        <x:f>'Raw Inputs'!B20</x:f>
        <x:v>American International Group Inc.</x:v>
      </x:c>
      <x:c r="D8" s="238" t="n">
        <x:f>1+9*'Raw Inputs'!BC20</x:f>
        <x:v>9.767241379310345</x:v>
      </x:c>
      <x:c r="E8" s="268" t="n">
        <x:f>'Raw Inputs'!BB20</x:f>
        <x:v>0.1626359075643661</x:v>
      </x:c>
      <x:c r="F8" s="268" t="n">
        <x:f>'Raw Inputs'!BD20</x:f>
        <x:v>0.023844471350881975</x:v>
      </x:c>
      <x:c r="G8" s="268" t="n">
        <x:f>'Raw Inputs'!BG20</x:f>
        <x:v>0.13879143621348414</x:v>
      </x:c>
      <x:c r="H8" s="236" t="str">
        <x:f>'Raw Inputs'!BH20</x:f>
        <x:v>cash repurchases less issuance</x:v>
      </x:c>
      <x:c r="I8" s="268" t="n">
        <x:f>'Raw Inputs'!BI20</x:f>
        <x:v>0</x:v>
      </x:c>
      <x:c r="J8" s="271" t="n">
        <x:f>'Raw Inputs'!BK20</x:f>
        <x:v>5836000000</x:v>
      </x:c>
      <x:c r="K8" s="271" t="n">
        <x:f>'Raw Inputs'!BL20</x:f>
        <x:v>155000000</x:v>
      </x:c>
      <x:c r="L8" s="268" t="n">
        <x:f>'Raw Inputs'!BY20</x:f>
        <x:v>-0.13226137118741943</x:v>
      </x:c>
      <x:c r="M8" s="271" t="n">
        <x:f>'Raw Inputs'!M20</x:f>
        <x:v>40931920261</x:v>
      </x:c>
      <x:c r="N8" s="20" t="str">
        <x:f>'Raw Inputs'!CC20</x:f>
        <x:v>https://data.sec.gov/api/xbrl/companyfacts/CIK0000005272.json</x:v>
      </x:c>
    </x:row>
    <x:row r="9">
      <x:c r="A9" s="237" t="n">
        <x:f>RANK(D9,$D$5:$D$121,0)</x:f>
        <x:v>5</x:v>
      </x:c>
      <x:c r="B9" s="236" t="str">
        <x:f>'Raw Inputs'!A25</x:f>
        <x:v>CMCSA</x:v>
      </x:c>
      <x:c r="C9" s="236" t="str">
        <x:f>'Raw Inputs'!B25</x:f>
        <x:v>Comcast Corp.</x:v>
      </x:c>
      <x:c r="D9" s="238" t="n">
        <x:f>1+9*'Raw Inputs'!BC25</x:f>
        <x:v>9.689655172413794</x:v>
      </x:c>
      <x:c r="E9" s="268" t="n">
        <x:f>'Raw Inputs'!BB25</x:f>
        <x:v>0.1428887934711651</x:v>
      </x:c>
      <x:c r="F9" s="268" t="n">
        <x:f>'Raw Inputs'!BD25</x:f>
        <x:v>0.058037825151289066</x:v>
      </x:c>
      <x:c r="G9" s="268" t="n">
        <x:f>'Raw Inputs'!BG25</x:f>
        <x:v>0.08485096831987603</x:v>
      </x:c>
      <x:c r="H9" s="236" t="str">
        <x:f>'Raw Inputs'!BH25</x:f>
        <x:v>cash repurchases less issuance</x:v>
      </x:c>
      <x:c r="I9" s="268" t="n">
        <x:f>'Raw Inputs'!BI25</x:f>
        <x:v>0</x:v>
      </x:c>
      <x:c r="J9" s="271" t="n">
        <x:f>'Raw Inputs'!BK25</x:f>
        <x:v>7155000000</x:v>
      </x:c>
      <x:c r="K9" s="271" t="n">
        <x:f>'Raw Inputs'!BL25</x:f>
        <x:v>0</x:v>
      </x:c>
      <x:c r="L9" s="268" t="n">
        <x:f>'Raw Inputs'!BY25</x:f>
        <x:v>-0.050921187308085925</x:v>
      </x:c>
      <x:c r="M9" s="271" t="n">
        <x:f>'Raw Inputs'!M25</x:f>
        <x:v>84324317585</x:v>
      </x:c>
      <x:c r="N9" s="20" t="str">
        <x:f>'Raw Inputs'!CC25</x:f>
        <x:v>https://data.sec.gov/api/xbrl/companyfacts/CIK0001166691.json</x:v>
      </x:c>
    </x:row>
    <x:row r="10">
      <x:c r="A10" s="237" t="n">
        <x:f>RANK(D10,$D$5:$D$121,0)</x:f>
        <x:v>6</x:v>
      </x:c>
      <x:c r="B10" s="236" t="str">
        <x:f>'Raw Inputs'!A23</x:f>
        <x:v>DOX</x:v>
      </x:c>
      <x:c r="C10" s="236" t="str">
        <x:f>'Raw Inputs'!B23</x:f>
        <x:v>Amdocs Ltd.</x:v>
      </x:c>
      <x:c r="D10" s="238" t="n">
        <x:f>1+9*'Raw Inputs'!BC23</x:f>
        <x:v>9.612068965517242</x:v>
      </x:c>
      <x:c r="E10" s="268" t="n">
        <x:f>'Raw Inputs'!BB23</x:f>
        <x:v>0.13167787133185785</x:v>
      </x:c>
      <x:c r="F10" s="268" t="n">
        <x:f>'Raw Inputs'!BD23</x:f>
        <x:v>0.03733741873735849</x:v>
      </x:c>
      <x:c r="G10" s="268" t="n">
        <x:f>'Raw Inputs'!BG23</x:f>
        <x:v>0.09444526024922265</x:v>
      </x:c>
      <x:c r="H10" s="236" t="str">
        <x:f>'Raw Inputs'!BH23</x:f>
        <x:v>cash repurchases less issuance</x:v>
      </x:c>
      <x:c r="I10" s="268" t="n">
        <x:f>'Raw Inputs'!BI23</x:f>
        <x:v>-0.00010480765472327438</x:v>
      </x:c>
      <x:c r="J10" s="271" t="n">
        <x:f>'Raw Inputs'!BK23</x:f>
        <x:v>563121000</x:v>
      </x:c>
      <x:c r="K10" s="271" t="n">
        <x:f>'Raw Inputs'!BL23</x:f>
        <x:v>26949000</x:v>
      </x:c>
      <x:c r="L10" s="268" t="n">
        <x:f>'Raw Inputs'!BY23</x:f>
        <x:v>-0.03507482015590668</x:v>
      </x:c>
      <x:c r="M10" s="271" t="n">
        <x:f>'Raw Inputs'!M23</x:f>
        <x:v>5677066256</x:v>
      </x:c>
      <x:c r="N10" s="20" t="str">
        <x:f>'Raw Inputs'!CC23</x:f>
        <x:v>https://data.sec.gov/api/xbrl/companyfacts/CIK0001062579.json</x:v>
      </x:c>
    </x:row>
    <x:row r="11">
      <x:c r="A11" s="237" t="n">
        <x:f>RANK(D11,$D$5:$D$121,0)</x:f>
        <x:v>7</x:v>
      </x:c>
      <x:c r="B11" s="236" t="str">
        <x:f>'Raw Inputs'!A11</x:f>
        <x:v>MKTX</x:v>
      </x:c>
      <x:c r="C11" s="236" t="str">
        <x:f>'Raw Inputs'!B11</x:f>
        <x:v>MarketAxess Holdings Inc.</x:v>
      </x:c>
      <x:c r="D11" s="238" t="n">
        <x:f>1+9*'Raw Inputs'!BC11</x:f>
        <x:v>9.53448275862069</x:v>
      </x:c>
      <x:c r="E11" s="268" t="n">
        <x:f>'Raw Inputs'!BB11</x:f>
        <x:v>0.12968537401783406</x:v>
      </x:c>
      <x:c r="F11" s="268" t="n">
        <x:f>'Raw Inputs'!BD11</x:f>
        <x:v>0.027913368113465762</x:v>
      </x:c>
      <x:c r="G11" s="268" t="n">
        <x:f>'Raw Inputs'!BG11</x:f>
        <x:v>0.10177200590436829</x:v>
      </x:c>
      <x:c r="H11" s="236" t="str">
        <x:f>'Raw Inputs'!BH11</x:f>
        <x:v>cash repurchases less issuance</x:v>
      </x:c>
      <x:c r="I11" s="268" t="n">
        <x:f>'Raw Inputs'!BI11</x:f>
        <x:v>0</x:v>
      </x:c>
      <x:c r="J11" s="271" t="n">
        <x:f>'Raw Inputs'!BK11</x:f>
        <x:v>420015000</x:v>
      </x:c>
      <x:c r="K11" s="271" t="n">
        <x:f>'Raw Inputs'!BL11</x:f>
        <x:v>0</x:v>
      </x:c>
      <x:c r="L11" s="268" t="n">
        <x:f>'Raw Inputs'!BY11</x:f>
        <x:v>-0.014201528987046075</x:v>
      </x:c>
      <x:c r="M11" s="271" t="n">
        <x:f>'Raw Inputs'!M11</x:f>
        <x:v>4127018980</x:v>
      </x:c>
      <x:c r="N11" s="20" t="str">
        <x:f>'Raw Inputs'!CC11</x:f>
        <x:v>https://data.sec.gov/api/xbrl/companyfacts/CIK0001278021.json</x:v>
      </x:c>
    </x:row>
    <x:row r="12">
      <x:c r="A12" s="237" t="n">
        <x:f>RANK(D12,$D$5:$D$121,0)</x:f>
        <x:v>8</x:v>
      </x:c>
      <x:c r="B12" s="236" t="str">
        <x:f>'Raw Inputs'!A7</x:f>
        <x:v>RNR</x:v>
      </x:c>
      <x:c r="C12" s="236" t="str">
        <x:f>'Raw Inputs'!B7</x:f>
        <x:v>RenaissanceRe Holdings Ltd.</x:v>
      </x:c>
      <x:c r="D12" s="238" t="n">
        <x:f>1+9*'Raw Inputs'!BC7</x:f>
        <x:v>9.456896551724139</x:v>
      </x:c>
      <x:c r="E12" s="268" t="n">
        <x:f>'Raw Inputs'!BB7</x:f>
        <x:v>0.1256480727429082</x:v>
      </x:c>
      <x:c r="F12" s="268" t="n">
        <x:f>'Raw Inputs'!BD7</x:f>
        <x:v>0.005615855206705121</x:v>
      </x:c>
      <x:c r="G12" s="268" t="n">
        <x:f>'Raw Inputs'!BG7</x:f>
        <x:v>0.12003221753620309</x:v>
      </x:c>
      <x:c r="H12" s="236" t="str">
        <x:f>'Raw Inputs'!BH7</x:f>
        <x:v>cash repurchases less issuance</x:v>
      </x:c>
      <x:c r="I12" s="268" t="n">
        <x:f>'Raw Inputs'!BI7</x:f>
        <x:v>0</x:v>
      </x:c>
      <x:c r="J12" s="271" t="n">
        <x:f>'Raw Inputs'!BK7</x:f>
        <x:v>1599680000</x:v>
      </x:c>
      <x:c r="K12" s="271" t="n">
        <x:f>'Raw Inputs'!BL7</x:f>
        <x:v>0</x:v>
      </x:c>
      <x:c r="L12" s="268" t="n">
        <x:f>'Raw Inputs'!BY7</x:f>
        <x:v>-0.09458696117961007</x:v>
      </x:c>
      <x:c r="M12" s="271" t="n">
        <x:f>'Raw Inputs'!M7</x:f>
        <x:v>13327088617</x:v>
      </x:c>
      <x:c r="N12" s="20" t="str">
        <x:f>'Raw Inputs'!CC7</x:f>
        <x:v>https://data.sec.gov/api/xbrl/companyfacts/CIK0000913144.json</x:v>
      </x:c>
    </x:row>
    <x:row r="13">
      <x:c r="A13" s="237" t="n">
        <x:f>RANK(D13,$D$5:$D$121,0)</x:f>
        <x:v>9</x:v>
      </x:c>
      <x:c r="B13" s="236" t="str">
        <x:f>'Raw Inputs'!A6</x:f>
        <x:v>AXS</x:v>
      </x:c>
      <x:c r="C13" s="236" t="str">
        <x:f>'Raw Inputs'!B6</x:f>
        <x:v>Axis Capital Holdings Ltd.</x:v>
      </x:c>
      <x:c r="D13" s="238" t="n">
        <x:f>1+9*'Raw Inputs'!BC6</x:f>
        <x:v>9.379310344827585</x:v>
      </x:c>
      <x:c r="E13" s="268" t="n">
        <x:f>'Raw Inputs'!BB6</x:f>
        <x:v>0.12488618837433318</x:v>
      </x:c>
      <x:c r="F13" s="268" t="n">
        <x:f>'Raw Inputs'!BD6</x:f>
        <x:v>0.01729853242522951</x:v>
      </x:c>
      <x:c r="G13" s="268" t="n">
        <x:f>'Raw Inputs'!BG6</x:f>
        <x:v>0.10758765594910367</x:v>
      </x:c>
      <x:c r="H13" s="236" t="str">
        <x:f>'Raw Inputs'!BH6</x:f>
        <x:v>cash repurchases less issuance</x:v>
      </x:c>
      <x:c r="I13" s="268" t="n">
        <x:f>'Raw Inputs'!BI6</x:f>
        <x:v>0</x:v>
      </x:c>
      <x:c r="J13" s="271" t="n">
        <x:f>'Raw Inputs'!BK6</x:f>
        <x:v>887717000</x:v>
      </x:c>
      <x:c r="K13" s="271" t="n">
        <x:f>'Raw Inputs'!BL6</x:f>
        <x:v>0</x:v>
      </x:c>
      <x:c r="L13" s="268" t="n">
        <x:f>'Raw Inputs'!BY6</x:f>
        <x:v>-0.06938574246266549</x:v>
      </x:c>
      <x:c r="M13" s="271" t="n">
        <x:f>'Raw Inputs'!M6</x:f>
        <x:v>8251104573</x:v>
      </x:c>
      <x:c r="N13" s="20" t="str">
        <x:f>'Raw Inputs'!CC6</x:f>
        <x:v>https://data.sec.gov/api/xbrl/companyfacts/CIK0001214816.json</x:v>
      </x:c>
    </x:row>
    <x:row r="14">
      <x:c r="A14" s="237" t="n">
        <x:f>RANK(D14,$D$5:$D$121,0)</x:f>
        <x:v>10</x:v>
      </x:c>
      <x:c r="B14" s="236" t="str">
        <x:f>'Raw Inputs'!A29</x:f>
        <x:v>DG</x:v>
      </x:c>
      <x:c r="C14" s="236" t="str">
        <x:f>'Raw Inputs'!B29</x:f>
        <x:v>Dollar General Corp.</x:v>
      </x:c>
      <x:c r="D14" s="238" t="n">
        <x:f>1+9*'Raw Inputs'!BC29</x:f>
        <x:v>9.301724137931034</x:v>
      </x:c>
      <x:c r="E14" s="268" t="n">
        <x:f>'Raw Inputs'!BB29</x:f>
        <x:v>0.12123162316126479</x:v>
      </x:c>
      <x:c r="F14" s="268" t="n">
        <x:f>'Raw Inputs'!BD29</x:f>
        <x:v>0.019275895871637957</x:v>
      </x:c>
      <x:c r="G14" s="268" t="n">
        <x:f>'Raw Inputs'!BG29</x:f>
        <x:v>0.10195572728962683</x:v>
      </x:c>
      <x:c r="H14" s="236" t="str">
        <x:f>'Raw Inputs'!BH29</x:f>
        <x:v>cash repurchases less issuance</x:v>
      </x:c>
      <x:c r="I14" s="268" t="n">
        <x:f>'Raw Inputs'!BI29</x:f>
        <x:v>0</x:v>
      </x:c>
      <x:c r="J14" s="271" t="n">
        <x:f>'Raw Inputs'!BK29</x:f>
        <x:v>2748014000</x:v>
      </x:c>
      <x:c r="K14" s="271" t="n">
        <x:f>'Raw Inputs'!BL29</x:f>
        <x:v>177000</x:v>
      </x:c>
      <x:c r="L14" s="268" t="n">
        <x:f>'Raw Inputs'!BY29</x:f>
        <x:v>0.0035768337522212867</x:v>
      </x:c>
      <x:c r="M14" s="271" t="n">
        <x:f>'Raw Inputs'!M29</x:f>
        <x:v>26951276530</x:v>
      </x:c>
      <x:c r="N14" s="20" t="str">
        <x:f>'Raw Inputs'!CC29</x:f>
        <x:v>https://data.sec.gov/api/xbrl/companyfacts/CIK0000029534.json</x:v>
      </x:c>
    </x:row>
    <x:row r="15">
      <x:c r="A15" s="237" t="n">
        <x:f>RANK(D15,$D$5:$D$121,0)</x:f>
        <x:v>11</x:v>
      </x:c>
      <x:c r="B15" s="236" t="str">
        <x:f>'Raw Inputs'!A50</x:f>
        <x:v>FCN</x:v>
      </x:c>
      <x:c r="C15" s="236" t="str">
        <x:f>'Raw Inputs'!B50</x:f>
        <x:v>FTI Consulting Inc.</x:v>
      </x:c>
      <x:c r="D15" s="238" t="n">
        <x:f>1+9*'Raw Inputs'!BC50</x:f>
        <x:v>9.224137931034484</x:v>
      </x:c>
      <x:c r="E15" s="268" t="n">
        <x:f>'Raw Inputs'!BB50</x:f>
        <x:v>0.10098141950537431</x:v>
      </x:c>
      <x:c r="F15" s="268" t="n">
        <x:f>'Raw Inputs'!BD50</x:f>
        <x:v>0</x:v>
      </x:c>
      <x:c r="G15" s="268" t="n">
        <x:f>'Raw Inputs'!BG50</x:f>
        <x:v>0.17585251782254496</x:v>
      </x:c>
      <x:c r="H15" s="236" t="str">
        <x:f>'Raw Inputs'!BH50</x:f>
        <x:v>cash repurchases less issuance</x:v>
      </x:c>
      <x:c r="I15" s="268" t="n">
        <x:f>'Raw Inputs'!BI50</x:f>
        <x:v>-0.07487109831717065</x:v>
      </x:c>
      <x:c r="J15" s="271" t="n">
        <x:f>'Raw Inputs'!BK50</x:f>
        <x:v>858681000</x:v>
      </x:c>
      <x:c r="K15" s="271" t="n">
        <x:f>'Raw Inputs'!BL50</x:f>
        <x:v>1392000</x:v>
      </x:c>
      <x:c r="L15" s="268" t="n">
        <x:f>'Raw Inputs'!BY50</x:f>
        <x:v>-0.08268935695354995</x:v>
      </x:c>
      <x:c r="M15" s="271" t="n">
        <x:f>'Raw Inputs'!M50</x:f>
        <x:v>4875045354</x:v>
      </x:c>
      <x:c r="N15" s="20" t="str">
        <x:f>'Raw Inputs'!CC50</x:f>
        <x:v>https://data.sec.gov/api/xbrl/companyfacts/CIK0000887936.json</x:v>
      </x:c>
    </x:row>
    <x:row r="16">
      <x:c r="A16" s="237" t="n">
        <x:f>RANK(D16,$D$5:$D$121,0)</x:f>
        <x:v>12</x:v>
      </x:c>
      <x:c r="B16" s="236" t="str">
        <x:f>'Raw Inputs'!A44</x:f>
        <x:v>LYB</x:v>
      </x:c>
      <x:c r="C16" s="236" t="str">
        <x:f>'Raw Inputs'!B44</x:f>
        <x:v>LyondellBasell Industries NV</x:v>
      </x:c>
      <x:c r="D16" s="238" t="n">
        <x:f>1+9*'Raw Inputs'!BC44</x:f>
        <x:v>9.14655172413793</x:v>
      </x:c>
      <x:c r="E16" s="268" t="n">
        <x:f>'Raw Inputs'!BB44</x:f>
        <x:v>0.0998812688671349</x:v>
      </x:c>
      <x:c r="F16" s="268" t="n">
        <x:f>'Raw Inputs'!BD44</x:f>
        <x:v>0.09482807227213454</x:v>
      </x:c>
      <x:c r="G16" s="268" t="n">
        <x:f>'Raw Inputs'!BG44</x:f>
        <x:v>0.010805239527607167</x:v>
      </x:c>
      <x:c r="H16" s="236" t="str">
        <x:f>'Raw Inputs'!BH44</x:f>
        <x:v>cash repurchases less issuance</x:v>
      </x:c>
      <x:c r="I16" s="268" t="n">
        <x:f>'Raw Inputs'!BI44</x:f>
        <x:v>-0.0057520429326068006</x:v>
      </x:c>
      <x:c r="J16" s="271" t="n">
        <x:f>'Raw Inputs'!BK44</x:f>
        <x:v>201000000</x:v>
      </x:c>
      <x:c r="K16" s="271" t="n">
        <x:f>'Raw Inputs'!BL44</x:f>
        <x:v>0</x:v>
      </x:c>
      <x:c r="L16" s="268" t="n">
        <x:f>'Raw Inputs'!BY44</x:f>
        <x:v>0</x:v>
      </x:c>
      <x:c r="M16" s="271" t="n">
        <x:f>'Raw Inputs'!M44</x:f>
        <x:v>18602086468</x:v>
      </x:c>
      <x:c r="N16" s="20" t="str">
        <x:f>'Raw Inputs'!CC44</x:f>
        <x:v>https://data.sec.gov/api/xbrl/companyfacts/CIK0001489393.json</x:v>
      </x:c>
    </x:row>
    <x:row r="17">
      <x:c r="A17" s="237" t="n">
        <x:f>RANK(D17,$D$5:$D$121,0)</x:f>
        <x:v>13</x:v>
      </x:c>
      <x:c r="B17" s="236" t="str">
        <x:f>'Raw Inputs'!A89</x:f>
        <x:v>KR</x:v>
      </x:c>
      <x:c r="C17" s="236" t="str">
        <x:f>'Raw Inputs'!B89</x:f>
        <x:v>The Kroger Co.</x:v>
      </x:c>
      <x:c r="D17" s="238" t="n">
        <x:f>1+9*'Raw Inputs'!BC89</x:f>
        <x:v>9.068965517241379</x:v>
      </x:c>
      <x:c r="E17" s="268" t="n">
        <x:f>'Raw Inputs'!BB89</x:f>
        <x:v>0.09648111661422257</x:v>
      </x:c>
      <x:c r="F17" s="268" t="n">
        <x:f>'Raw Inputs'!BD89</x:f>
        <x:v>0.024850345810124262</x:v>
      </x:c>
      <x:c r="G17" s="268" t="n">
        <x:f>'Raw Inputs'!BG89</x:f>
        <x:v>0.07067606825320087</x:v>
      </x:c>
      <x:c r="H17" s="236" t="str">
        <x:f>'Raw Inputs'!BH89</x:f>
        <x:v>cash repurchases less issuance</x:v>
      </x:c>
      <x:c r="I17" s="268" t="n">
        <x:f>'Raw Inputs'!BI89</x:f>
        <x:v>0.0009547025508974293</x:v>
      </x:c>
      <x:c r="J17" s="271" t="n">
        <x:f>'Raw Inputs'!BK89</x:f>
        <x:v>2699000000</x:v>
      </x:c>
      <x:c r="K17" s="271" t="n">
        <x:f>'Raw Inputs'!BL89</x:f>
        <x:v>182000000</x:v>
      </x:c>
      <x:c r="L17" s="268" t="n">
        <x:f>'Raw Inputs'!BY89</x:f>
        <x:v>-0.09027777777777779</x:v>
      </x:c>
      <x:c r="M17" s="271" t="n">
        <x:f>'Raw Inputs'!M89</x:f>
        <x:v>35613186503</x:v>
      </x:c>
      <x:c r="N17" s="20" t="str">
        <x:f>'Raw Inputs'!CC89</x:f>
        <x:v>https://data.sec.gov/api/xbrl/companyfacts/CIK0000056873.json</x:v>
      </x:c>
    </x:row>
    <x:row r="18">
      <x:c r="A18" s="237" t="n">
        <x:f>RANK(D18,$D$5:$D$121,0)</x:f>
        <x:v>14</x:v>
      </x:c>
      <x:c r="B18" s="236" t="str">
        <x:f>'Raw Inputs'!A26</x:f>
        <x:v>ORI</x:v>
      </x:c>
      <x:c r="C18" s="236" t="str">
        <x:f>'Raw Inputs'!B26</x:f>
        <x:v>Old Republic International Corp.</x:v>
      </x:c>
      <x:c r="D18" s="238" t="n">
        <x:f>1+9*'Raw Inputs'!BC26</x:f>
        <x:v>8.99137931034483</x:v>
      </x:c>
      <x:c r="E18" s="268" t="n">
        <x:f>'Raw Inputs'!BB26</x:f>
        <x:v>0.08698503344586217</x:v>
      </x:c>
      <x:c r="F18" s="268" t="n">
        <x:f>'Raw Inputs'!BD26</x:f>
        <x:v>0.07914717727558625</x:v>
      </x:c>
      <x:c r="G18" s="268" t="n">
        <x:f>'Raw Inputs'!BG26</x:f>
        <x:v>0.007837856170275919</x:v>
      </x:c>
      <x:c r="H18" s="236" t="str">
        <x:f>'Raw Inputs'!BH26</x:f>
        <x:v>cash repurchases less issuance</x:v>
      </x:c>
      <x:c r="I18" s="268" t="n">
        <x:f>'Raw Inputs'!BI26</x:f>
        <x:v>0</x:v>
      </x:c>
      <x:c r="J18" s="271" t="n">
        <x:f>'Raw Inputs'!BK26</x:f>
        <x:v>123800000</x:v>
      </x:c>
      <x:c r="K18" s="271" t="n">
        <x:f>'Raw Inputs'!BL26</x:f>
        <x:v>46300000</x:v>
      </x:c>
      <x:c r="L18" s="268" t="n">
        <x:f>'Raw Inputs'!BY26</x:f>
        <x:v>-0.04400008838992786</x:v>
      </x:c>
      <x:c r="M18" s="271" t="n">
        <x:f>'Raw Inputs'!M26</x:f>
        <x:v>9887907907</x:v>
      </x:c>
      <x:c r="N18" s="20" t="str">
        <x:f>'Raw Inputs'!CC26</x:f>
        <x:v>https://data.sec.gov/api/xbrl/companyfacts/CIK0000074260.json</x:v>
      </x:c>
    </x:row>
    <x:row r="19">
      <x:c r="A19" s="237" t="n">
        <x:f>RANK(D19,$D$5:$D$121,0)</x:f>
        <x:v>15</x:v>
      </x:c>
      <x:c r="B19" s="236" t="str">
        <x:f>'Raw Inputs'!A9</x:f>
        <x:v>CF</x:v>
      </x:c>
      <x:c r="C19" s="236" t="str">
        <x:f>'Raw Inputs'!B9</x:f>
        <x:v>CF Industries Holdings Inc.</x:v>
      </x:c>
      <x:c r="D19" s="238" t="n">
        <x:f>1+9*'Raw Inputs'!BC9</x:f>
        <x:v>8.913793103448276</x:v>
      </x:c>
      <x:c r="E19" s="268" t="n">
        <x:f>'Raw Inputs'!BB9</x:f>
        <x:v>0.08217451243175475</x:v>
      </x:c>
      <x:c r="F19" s="268" t="n">
        <x:f>'Raw Inputs'!BD9</x:f>
        <x:v>0.018526204047546367</x:v>
      </x:c>
      <x:c r="G19" s="268" t="n">
        <x:f>'Raw Inputs'!BG9</x:f>
        <x:v>0.07751454699648234</x:v>
      </x:c>
      <x:c r="H19" s="236" t="str">
        <x:f>'Raw Inputs'!BH9</x:f>
        <x:v>cash repurchases less issuance</x:v>
      </x:c>
      <x:c r="I19" s="268" t="n">
        <x:f>'Raw Inputs'!BI9</x:f>
        <x:v>-0.013866238612273969</x:v>
      </x:c>
      <x:c r="J19" s="271" t="n">
        <x:f>'Raw Inputs'!BK9</x:f>
        <x:v>1365000000</x:v>
      </x:c>
      <x:c r="K19" s="271" t="n">
        <x:f>'Raw Inputs'!BL9</x:f>
        <x:v>1000000</x:v>
      </x:c>
      <x:c r="L19" s="268" t="n">
        <x:f>'Raw Inputs'!BY9</x:f>
        <x:v>-0.10237963475373546</x:v>
      </x:c>
      <x:c r="M19" s="271" t="n">
        <x:f>'Raw Inputs'!M9</x:f>
        <x:v>17596697044</x:v>
      </x:c>
      <x:c r="N19" s="20" t="str">
        <x:f>'Raw Inputs'!CC9</x:f>
        <x:v>https://data.sec.gov/api/xbrl/companyfacts/CIK0001324404.json</x:v>
      </x:c>
    </x:row>
    <x:row r="20">
      <x:c r="A20" s="237" t="n">
        <x:f>RANK(D20,$D$5:$D$121,0)</x:f>
        <x:v>16</x:v>
      </x:c>
      <x:c r="B20" s="236" t="str">
        <x:f>'Raw Inputs'!A58</x:f>
        <x:v>CNA</x:v>
      </x:c>
      <x:c r="C20" s="236" t="str">
        <x:f>'Raw Inputs'!B58</x:f>
        <x:v>CNA Financial Corp.</x:v>
      </x:c>
      <x:c r="D20" s="238" t="n">
        <x:f>1+9*'Raw Inputs'!BC58</x:f>
        <x:v>8.836206896551724</x:v>
      </x:c>
      <x:c r="E20" s="268" t="n">
        <x:f>'Raw Inputs'!BB58</x:f>
        <x:v>0.07901042143900017</x:v>
      </x:c>
      <x:c r="F20" s="268" t="n">
        <x:f>'Raw Inputs'!BD58</x:f>
        <x:v>0.07666720226750062</x:v>
      </x:c>
      <x:c r="G20" s="268" t="n">
        <x:f>'Raw Inputs'!BG58</x:f>
        <x:v>0.0023432191714995412</x:v>
      </x:c>
      <x:c r="H20" s="236" t="str">
        <x:f>'Raw Inputs'!BH58</x:f>
        <x:v>cash repurchases less issuance</x:v>
      </x:c>
      <x:c r="I20" s="268" t="n">
        <x:f>'Raw Inputs'!BI58</x:f>
        <x:v>0</x:v>
      </x:c>
      <x:c r="J20" s="271" t="n">
        <x:f>'Raw Inputs'!BK58</x:f>
        <x:v>34000000</x:v>
      </x:c>
      <x:c r="K20" s="271" t="n">
        <x:f>'Raw Inputs'!BL58</x:f>
        <x:v>2000000</x:v>
      </x:c>
      <x:c r="L20" s="268" t="n">
        <x:f>'Raw Inputs'!BY58</x:f>
        <x:v>-0.0011001100110010764</x:v>
      </x:c>
      <x:c r="M20" s="271" t="n">
        <x:f>'Raw Inputs'!M58</x:f>
        <x:v>13656426334</x:v>
      </x:c>
      <x:c r="N20" s="20" t="str">
        <x:f>'Raw Inputs'!CC58</x:f>
        <x:v>https://data.sec.gov/api/xbrl/companyfacts/CIK0000021175.json</x:v>
      </x:c>
    </x:row>
    <x:row r="21">
      <x:c r="A21" s="237" t="n">
        <x:f>RANK(D21,$D$5:$D$121,0)</x:f>
        <x:v>17</x:v>
      </x:c>
      <x:c r="B21" s="236" t="str">
        <x:f>'Raw Inputs'!A15</x:f>
        <x:v>EG</x:v>
      </x:c>
      <x:c r="C21" s="236" t="str">
        <x:f>'Raw Inputs'!B15</x:f>
        <x:v>Everest Group Ltd.</x:v>
      </x:c>
      <x:c r="D21" s="238" t="n">
        <x:f>1+9*'Raw Inputs'!BC15</x:f>
        <x:v>8.75862068965517</x:v>
      </x:c>
      <x:c r="E21" s="268" t="n">
        <x:f>'Raw Inputs'!BB15</x:f>
        <x:v>0.0783092603937037</x:v>
      </x:c>
      <x:c r="F21" s="268" t="n">
        <x:f>'Raw Inputs'!BD15</x:f>
        <x:v>0.023174560275521852</x:v>
      </x:c>
      <x:c r="G21" s="268" t="n">
        <x:f>'Raw Inputs'!BG15</x:f>
        <x:v>0.05513470011818184</x:v>
      </x:c>
      <x:c r="H21" s="236" t="str">
        <x:f>'Raw Inputs'!BH15</x:f>
        <x:v>cash repurchases less issuance</x:v>
      </x:c>
      <x:c r="I21" s="268" t="n">
        <x:f>'Raw Inputs'!BI15</x:f>
        <x:v>0</x:v>
      </x:c>
      <x:c r="J21" s="271" t="n">
        <x:f>'Raw Inputs'!BK15</x:f>
        <x:v>797000000</x:v>
      </x:c>
      <x:c r="K21" s="271" t="n">
        <x:f>'Raw Inputs'!BL15</x:f>
        <x:v>0</x:v>
      </x:c>
      <x:c r="L21" s="268" t="n">
        <x:f>'Raw Inputs'!BY15</x:f>
        <x:v>-0.025761124121779888</x:v>
      </x:c>
      <x:c r="M21" s="271" t="n">
        <x:f>'Raw Inputs'!M15</x:f>
        <x:v>14455506211</x:v>
      </x:c>
      <x:c r="N21" s="20" t="str">
        <x:f>'Raw Inputs'!CC15</x:f>
        <x:v>https://data.sec.gov/api/xbrl/companyfacts/CIK0001095073.json</x:v>
      </x:c>
    </x:row>
    <x:row r="22">
      <x:c r="A22" s="237" t="n">
        <x:f>RANK(D22,$D$5:$D$121,0)</x:f>
        <x:v>18</x:v>
      </x:c>
      <x:c r="B22" s="236" t="str">
        <x:f>'Raw Inputs'!A10</x:f>
        <x:v>AFL</x:v>
      </x:c>
      <x:c r="C22" s="236" t="str">
        <x:f>'Raw Inputs'!B10</x:f>
        <x:v>Aflac Inc.</x:v>
      </x:c>
      <x:c r="D22" s="238" t="n">
        <x:f>1+9*'Raw Inputs'!BC10</x:f>
        <x:v>8.681034482758621</x:v>
      </x:c>
      <x:c r="E22" s="268" t="n">
        <x:f>'Raw Inputs'!BB10</x:f>
        <x:v>0.07593590904835881</x:v>
      </x:c>
      <x:c r="F22" s="268" t="n">
        <x:f>'Raw Inputs'!BD10</x:f>
        <x:v>0.01927764760329177</x:v>
      </x:c>
      <x:c r="G22" s="268" t="n">
        <x:f>'Raw Inputs'!BG10</x:f>
        <x:v>0.05665826144506704</x:v>
      </x:c>
      <x:c r="H22" s="236" t="str">
        <x:f>'Raw Inputs'!BH10</x:f>
        <x:v>cash repurchases less issuance</x:v>
      </x:c>
      <x:c r="I22" s="268" t="n">
        <x:f>'Raw Inputs'!BI10</x:f>
        <x:v>0</x:v>
      </x:c>
      <x:c r="J22" s="271" t="n">
        <x:f>'Raw Inputs'!BK10</x:f>
        <x:v>3530000000</x:v>
      </x:c>
      <x:c r="K22" s="271" t="n">
        <x:f>'Raw Inputs'!BL10</x:f>
        <x:v>9000000</x:v>
      </x:c>
      <x:c r="L22" s="268" t="n">
        <x:f>'Raw Inputs'!BY10</x:f>
        <x:v>-0.0533384069449484</x:v>
      </x:c>
      <x:c r="M22" s="271" t="n">
        <x:f>'Raw Inputs'!M10</x:f>
        <x:v>62144511854</x:v>
      </x:c>
      <x:c r="N22" s="20" t="str">
        <x:f>'Raw Inputs'!CC10</x:f>
        <x:v>https://data.sec.gov/api/xbrl/companyfacts/CIK0000004977.json</x:v>
      </x:c>
    </x:row>
    <x:row r="23">
      <x:c r="A23" s="237" t="n">
        <x:f>RANK(D23,$D$5:$D$121,0)</x:f>
        <x:v>19</x:v>
      </x:c>
      <x:c r="B23" s="236" t="str">
        <x:f>'Raw Inputs'!A3</x:f>
        <x:v>RRC</x:v>
      </x:c>
      <x:c r="C23" s="236" t="str">
        <x:f>'Raw Inputs'!B3</x:f>
        <x:v>Range Resources Corp.</x:v>
      </x:c>
      <x:c r="D23" s="238" t="n">
        <x:f>1+9*'Raw Inputs'!BC3</x:f>
        <x:v>8.60344827586207</x:v>
      </x:c>
      <x:c r="E23" s="268" t="n">
        <x:f>'Raw Inputs'!BB3</x:f>
        <x:v>0.06972935126763684</x:v>
      </x:c>
      <x:c r="F23" s="268" t="n">
        <x:f>'Raw Inputs'!BD3</x:f>
        <x:v>0.010208671847449672</x:v>
      </x:c>
      <x:c r="G23" s="268" t="n">
        <x:f>'Raw Inputs'!BG3</x:f>
        <x:v>0</x:v>
      </x:c>
      <x:c r="H23" s="236" t="str">
        <x:f>'Raw Inputs'!BH3</x:f>
        <x:v>cash repurchases less issuance</x:v>
      </x:c>
      <x:c r="I23" s="268" t="n">
        <x:f>'Raw Inputs'!BI3</x:f>
        <x:v>0.05952067942018716</x:v>
      </x:c>
      <x:c r="J23" s="271" t="n">
        <x:f>'Raw Inputs'!BK3</x:f>
        <x:v>0</x:v>
      </x:c>
      <x:c r="K23" s="271" t="n">
        <x:f>'Raw Inputs'!BL3</x:f>
        <x:v>0</x:v>
      </x:c>
      <x:c r="L23" s="268" t="n">
        <x:f>'Raw Inputs'!BY3</x:f>
        <x:v>-0.012177387793775307</x:v>
      </x:c>
      <x:c r="M23" s="271" t="n">
        <x:f>'Raw Inputs'!M3</x:f>
        <x:v>8392864545</x:v>
      </x:c>
      <x:c r="N23" s="20" t="str">
        <x:f>'Raw Inputs'!CC3</x:f>
        <x:v>https://data.sec.gov/api/xbrl/companyfacts/CIK0000315852.json</x:v>
      </x:c>
    </x:row>
    <x:row r="24">
      <x:c r="A24" s="237" t="n">
        <x:f>RANK(D24,$D$5:$D$121,0)</x:f>
        <x:v>20</x:v>
      </x:c>
      <x:c r="B24" s="236" t="str">
        <x:f>'Raw Inputs'!A18</x:f>
        <x:v>SFM</x:v>
      </x:c>
      <x:c r="C24" s="236" t="str">
        <x:f>'Raw Inputs'!B18</x:f>
        <x:v>Sprouts Farmers Market Inc.</x:v>
      </x:c>
      <x:c r="D24" s="238" t="n">
        <x:f>1+9*'Raw Inputs'!BC18</x:f>
        <x:v>8.525862068965516</x:v>
      </x:c>
      <x:c r="E24" s="268" t="n">
        <x:f>'Raw Inputs'!BB18</x:f>
        <x:v>0.0673606538262858</x:v>
      </x:c>
      <x:c r="F24" s="268" t="n">
        <x:f>'Raw Inputs'!BD18</x:f>
        <x:v>0</x:v>
      </x:c>
      <x:c r="G24" s="268" t="n">
        <x:f>'Raw Inputs'!BG18</x:f>
        <x:v>0.0673606538262858</x:v>
      </x:c>
      <x:c r="H24" s="236" t="str">
        <x:f>'Raw Inputs'!BH18</x:f>
        <x:v>cash repurchases less issuance</x:v>
      </x:c>
      <x:c r="I24" s="268" t="n">
        <x:f>'Raw Inputs'!BI18</x:f>
        <x:v>0</x:v>
      </x:c>
      <x:c r="J24" s="271" t="n">
        <x:f>'Raw Inputs'!BK18</x:f>
        <x:v>471926000</x:v>
      </x:c>
      <x:c r="K24" s="271" t="n">
        <x:f>'Raw Inputs'!BL18</x:f>
        <x:v>2606000</x:v>
      </x:c>
      <x:c r="L24" s="268" t="n">
        <x:f>'Raw Inputs'!BY18</x:f>
        <x:v>-0.026386135195651916</x:v>
      </x:c>
      <x:c r="M24" s="271" t="n">
        <x:f>'Raw Inputs'!M18</x:f>
        <x:v>6967272040</x:v>
      </x:c>
      <x:c r="N24" s="20" t="str">
        <x:f>'Raw Inputs'!CC18</x:f>
        <x:v>https://data.sec.gov/api/xbrl/companyfacts/CIK0001575515.json</x:v>
      </x:c>
    </x:row>
    <x:row r="25">
      <x:c r="A25" s="237" t="n">
        <x:f>RANK(D25,$D$5:$D$121,0)</x:f>
        <x:v>21</x:v>
      </x:c>
      <x:c r="B25" s="236" t="str">
        <x:f>'Raw Inputs'!A94</x:f>
        <x:v>PR</x:v>
      </x:c>
      <x:c r="C25" s="236" t="str">
        <x:f>'Raw Inputs'!B94</x:f>
        <x:v>Permian Resources Corp.</x:v>
      </x:c>
      <x:c r="D25" s="238" t="n">
        <x:f>1+9*'Raw Inputs'!BC94</x:f>
        <x:v>8.448275862068964</x:v>
      </x:c>
      <x:c r="E25" s="268" t="n">
        <x:f>'Raw Inputs'!BB94</x:f>
        <x:v>0.06681430932623156</x:v>
      </x:c>
      <x:c r="F25" s="268" t="n">
        <x:f>'Raw Inputs'!BD94</x:f>
        <x:v>0.02754154814403841</x:v>
      </x:c>
      <x:c r="G25" s="268" t="n">
        <x:f>'Raw Inputs'!BG94</x:f>
        <x:v>-0.000013471991145115881</x:v>
      </x:c>
      <x:c r="H25" s="236" t="str">
        <x:f>'Raw Inputs'!BH94</x:f>
        <x:v>cash repurchases less issuance</x:v>
      </x:c>
      <x:c r="I25" s="268" t="n">
        <x:f>'Raw Inputs'!BI94</x:f>
        <x:v>0.039286233173338264</x:v>
      </x:c>
      <x:c r="J25" s="271" t="n">
        <x:f>'Raw Inputs'!BK94</x:f>
        <x:v>0</x:v>
      </x:c>
      <x:c r="K25" s="271" t="n">
        <x:f>'Raw Inputs'!BL94</x:f>
        <x:v>219000</x:v>
      </x:c>
      <x:c r="L25" s="268" t="n">
        <x:f>'Raw Inputs'!BY94</x:f>
        <x:v>0.06790875569035149</x:v>
      </x:c>
      <x:c r="M25" s="271" t="n">
        <x:f>'Raw Inputs'!M94</x:f>
        <x:v>16255948927</x:v>
      </x:c>
      <x:c r="N25" s="20" t="str">
        <x:f>'Raw Inputs'!CC94</x:f>
        <x:v>https://data.sec.gov/api/xbrl/companyfacts/CIK0001658566.json</x:v>
      </x:c>
    </x:row>
    <x:row r="26">
      <x:c r="A26" s="237" t="n">
        <x:f>RANK(D26,$D$5:$D$121,0)</x:f>
        <x:v>22</x:v>
      </x:c>
      <x:c r="B26" s="236" t="str">
        <x:f>'Raw Inputs'!A37</x:f>
        <x:v>BF-B</x:v>
      </x:c>
      <x:c r="C26" s="236" t="str">
        <x:f>'Raw Inputs'!B37</x:f>
        <x:v>Brown-Forman Corp.</x:v>
      </x:c>
      <x:c r="D26" s="238" t="n">
        <x:f>1+9*'Raw Inputs'!BC37</x:f>
        <x:v>8.370689655172413</x:v>
      </x:c>
      <x:c r="E26" s="268" t="n">
        <x:f>'Raw Inputs'!BB37</x:f>
        <x:v>0.06661413115154739</x:v>
      </x:c>
      <x:c r="F26" s="268" t="n">
        <x:f>'Raw Inputs'!BD37</x:f>
        <x:v>0.034519701458386814</x:v>
      </x:c>
      <x:c r="G26" s="268" t="n">
        <x:f>'Raw Inputs'!BG37</x:f>
        <x:v>0.03314538079142528</x:v>
      </x:c>
      <x:c r="H26" s="236" t="str">
        <x:f>'Raw Inputs'!BH37</x:f>
        <x:v>cash repurchases less issuance</x:v>
      </x:c>
      <x:c r="I26" s="268" t="n">
        <x:f>'Raw Inputs'!BI37</x:f>
        <x:v>-0.001050951098264704</x:v>
      </x:c>
      <x:c r="J26" s="271" t="n">
        <x:f>'Raw Inputs'!BK37</x:f>
        <x:v>400000000</x:v>
      </x:c>
      <x:c r="K26" s="271" t="n">
        <x:f>'Raw Inputs'!BL37</x:f>
        <x:v>-10000000</x:v>
      </x:c>
      <x:c r="L26" s="268" t="n">
        <x:f>'Raw Inputs'!BY37</x:f>
        <x:v>-0.01314515276456285</x:v>
      </x:c>
      <x:c r="M26" s="271" t="n">
        <x:f>'Raw Inputs'!M37</x:f>
        <x:v>12369747766.061783</x:v>
      </x:c>
      <x:c r="N26" s="20" t="str">
        <x:f>'Raw Inputs'!CC37</x:f>
        <x:v>https://data.sec.gov/api/xbrl/companyfacts/CIK0000014693.json</x:v>
      </x:c>
    </x:row>
    <x:row r="27">
      <x:c r="A27" s="237" t="n">
        <x:f>RANK(D27,$D$5:$D$121,0)</x:f>
        <x:v>23</x:v>
      </x:c>
      <x:c r="B27" s="236" t="str">
        <x:f>'Raw Inputs'!A63</x:f>
        <x:v>DOW</x:v>
      </x:c>
      <x:c r="C27" s="236" t="str">
        <x:f>'Raw Inputs'!B63</x:f>
        <x:v>Dow Inc.</x:v>
      </x:c>
      <x:c r="D27" s="238" t="n">
        <x:f>1+9*'Raw Inputs'!BC63</x:f>
        <x:v>8.293103448275861</x:v>
      </x:c>
      <x:c r="E27" s="268" t="n">
        <x:f>'Raw Inputs'!BB63</x:f>
        <x:v>0.06641844853897225</x:v>
      </x:c>
      <x:c r="F27" s="268" t="n">
        <x:f>'Raw Inputs'!BD63</x:f>
        <x:v>0.07043664649328729</x:v>
      </x:c>
      <x:c r="G27" s="268" t="n">
        <x:f>'Raw Inputs'!BG63</x:f>
        <x:v>-0.0040181979543150465</x:v>
      </x:c>
      <x:c r="H27" s="236" t="str">
        <x:f>'Raw Inputs'!BH63</x:f>
        <x:v>cash repurchases less issuance</x:v>
      </x:c>
      <x:c r="I27" s="268" t="n">
        <x:f>'Raw Inputs'!BI63</x:f>
        <x:v>0</x:v>
      </x:c>
      <x:c r="J27" s="271" t="n">
        <x:f>'Raw Inputs'!BK63</x:f>
        <x:v>0</x:v>
      </x:c>
      <x:c r="K27" s="271" t="n">
        <x:f>'Raw Inputs'!BL63</x:f>
        <x:v>85000000</x:v>
      </x:c>
      <x:c r="L27" s="268" t="n">
        <x:f>'Raw Inputs'!BY63</x:f>
        <x:v>0.009218550560204264</x:v>
      </x:c>
      <x:c r="M27" s="271" t="n">
        <x:f>'Raw Inputs'!M63</x:f>
        <x:v>21153761205</x:v>
      </x:c>
      <x:c r="N27" s="20" t="str">
        <x:f>'Raw Inputs'!CC63</x:f>
        <x:v>https://data.sec.gov/api/xbrl/companyfacts/CIK0001751788.json</x:v>
      </x:c>
    </x:row>
    <x:row r="28">
      <x:c r="A28" s="237" t="n">
        <x:f>RANK(D28,$D$5:$D$121,0)</x:f>
        <x:v>24</x:v>
      </x:c>
      <x:c r="B28" s="236" t="str">
        <x:f>'Raw Inputs'!A2</x:f>
        <x:v>MUSA</x:v>
      </x:c>
      <x:c r="C28" s="236" t="str">
        <x:f>'Raw Inputs'!B2</x:f>
        <x:v>Murphy USA Inc.</x:v>
      </x:c>
      <x:c r="D28" s="238" t="n">
        <x:f>1+9*'Raw Inputs'!BC2</x:f>
        <x:v>8.21551724137931</x:v>
      </x:c>
      <x:c r="E28" s="268" t="n">
        <x:f>'Raw Inputs'!BB2</x:f>
        <x:v>0.06270783281090672</x:v>
      </x:c>
      <x:c r="F28" s="268" t="n">
        <x:f>'Raw Inputs'!BD2</x:f>
        <x:v>0.003767086692248807</x:v>
      </x:c>
      <x:c r="G28" s="268" t="n">
        <x:f>'Raw Inputs'!BG2</x:f>
        <x:v>0.05894074611865791</x:v>
      </x:c>
      <x:c r="H28" s="236" t="str">
        <x:f>'Raw Inputs'!BH2</x:f>
        <x:v>cash repurchases less issuance</x:v>
      </x:c>
      <x:c r="I28" s="268" t="n">
        <x:f>'Raw Inputs'!BI2</x:f>
        <x:v>0</x:v>
      </x:c>
      <x:c r="J28" s="271" t="n">
        <x:f>'Raw Inputs'!BK2</x:f>
        <x:v>649900000</x:v>
      </x:c>
      <x:c r="K28" s="271" t="n">
        <x:f>'Raw Inputs'!BL2</x:f>
        <x:v>581000</x:v>
      </x:c>
      <x:c r="L28" s="268" t="n">
        <x:f>'Raw Inputs'!BY2</x:f>
        <x:v>-0.06314173303905579</x:v>
      </x:c>
      <x:c r="M28" s="271" t="n">
        <x:f>'Raw Inputs'!M2</x:f>
        <x:v>11016470655</x:v>
      </x:c>
      <x:c r="N28" s="20" t="str">
        <x:f>'Raw Inputs'!CC2</x:f>
        <x:v>https://data.sec.gov/api/xbrl/companyfacts/CIK0001573516.json</x:v>
      </x:c>
    </x:row>
    <x:row r="29">
      <x:c r="A29" s="237" t="n">
        <x:f>RANK(D29,$D$5:$D$121,0)</x:f>
        <x:v>25</x:v>
      </x:c>
      <x:c r="B29" s="236" t="str">
        <x:f>'Raw Inputs'!A34</x:f>
        <x:v>HSY</x:v>
      </x:c>
      <x:c r="C29" s="236" t="str">
        <x:f>'Raw Inputs'!B34</x:f>
        <x:v>The Hershey Co.</x:v>
      </x:c>
      <x:c r="D29" s="238" t="n">
        <x:f>1+9*'Raw Inputs'!BC34</x:f>
        <x:v>8.137931034482758</x:v>
      </x:c>
      <x:c r="E29" s="268" t="n">
        <x:f>'Raw Inputs'!BB34</x:f>
        <x:v>0.061942010594614724</x:v>
      </x:c>
      <x:c r="F29" s="268" t="n">
        <x:f>'Raw Inputs'!BD34</x:f>
        <x:v>0.03123235021006174</x:v>
      </x:c>
      <x:c r="G29" s="268" t="n">
        <x:f>'Raw Inputs'!BG34</x:f>
        <x:v>-0.0006128792167516372</x:v>
      </x:c>
      <x:c r="H29" s="236" t="str">
        <x:f>'Raw Inputs'!BH34</x:f>
        <x:v>cash repurchases less issuance</x:v>
      </x:c>
      <x:c r="I29" s="268" t="n">
        <x:f>'Raw Inputs'!BI34</x:f>
        <x:v>0.03132253960130462</x:v>
      </x:c>
      <x:c r="J29" s="271" t="n">
        <x:f>'Raw Inputs'!BK34</x:f>
        <x:v>0</x:v>
      </x:c>
      <x:c r="K29" s="271" t="n">
        <x:f>'Raw Inputs'!BL34</x:f>
        <x:v>21297000</x:v>
      </x:c>
      <x:c r="L29" s="268" t="n">
        <x:f>'Raw Inputs'!BY34</x:f>
        <x:v>-0.010413594890912536</x:v>
      </x:c>
      <x:c r="M29" s="271" t="n">
        <x:f>'Raw Inputs'!M34</x:f>
        <x:v>34749098057</x:v>
      </x:c>
      <x:c r="N29" s="20" t="str">
        <x:f>'Raw Inputs'!CC34</x:f>
        <x:v>https://data.sec.gov/api/xbrl/companyfacts/CIK0000047111.json</x:v>
      </x:c>
    </x:row>
    <x:row r="30">
      <x:c r="A30" s="237" t="n">
        <x:f>RANK(D30,$D$5:$D$121,0)</x:f>
        <x:v>26</x:v>
      </x:c>
      <x:c r="B30" s="236" t="str">
        <x:f>'Raw Inputs'!A24</x:f>
        <x:v>VZ</x:v>
      </x:c>
      <x:c r="C30" s="236" t="str">
        <x:f>'Raw Inputs'!B24</x:f>
        <x:v>Verizon Communications Inc.</x:v>
      </x:c>
      <x:c r="D30" s="238" t="n">
        <x:f>1+9*'Raw Inputs'!BC24</x:f>
        <x:v>8.060344827586206</x:v>
      </x:c>
      <x:c r="E30" s="268" t="n">
        <x:f>'Raw Inputs'!BB24</x:f>
        <x:v>0.06186866179347554</x:v>
      </x:c>
      <x:c r="F30" s="268" t="n">
        <x:f>'Raw Inputs'!BD24</x:f>
        <x:v>0.06398073374625227</x:v>
      </x:c>
      <x:c r="G30" s="268" t="n">
        <x:f>'Raw Inputs'!BG24</x:f>
        <x:v>-0.00001671824764730919</x:v>
      </x:c>
      <x:c r="H30" s="236" t="str">
        <x:f>'Raw Inputs'!BH24</x:f>
        <x:v>cash repurchases less issuance</x:v>
      </x:c>
      <x:c r="I30" s="268" t="n">
        <x:f>'Raw Inputs'!BI24</x:f>
        <x:v>-0.0020953537051294183</x:v>
      </x:c>
      <x:c r="J30" s="271" t="n">
        <x:f>'Raw Inputs'!BK24</x:f>
        <x:v>0</x:v>
      </x:c>
      <x:c r="K30" s="271" t="n">
        <x:f>'Raw Inputs'!BL24</x:f>
        <x:v>3000000</x:v>
      </x:c>
      <x:c r="L30" s="268" t="n">
        <x:f>'Raw Inputs'!BY24</x:f>
        <x:v>0.001894387875917669</x:v>
      </x:c>
      <x:c r="M30" s="271" t="n">
        <x:f>'Raw Inputs'!M24</x:f>
        <x:v>179444644157</x:v>
      </x:c>
      <x:c r="N30" s="20" t="str">
        <x:f>'Raw Inputs'!CC24</x:f>
        <x:v>https://data.sec.gov/api/xbrl/companyfacts/CIK0000732712.json</x:v>
      </x:c>
    </x:row>
    <x:row r="31">
      <x:c r="A31" s="237" t="n">
        <x:f>RANK(D31,$D$5:$D$121,0)</x:f>
        <x:v>27</x:v>
      </x:c>
      <x:c r="B31" s="236" t="str">
        <x:f>'Raw Inputs'!A48</x:f>
        <x:v>MO</x:v>
      </x:c>
      <x:c r="C31" s="236" t="str">
        <x:f>'Raw Inputs'!B48</x:f>
        <x:v>Altria Group Inc.</x:v>
      </x:c>
      <x:c r="D31" s="238" t="n">
        <x:f>1+9*'Raw Inputs'!BC48</x:f>
        <x:v>7.982758620689655</x:v>
      </x:c>
      <x:c r="E31" s="268" t="n">
        <x:f>'Raw Inputs'!BB48</x:f>
        <x:v>0.06047396519293443</x:v>
      </x:c>
      <x:c r="F31" s="268" t="n">
        <x:f>'Raw Inputs'!BD48</x:f>
        <x:v>0.05864550616452886</x:v>
      </x:c>
      <x:c r="G31" s="268" t="n">
        <x:f>'Raw Inputs'!BG48</x:f>
        <x:v>0.008426078471915066</x:v>
      </x:c>
      <x:c r="H31" s="236" t="str">
        <x:f>'Raw Inputs'!BH48</x:f>
        <x:v>cash repurchases less issuance</x:v>
      </x:c>
      <x:c r="I31" s="268" t="n">
        <x:f>'Raw Inputs'!BI48</x:f>
        <x:v>-0.006597619443509497</x:v>
      </x:c>
      <x:c r="J31" s="271" t="n">
        <x:f>'Raw Inputs'!BK48</x:f>
        <x:v>1000000000</x:v>
      </x:c>
      <x:c r="K31" s="271" t="n">
        <x:f>'Raw Inputs'!BL48</x:f>
        <x:v>0</x:v>
      </x:c>
      <x:c r="L31" s="268" t="n">
        <x:f>'Raw Inputs'!BY48</x:f>
        <x:v>-0.02037252619324792</x:v>
      </x:c>
      <x:c r="M31" s="271" t="n">
        <x:f>'Raw Inputs'!M48</x:f>
        <x:v>118679170071</x:v>
      </x:c>
      <x:c r="N31" s="20" t="str">
        <x:f>'Raw Inputs'!CC48</x:f>
        <x:v>https://data.sec.gov/api/xbrl/companyfacts/CIK0000764180.json</x:v>
      </x:c>
    </x:row>
    <x:row r="32">
      <x:c r="A32" s="237" t="n">
        <x:f>RANK(D32,$D$5:$D$121,0)</x:f>
        <x:v>28</x:v>
      </x:c>
      <x:c r="B32" s="236" t="str">
        <x:f>'Raw Inputs'!A118</x:f>
        <x:v>LNG</x:v>
      </x:c>
      <x:c r="C32" s="236" t="str">
        <x:f>'Raw Inputs'!B118</x:f>
        <x:v>Cheniere Energy Inc.</x:v>
      </x:c>
      <x:c r="D32" s="238" t="n">
        <x:f>1+9*'Raw Inputs'!BC118</x:f>
        <x:v>7.905172413793104</x:v>
      </x:c>
      <x:c r="E32" s="268" t="n">
        <x:f>'Raw Inputs'!BB118</x:f>
        <x:v>0.060183451671455696</x:v>
      </x:c>
      <x:c r="F32" s="268" t="n">
        <x:f>'Raw Inputs'!BD118</x:f>
        <x:v>0.008424188921113135</x:v>
      </x:c>
      <x:c r="G32" s="268" t="n">
        <x:f>'Raw Inputs'!BG118</x:f>
        <x:v>0.050881353927078</x:v>
      </x:c>
      <x:c r="H32" s="236" t="str">
        <x:f>'Raw Inputs'!BH118</x:f>
        <x:v>cash repurchases less issuance</x:v>
      </x:c>
      <x:c r="I32" s="268" t="n">
        <x:f>'Raw Inputs'!BI118</x:f>
        <x:v>0.0008779088232645617</x:v>
      </x:c>
      <x:c r="J32" s="271" t="n">
        <x:f>'Raw Inputs'!BK118</x:f>
        <x:v>2724000000</x:v>
      </x:c>
      <x:c r="K32" s="271" t="n">
        <x:f>'Raw Inputs'!BL118</x:f>
        <x:v>0</x:v>
      </x:c>
      <x:c r="L32" s="268" t="n">
        <x:f>'Raw Inputs'!BY118</x:f>
        <x:v>-0.03841117415975559</x:v>
      </x:c>
      <x:c r="M32" s="271" t="n">
        <x:f>'Raw Inputs'!M118</x:f>
        <x:v>53536311237</x:v>
      </x:c>
      <x:c r="N32" s="20" t="str">
        <x:f>'Raw Inputs'!CC118</x:f>
        <x:v>https://data.sec.gov/api/xbrl/companyfacts/CIK0000003570.json</x:v>
      </x:c>
    </x:row>
    <x:row r="33">
      <x:c r="A33" s="237" t="n">
        <x:f>RANK(D33,$D$5:$D$121,0)</x:f>
        <x:v>29</x:v>
      </x:c>
      <x:c r="B33" s="236" t="str">
        <x:f>'Raw Inputs'!A16</x:f>
        <x:v>HIG</x:v>
      </x:c>
      <x:c r="C33" s="236" t="str">
        <x:f>'Raw Inputs'!B16</x:f>
        <x:v>The Hartford Insurance Group Inc.</x:v>
      </x:c>
      <x:c r="D33" s="238" t="n">
        <x:f>1+9*'Raw Inputs'!BC16</x:f>
        <x:v>7.827586206896552</x:v>
      </x:c>
      <x:c r="E33" s="268" t="n">
        <x:f>'Raw Inputs'!BB16</x:f>
        <x:v>0.05844274592318588</x:v>
      </x:c>
      <x:c r="F33" s="268" t="n">
        <x:f>'Raw Inputs'!BD16</x:f>
        <x:v>0.015936483457635212</x:v>
      </x:c>
      <x:c r="G33" s="268" t="n">
        <x:f>'Raw Inputs'!BG16</x:f>
        <x:v>0.04250626246555067</x:v>
      </x:c>
      <x:c r="H33" s="236" t="str">
        <x:f>'Raw Inputs'!BH16</x:f>
        <x:v>cash repurchases less issuance</x:v>
      </x:c>
      <x:c r="I33" s="268" t="n">
        <x:f>'Raw Inputs'!BI16</x:f>
        <x:v>0</x:v>
      </x:c>
      <x:c r="J33" s="271" t="n">
        <x:f>'Raw Inputs'!BK16</x:f>
        <x:v>1615000000</x:v>
      </x:c>
      <x:c r="K33" s="271" t="n">
        <x:f>'Raw Inputs'!BL16</x:f>
        <x:v>36000000</x:v>
      </x:c>
      <x:c r="L33" s="268" t="n">
        <x:f>'Raw Inputs'!BY16</x:f>
        <x:v>-0.0405224380442063</x:v>
      </x:c>
      <x:c r="M33" s="271" t="n">
        <x:f>'Raw Inputs'!M16</x:f>
        <x:v>37147467418</x:v>
      </x:c>
      <x:c r="N33" s="20" t="str">
        <x:f>'Raw Inputs'!CC16</x:f>
        <x:v>https://data.sec.gov/api/xbrl/companyfacts/CIK0000874766.json</x:v>
      </x:c>
    </x:row>
    <x:row r="34">
      <x:c r="A34" s="237" t="n">
        <x:f>RANK(D34,$D$5:$D$121,0)</x:f>
        <x:v>30</x:v>
      </x:c>
      <x:c r="B34" s="236" t="str">
        <x:f>'Raw Inputs'!A39</x:f>
        <x:v>LHX</x:v>
      </x:c>
      <x:c r="C34" s="236" t="str">
        <x:f>'Raw Inputs'!B39</x:f>
        <x:v>L3Harris Technologies Inc.</x:v>
      </x:c>
      <x:c r="D34" s="238" t="n">
        <x:f>1+9*'Raw Inputs'!BC39</x:f>
        <x:v>7.75</x:v>
      </x:c>
      <x:c r="E34" s="268" t="n">
        <x:f>'Raw Inputs'!BB39</x:f>
        <x:v>0.05739490599826147</x:v>
      </x:c>
      <x:c r="F34" s="268" t="n">
        <x:f>'Raw Inputs'!BD39</x:f>
        <x:v>0.016843548949116056</x:v>
      </x:c>
      <x:c r="G34" s="268" t="n">
        <x:f>'Raw Inputs'!BG39</x:f>
        <x:v>0.019044588568158907</x:v>
      </x:c>
      <x:c r="H34" s="236" t="str">
        <x:f>'Raw Inputs'!BH39</x:f>
        <x:v>cash repurchases less issuance</x:v>
      </x:c>
      <x:c r="I34" s="268" t="n">
        <x:f>'Raw Inputs'!BI39</x:f>
        <x:v>0.021506768480986503</x:v>
      </x:c>
      <x:c r="J34" s="271" t="n">
        <x:f>'Raw Inputs'!BK39</x:f>
        <x:v>1154000000</x:v>
      </x:c>
      <x:c r="K34" s="271" t="n">
        <x:f>'Raw Inputs'!BL39</x:f>
        <x:v>133000000</x:v>
      </x:c>
      <x:c r="L34" s="268" t="n">
        <x:f>'Raw Inputs'!BY39</x:f>
        <x:v>-0.012060828526481382</x:v>
      </x:c>
      <x:c r="M34" s="271" t="n">
        <x:f>'Raw Inputs'!M39</x:f>
        <x:v>53611029524</x:v>
      </x:c>
      <x:c r="N34" s="20" t="str">
        <x:f>'Raw Inputs'!CC39</x:f>
        <x:v>https://data.sec.gov/api/xbrl/companyfacts/CIK0000202058.json</x:v>
      </x:c>
    </x:row>
    <x:row r="35">
      <x:c r="A35" s="237" t="n">
        <x:f>RANK(D35,$D$5:$D$121,0)</x:f>
        <x:v>31</x:v>
      </x:c>
      <x:c r="B35" s="236" t="str">
        <x:f>'Raw Inputs'!A31</x:f>
        <x:v>DGX</x:v>
      </x:c>
      <x:c r="C35" s="236" t="str">
        <x:f>'Raw Inputs'!B31</x:f>
        <x:v>Quest Diagnostics Inc.</x:v>
      </x:c>
      <x:c r="D35" s="238" t="n">
        <x:f>1+9*'Raw Inputs'!BC31</x:f>
        <x:v>7.672413793103448</x:v>
      </x:c>
      <x:c r="E35" s="268" t="n">
        <x:f>'Raw Inputs'!BB31</x:f>
        <x:v>0.05564332105753912</x:v>
      </x:c>
      <x:c r="F35" s="268" t="n">
        <x:f>'Raw Inputs'!BD31</x:f>
        <x:v>0.015466214435678197</x:v>
      </x:c>
      <x:c r="G35" s="268" t="n">
        <x:f>'Raw Inputs'!BG31</x:f>
        <x:v>0.0162548599309819</x:v>
      </x:c>
      <x:c r="H35" s="236" t="str">
        <x:f>'Raw Inputs'!BH31</x:f>
        <x:v>cash repurchases less issuance</x:v>
      </x:c>
      <x:c r="I35" s="268" t="n">
        <x:f>'Raw Inputs'!BI31</x:f>
        <x:v>0.023922246690879025</x:v>
      </x:c>
      <x:c r="J35" s="271" t="n">
        <x:f>'Raw Inputs'!BK31</x:f>
        <x:v>450000000</x:v>
      </x:c>
      <x:c r="K35" s="271" t="n">
        <x:f>'Raw Inputs'!BL31</x:f>
        <x:v>79000000</x:v>
      </x:c>
      <x:c r="L35" s="268" t="n">
        <x:f>'Raw Inputs'!BY31</x:f>
        <x:v>0</x:v>
      </x:c>
      <x:c r="M35" s="271" t="n">
        <x:f>'Raw Inputs'!M31</x:f>
        <x:v>22823943213</x:v>
      </x:c>
      <x:c r="N35" s="20" t="str">
        <x:f>'Raw Inputs'!CC31</x:f>
        <x:v>https://data.sec.gov/api/xbrl/companyfacts/CIK0001022079.json</x:v>
      </x:c>
    </x:row>
    <x:row r="36">
      <x:c r="A36" s="237" t="n">
        <x:f>RANK(D36,$D$5:$D$121,0)</x:f>
        <x:v>32</x:v>
      </x:c>
      <x:c r="B36" s="236" t="str">
        <x:f>'Raw Inputs'!A45</x:f>
        <x:v>AMGN</x:v>
      </x:c>
      <x:c r="C36" s="236" t="str">
        <x:f>'Raw Inputs'!B45</x:f>
        <x:v>Amgen Inc.</x:v>
      </x:c>
      <x:c r="D36" s="238" t="n">
        <x:f>1+9*'Raw Inputs'!BC45</x:f>
        <x:v>7.594827586206896</x:v>
      </x:c>
      <x:c r="E36" s="268" t="n">
        <x:f>'Raw Inputs'!BB45</x:f>
        <x:v>0.05475210904430936</x:v>
      </x:c>
      <x:c r="F36" s="268" t="n">
        <x:f>'Raw Inputs'!BD45</x:f>
        <x:v>0.026419607000945585</x:v>
      </x:c>
      <x:c r="G36" s="268" t="n">
        <x:f>'Raw Inputs'!BG45</x:f>
        <x:v>0</x:v>
      </x:c>
      <x:c r="H36" s="236" t="str">
        <x:f>'Raw Inputs'!BH45</x:f>
        <x:v>cash repurchases less issuance</x:v>
      </x:c>
      <x:c r="I36" s="268" t="n">
        <x:f>'Raw Inputs'!BI45</x:f>
        <x:v>0.028332502043363777</x:v>
      </x:c>
      <x:c r="J36" s="271" t="n">
        <x:f>'Raw Inputs'!BK45</x:f>
        <x:v>0</x:v>
      </x:c>
      <x:c r="K36" s="271" t="n">
        <x:f>'Raw Inputs'!BL45</x:f>
        <x:v>0</x:v>
      </x:c>
      <x:c r="L36" s="268" t="n">
        <x:f>'Raw Inputs'!BY45</x:f>
        <x:v>0.001848428835489857</x:v>
      </x:c>
      <x:c r="M36" s="271" t="n">
        <x:f>'Raw Inputs'!M45</x:f>
        <x:v>193946866803</x:v>
      </x:c>
      <x:c r="N36" s="20" t="str">
        <x:f>'Raw Inputs'!CC45</x:f>
        <x:v>https://data.sec.gov/api/xbrl/companyfacts/CIK0000318154.json</x:v>
      </x:c>
    </x:row>
    <x:row r="37">
      <x:c r="A37" s="237" t="n">
        <x:f>RANK(D37,$D$5:$D$121,0)</x:f>
        <x:v>33</x:v>
      </x:c>
      <x:c r="B37" s="236" t="str">
        <x:f>'Raw Inputs'!A22</x:f>
        <x:v>ACGL</x:v>
      </x:c>
      <x:c r="C37" s="236" t="str">
        <x:f>'Raw Inputs'!B22</x:f>
        <x:v>Arch Capital Group Ltd.</x:v>
      </x:c>
      <x:c r="D37" s="238" t="n">
        <x:f>1+9*'Raw Inputs'!BC22</x:f>
        <x:v>7.517241379310345</x:v>
      </x:c>
      <x:c r="E37" s="268" t="n">
        <x:f>'Raw Inputs'!BB22</x:f>
        <x:v>0.05420117904735012</x:v>
      </x:c>
      <x:c r="F37" s="268" t="n">
        <x:f>'Raw Inputs'!BD22</x:f>
        <x:v>0</x:v>
      </x:c>
      <x:c r="G37" s="268" t="n">
        <x:f>'Raw Inputs'!BG22</x:f>
        <x:v>0.05420117904735012</x:v>
      </x:c>
      <x:c r="H37" s="236" t="str">
        <x:f>'Raw Inputs'!BH22</x:f>
        <x:v>cash repurchases less issuance</x:v>
      </x:c>
      <x:c r="I37" s="268" t="n">
        <x:f>'Raw Inputs'!BI22</x:f>
        <x:v>0</x:v>
      </x:c>
      <x:c r="J37" s="271" t="n">
        <x:f>'Raw Inputs'!BK22</x:f>
        <x:v>1889000000</x:v>
      </x:c>
      <x:c r="K37" s="271" t="n">
        <x:f>'Raw Inputs'!BL22</x:f>
        <x:v>7033000</x:v>
      </x:c>
      <x:c r="L37" s="268" t="n">
        <x:f>'Raw Inputs'!BY22</x:f>
        <x:v>-0.015453116815086432</x:v>
      </x:c>
      <x:c r="M37" s="271" t="n">
        <x:f>'Raw Inputs'!M22</x:f>
        <x:v>34721883049</x:v>
      </x:c>
      <x:c r="N37" s="20" t="str">
        <x:f>'Raw Inputs'!CC22</x:f>
        <x:v>https://data.sec.gov/api/xbrl/companyfacts/CIK0000947484.json</x:v>
      </x:c>
    </x:row>
    <x:row r="38">
      <x:c r="A38" s="237" t="n">
        <x:f>RANK(D38,$D$5:$D$121,0)</x:f>
        <x:v>34</x:v>
      </x:c>
      <x:c r="B38" s="236" t="str">
        <x:f>'Raw Inputs'!A8</x:f>
        <x:v>TRV</x:v>
      </x:c>
      <x:c r="C38" s="236" t="str">
        <x:f>'Raw Inputs'!B8</x:f>
        <x:v>The Travelers Cos. Inc.</x:v>
      </x:c>
      <x:c r="D38" s="238" t="n">
        <x:f>1+9*'Raw Inputs'!BC8</x:f>
        <x:v>7.439655172413794</x:v>
      </x:c>
      <x:c r="E38" s="268" t="n">
        <x:f>'Raw Inputs'!BB8</x:f>
        <x:v>0.053556132035371205</x:v>
      </x:c>
      <x:c r="F38" s="268" t="n">
        <x:f>'Raw Inputs'!BD8</x:f>
        <x:v>0.013911237267877</x:v>
      </x:c>
      <x:c r="G38" s="268" t="n">
        <x:f>'Raw Inputs'!BG8</x:f>
        <x:v>0.03964489476749421</x:v>
      </x:c>
      <x:c r="H38" s="236" t="str">
        <x:f>'Raw Inputs'!BH8</x:f>
        <x:v>cash repurchases less issuance</x:v>
      </x:c>
      <x:c r="I38" s="268" t="n">
        <x:f>'Raw Inputs'!BI8</x:f>
        <x:v>0</x:v>
      </x:c>
      <x:c r="J38" s="271" t="n">
        <x:f>'Raw Inputs'!BK8</x:f>
        <x:v>3004000000</x:v>
      </x:c>
      <x:c r="K38" s="271" t="n">
        <x:f>'Raw Inputs'!BL8</x:f>
        <x:v>214000000</x:v>
      </x:c>
      <x:c r="L38" s="268" t="n">
        <x:f>'Raw Inputs'!BY8</x:f>
        <x:v>-0.015144958892254423</x:v>
      </x:c>
      <x:c r="M38" s="271" t="n">
        <x:f>'Raw Inputs'!M8</x:f>
        <x:v>70374761148</x:v>
      </x:c>
      <x:c r="N38" s="20" t="str">
        <x:f>'Raw Inputs'!CC8</x:f>
        <x:v>https://data.sec.gov/api/xbrl/companyfacts/CIK0000086312.json</x:v>
      </x:c>
    </x:row>
    <x:row r="39">
      <x:c r="A39" s="237" t="n">
        <x:f>RANK(D39,$D$5:$D$121,0)</x:f>
        <x:v>35</x:v>
      </x:c>
      <x:c r="B39" s="236" t="str">
        <x:f>'Raw Inputs'!A52</x:f>
        <x:v>TSCO</x:v>
      </x:c>
      <x:c r="C39" s="236" t="str">
        <x:f>'Raw Inputs'!B52</x:f>
        <x:v>Tractor Supply Co.</x:v>
      </x:c>
      <x:c r="D39" s="238" t="n">
        <x:f>1+9*'Raw Inputs'!BC52</x:f>
        <x:v>7.362068965517241</x:v>
      </x:c>
      <x:c r="E39" s="268" t="n">
        <x:f>'Raw Inputs'!BB52</x:f>
        <x:v>0.05224161676653295</x:v>
      </x:c>
      <x:c r="F39" s="268" t="n">
        <x:f>'Raw Inputs'!BD52</x:f>
        <x:v>0.030010268228144087</x:v>
      </x:c>
      <x:c r="G39" s="268" t="n">
        <x:f>'Raw Inputs'!BG52</x:f>
        <x:v>0.022231348538388866</x:v>
      </x:c>
      <x:c r="H39" s="236" t="str">
        <x:f>'Raw Inputs'!BH52</x:f>
        <x:v>cash repurchases less issuance</x:v>
      </x:c>
      <x:c r="I39" s="268" t="n">
        <x:f>'Raw Inputs'!BI52</x:f>
        <x:v>0</x:v>
      </x:c>
      <x:c r="J39" s="271" t="n">
        <x:f>'Raw Inputs'!BK52</x:f>
        <x:v>361261000</x:v>
      </x:c>
      <x:c r="K39" s="271" t="n">
        <x:f>'Raw Inputs'!BL52</x:f>
        <x:v>0</x:v>
      </x:c>
      <x:c r="L39" s="268" t="n">
        <x:f>'Raw Inputs'!BY52</x:f>
        <x:v>-0.013849666081104162</x:v>
      </x:c>
      <x:c r="M39" s="271" t="n">
        <x:f>'Raw Inputs'!M52</x:f>
        <x:v>16250071352</x:v>
      </x:c>
      <x:c r="N39" s="20" t="str">
        <x:f>'Raw Inputs'!CC52</x:f>
        <x:v>https://data.sec.gov/api/xbrl/companyfacts/CIK0000916365.json</x:v>
      </x:c>
    </x:row>
    <x:row r="40">
      <x:c r="A40" s="237" t="n">
        <x:f>RANK(D40,$D$5:$D$121,0)</x:f>
        <x:v>36</x:v>
      </x:c>
      <x:c r="B40" s="236" t="str">
        <x:f>'Raw Inputs'!A88</x:f>
        <x:v>MOS</x:v>
      </x:c>
      <x:c r="C40" s="236" t="str">
        <x:f>'Raw Inputs'!B88</x:f>
        <x:v>The Mosaic Co.</x:v>
      </x:c>
      <x:c r="D40" s="238" t="n">
        <x:f>1+9*'Raw Inputs'!BC88</x:f>
        <x:v>7.2844827586206895</x:v>
      </x:c>
      <x:c r="E40" s="268" t="n">
        <x:f>'Raw Inputs'!BB88</x:f>
        <x:v>0.051477703058858064</x:v>
      </x:c>
      <x:c r="F40" s="268" t="n">
        <x:f>'Raw Inputs'!BD88</x:f>
        <x:v>0.039330648331617986</x:v>
      </x:c>
      <x:c r="G40" s="268" t="n">
        <x:f>'Raw Inputs'!BG88</x:f>
        <x:v>-0.00008415973252129384</x:v>
      </x:c>
      <x:c r="H40" s="236" t="str">
        <x:f>'Raw Inputs'!BH88</x:f>
        <x:v>cash repurchases less issuance</x:v>
      </x:c>
      <x:c r="I40" s="268" t="n">
        <x:f>'Raw Inputs'!BI88</x:f>
        <x:v>0.012231214459761372</x:v>
      </x:c>
      <x:c r="J40" s="271" t="n">
        <x:f>'Raw Inputs'!BK88</x:f>
        <x:v>0</x:v>
      </x:c>
      <x:c r="K40" s="271" t="n">
        <x:f>'Raw Inputs'!BL88</x:f>
        <x:v>600000</x:v>
      </x:c>
      <x:c r="L40" s="268" t="n">
        <x:f>'Raw Inputs'!BY88</x:f>
        <x:v>-0.005612722170252549</x:v>
      </x:c>
      <x:c r="M40" s="271" t="n">
        <x:f>'Raw Inputs'!M88</x:f>
        <x:v>7129300225</x:v>
      </x:c>
      <x:c r="N40" s="20" t="str">
        <x:f>'Raw Inputs'!CC88</x:f>
        <x:v>https://data.sec.gov/api/xbrl/companyfacts/CIK0001285785.json</x:v>
      </x:c>
    </x:row>
    <x:row r="41">
      <x:c r="A41" s="237" t="n">
        <x:f>RANK(D41,$D$5:$D$121,0)</x:f>
        <x:v>37</x:v>
      </x:c>
      <x:c r="B41" s="236" t="str">
        <x:f>'Raw Inputs'!A12</x:f>
        <x:v>FTI</x:v>
      </x:c>
      <x:c r="C41" s="236" t="str">
        <x:f>'Raw Inputs'!B12</x:f>
        <x:v>TechnipFMC PLC</x:v>
      </x:c>
      <x:c r="D41" s="238" t="n">
        <x:f>1+9*'Raw Inputs'!BC12</x:f>
        <x:v>7.206896551724139</x:v>
      </x:c>
      <x:c r="E41" s="268" t="n">
        <x:f>'Raw Inputs'!BB12</x:f>
        <x:v>0.051102419717032395</x:v>
      </x:c>
      <x:c r="F41" s="268" t="n">
        <x:f>'Raw Inputs'!BD12</x:f>
        <x:v>0.0028963082037819473</x:v>
      </x:c>
      <x:c r="G41" s="268" t="n">
        <x:f>'Raw Inputs'!BG12</x:f>
        <x:v>0.032186676587836804</x:v>
      </x:c>
      <x:c r="H41" s="236" t="str">
        <x:f>'Raw Inputs'!BH12</x:f>
        <x:v>cash repurchases less issuance</x:v>
      </x:c>
      <x:c r="I41" s="268" t="n">
        <x:f>'Raw Inputs'!BI12</x:f>
        <x:v>0.01601943492541364</x:v>
      </x:c>
      <x:c r="J41" s="271" t="n">
        <x:f>'Raw Inputs'!BK12</x:f>
        <x:v>918300000</x:v>
      </x:c>
      <x:c r="K41" s="271" t="n">
        <x:f>'Raw Inputs'!BL12</x:f>
        <x:v>3700000</x:v>
      </x:c>
      <x:c r="L41" s="268" t="n">
        <x:f>'Raw Inputs'!BY12</x:f>
        <x:v>-0.04721906923950059</x:v>
      </x:c>
      <x:c r="M41" s="271" t="n">
        <x:f>'Raw Inputs'!M12</x:f>
        <x:v>28415484199</x:v>
      </x:c>
      <x:c r="N41" s="20" t="str">
        <x:f>'Raw Inputs'!CC12</x:f>
        <x:v>https://data.sec.gov/api/xbrl/companyfacts/CIK0001681459.json</x:v>
      </x:c>
    </x:row>
    <x:row r="42">
      <x:c r="A42" s="237" t="n">
        <x:f>RANK(D42,$D$5:$D$121,0)</x:f>
        <x:v>38</x:v>
      </x:c>
      <x:c r="B42" s="236" t="str">
        <x:f>'Raw Inputs'!A51</x:f>
        <x:v>INTU</x:v>
      </x:c>
      <x:c r="C42" s="236" t="str">
        <x:f>'Raw Inputs'!B51</x:f>
        <x:v>Intuit Inc.</x:v>
      </x:c>
      <x:c r="D42" s="238" t="n">
        <x:f>1+9*'Raw Inputs'!BC51</x:f>
        <x:v>7.129310344827586</x:v>
      </x:c>
      <x:c r="E42" s="268" t="n">
        <x:f>'Raw Inputs'!BB51</x:f>
        <x:v>0.048881668633303045</x:v>
      </x:c>
      <x:c r="F42" s="268" t="n">
        <x:f>'Raw Inputs'!BD51</x:f>
        <x:v>0.015327084389503512</x:v>
      </x:c>
      <x:c r="G42" s="268" t="n">
        <x:f>'Raw Inputs'!BG51</x:f>
        <x:v>0.03271668644285947</x:v>
      </x:c>
      <x:c r="H42" s="236" t="str">
        <x:f>'Raw Inputs'!BH51</x:f>
        <x:v>cash repurchases less issuance</x:v>
      </x:c>
      <x:c r="I42" s="268" t="n">
        <x:f>'Raw Inputs'!BI51</x:f>
        <x:v>0.0008378978009400574</x:v>
      </x:c>
      <x:c r="J42" s="271" t="n">
        <x:f>'Raw Inputs'!BK51</x:f>
        <x:v>2772000000</x:v>
      </x:c>
      <x:c r="K42" s="271" t="n">
        <x:f>'Raw Inputs'!BL51</x:f>
        <x:v>234000000</x:v>
      </x:c>
      <x:c r="L42" s="268" t="n">
        <x:f>'Raw Inputs'!BY51</x:f>
        <x:v>-0.0035211267605633756</x:v>
      </x:c>
      <x:c r="M42" s="271" t="n">
        <x:f>'Raw Inputs'!M51</x:f>
        <x:v>77575093200</x:v>
      </x:c>
      <x:c r="N42" s="20" t="str">
        <x:f>'Raw Inputs'!CC51</x:f>
        <x:v>https://data.sec.gov/api/xbrl/companyfacts/CIK0000896878.json</x:v>
      </x:c>
    </x:row>
    <x:row r="43">
      <x:c r="A43" s="237" t="n">
        <x:f>RANK(D43,$D$5:$D$121,0)</x:f>
        <x:v>39</x:v>
      </x:c>
      <x:c r="B43" s="236" t="str">
        <x:f>'Raw Inputs'!A42</x:f>
        <x:v>RLI</x:v>
      </x:c>
      <x:c r="C43" s="236" t="str">
        <x:f>'Raw Inputs'!B42</x:f>
        <x:v>RLI Corp.</x:v>
      </x:c>
      <x:c r="D43" s="238" t="n">
        <x:f>1+9*'Raw Inputs'!BC42</x:f>
        <x:v>7.051724137931035</x:v>
      </x:c>
      <x:c r="E43" s="268" t="n">
        <x:f>'Raw Inputs'!BB42</x:f>
        <x:v>0.046393779767229124</x:v>
      </x:c>
      <x:c r="F43" s="268" t="n">
        <x:f>'Raw Inputs'!BD42</x:f>
        <x:v>0.0445516765181133</x:v>
      </x:c>
      <x:c r="G43" s="268" t="n">
        <x:f>'Raw Inputs'!BG42</x:f>
        <x:v>0.0018421032491158199</x:v>
      </x:c>
      <x:c r="H43" s="236" t="str">
        <x:f>'Raw Inputs'!BH42</x:f>
        <x:v>cash repurchases less issuance</x:v>
      </x:c>
      <x:c r="I43" s="268" t="n">
        <x:f>'Raw Inputs'!BI42</x:f>
        <x:v>0</x:v>
      </x:c>
      <x:c r="J43" s="271" t="n">
        <x:f>'Raw Inputs'!BK42</x:f>
        <x:v>6624000</x:v>
      </x:c>
      <x:c r="K43" s="271" t="n">
        <x:f>'Raw Inputs'!BL42</x:f>
        <x:v>-3364000</x:v>
      </x:c>
      <x:c r="L43" s="268" t="n">
        <x:f>'Raw Inputs'!BY42</x:f>
        <x:v>-0.0006489924392381052</x:v>
      </x:c>
      <x:c r="M43" s="271" t="n">
        <x:f>'Raw Inputs'!M42</x:f>
        <x:v>5422063071</x:v>
      </x:c>
      <x:c r="N43" s="20" t="str">
        <x:f>'Raw Inputs'!CC42</x:f>
        <x:v>https://data.sec.gov/api/xbrl/companyfacts/CIK0000084246.json</x:v>
      </x:c>
    </x:row>
    <x:row r="44">
      <x:c r="A44" s="237" t="n">
        <x:f>RANK(D44,$D$5:$D$121,0)</x:f>
        <x:v>40</x:v>
      </x:c>
      <x:c r="B44" s="236" t="str">
        <x:f>'Raw Inputs'!A40</x:f>
        <x:v>REGN</x:v>
      </x:c>
      <x:c r="C44" s="236" t="str">
        <x:f>'Raw Inputs'!B40</x:f>
        <x:v>Regeneron Pharmaceuticals Inc.</x:v>
      </x:c>
      <x:c r="D44" s="238" t="n">
        <x:f>1+9*'Raw Inputs'!BC40</x:f>
        <x:v>6.974137931034483</x:v>
      </x:c>
      <x:c r="E44" s="268" t="n">
        <x:f>'Raw Inputs'!BB40</x:f>
        <x:v>0.04531598322733034</x:v>
      </x:c>
      <x:c r="F44" s="268" t="n">
        <x:f>'Raw Inputs'!BD40</x:f>
        <x:v>0.005291032189525595</x:v>
      </x:c>
      <x:c r="G44" s="268" t="n">
        <x:f>'Raw Inputs'!BG40</x:f>
        <x:v>0.04004638379039532</x:v>
      </x:c>
      <x:c r="H44" s="236" t="str">
        <x:f>'Raw Inputs'!BH40</x:f>
        <x:v>cash repurchases less issuance</x:v>
      </x:c>
      <x:c r="I44" s="268" t="n">
        <x:f>'Raw Inputs'!BI40</x:f>
        <x:v>-0.000021432752590570867</x:v>
      </x:c>
      <x:c r="J44" s="271" t="n">
        <x:f>'Raw Inputs'!BK40</x:f>
        <x:v>3438600000</x:v>
      </x:c>
      <x:c r="K44" s="271" t="n">
        <x:f>'Raw Inputs'!BL40</x:f>
        <x:v>635900000</x:v>
      </x:c>
      <x:c r="L44" s="268" t="n">
        <x:f>'Raw Inputs'!BY40</x:f>
        <x:v>-0.05647263249348389</x:v>
      </x:c>
      <x:c r="M44" s="271" t="n">
        <x:f>'Raw Inputs'!M40</x:f>
        <x:v>69986344202</x:v>
      </x:c>
      <x:c r="N44" s="20" t="str">
        <x:f>'Raw Inputs'!CC40</x:f>
        <x:v>https://data.sec.gov/api/xbrl/companyfacts/CIK0000872589.json</x:v>
      </x:c>
    </x:row>
    <x:row r="45">
      <x:c r="A45" s="237" t="n">
        <x:f>RANK(D45,$D$5:$D$121,0)</x:f>
        <x:v>41</x:v>
      </x:c>
      <x:c r="B45" s="236" t="str">
        <x:f>'Raw Inputs'!A61</x:f>
        <x:v>VRSN</x:v>
      </x:c>
      <x:c r="C45" s="236" t="str">
        <x:f>'Raw Inputs'!B61</x:f>
        <x:v>VeriSign Inc.</x:v>
      </x:c>
      <x:c r="D45" s="238" t="n">
        <x:f>1+9*'Raw Inputs'!BC61</x:f>
        <x:v>6.896551724137931</x:v>
      </x:c>
      <x:c r="E45" s="268" t="n">
        <x:f>'Raw Inputs'!BB61</x:f>
        <x:v>0.044563880990709355</x:v>
      </x:c>
      <x:c r="F45" s="268" t="n">
        <x:f>'Raw Inputs'!BD61</x:f>
        <x:v>0.008743751995988926</x:v>
      </x:c>
      <x:c r="G45" s="268" t="n">
        <x:f>'Raw Inputs'!BG61</x:f>
        <x:v>0.03582012899472043</x:v>
      </x:c>
      <x:c r="H45" s="236" t="str">
        <x:f>'Raw Inputs'!BH61</x:f>
        <x:v>cash repurchases less issuance</x:v>
      </x:c>
      <x:c r="I45" s="268" t="n">
        <x:f>'Raw Inputs'!BI61</x:f>
        <x:v>0</x:v>
      </x:c>
      <x:c r="J45" s="271" t="n">
        <x:f>'Raw Inputs'!BK61</x:f>
        <x:v>881600000</x:v>
      </x:c>
      <x:c r="K45" s="271" t="n">
        <x:f>'Raw Inputs'!BL61</x:f>
        <x:v>0</x:v>
      </x:c>
      <x:c r="L45" s="268" t="n">
        <x:f>'Raw Inputs'!BY61</x:f>
        <x:v>-0.044806517311609007</x:v>
      </x:c>
      <x:c r="M45" s="271" t="n">
        <x:f>'Raw Inputs'!M61</x:f>
        <x:v>24611860000</x:v>
      </x:c>
      <x:c r="N45" s="20" t="str">
        <x:f>'Raw Inputs'!CC61</x:f>
        <x:v>https://data.sec.gov/api/xbrl/companyfacts/CIK0001014473.json</x:v>
      </x:c>
    </x:row>
    <x:row r="46">
      <x:c r="A46" s="237" t="n">
        <x:f>RANK(D46,$D$5:$D$121,0)</x:f>
        <x:v>42</x:v>
      </x:c>
      <x:c r="B46" s="236" t="str">
        <x:f>'Raw Inputs'!A28</x:f>
        <x:v>GILD</x:v>
      </x:c>
      <x:c r="C46" s="236" t="str">
        <x:f>'Raw Inputs'!B28</x:f>
        <x:v>Gilead Sciences Inc.</x:v>
      </x:c>
      <x:c r="D46" s="238" t="n">
        <x:f>1+9*'Raw Inputs'!BC28</x:f>
        <x:v>6.818965517241379</x:v>
      </x:c>
      <x:c r="E46" s="268" t="n">
        <x:f>'Raw Inputs'!BB28</x:f>
        <x:v>0.044233830444218775</x:v>
      </x:c>
      <x:c r="F46" s="268" t="n">
        <x:f>'Raw Inputs'!BD28</x:f>
        <x:v>0.024289166429109433</x:v>
      </x:c>
      <x:c r="G46" s="268" t="n">
        <x:f>'Raw Inputs'!BG28</x:f>
        <x:v>0.009186559573737617</x:v>
      </x:c>
      <x:c r="H46" s="236" t="str">
        <x:f>'Raw Inputs'!BH28</x:f>
        <x:v>cash repurchases less issuance</x:v>
      </x:c>
      <x:c r="I46" s="268" t="n">
        <x:f>'Raw Inputs'!BI28</x:f>
        <x:v>0.010758104441371727</x:v>
      </x:c>
      <x:c r="J46" s="271" t="n">
        <x:f>'Raw Inputs'!BK28</x:f>
        <x:v>1922000000</x:v>
      </x:c>
      <x:c r="K46" s="271" t="n">
        <x:f>'Raw Inputs'!BL28</x:f>
        <x:v>408000000</x:v>
      </x:c>
      <x:c r="L46" s="268" t="n">
        <x:f>'Raw Inputs'!BY28</x:f>
        <x:v>0</x:v>
      </x:c>
      <x:c r="M46" s="271" t="n">
        <x:f>'Raw Inputs'!M28</x:f>
        <x:v>164805985075</x:v>
      </x:c>
      <x:c r="N46" s="20" t="str">
        <x:f>'Raw Inputs'!CC28</x:f>
        <x:v>https://data.sec.gov/api/xbrl/companyfacts/CIK0000882095.json</x:v>
      </x:c>
    </x:row>
    <x:row r="47">
      <x:c r="A47" s="237" t="n">
        <x:f>RANK(D47,$D$5:$D$121,0)</x:f>
        <x:v>43</x:v>
      </x:c>
      <x:c r="B47" s="236" t="str">
        <x:f>'Raw Inputs'!A59</x:f>
        <x:v>DLB</x:v>
      </x:c>
      <x:c r="C47" s="236" t="str">
        <x:f>'Raw Inputs'!B59</x:f>
        <x:v>Dolby Laboratories Inc.</x:v>
      </x:c>
      <x:c r="D47" s="238" t="n">
        <x:f>1+9*'Raw Inputs'!BC59</x:f>
        <x:v>6.741379310344828</x:v>
      </x:c>
      <x:c r="E47" s="268" t="n">
        <x:f>'Raw Inputs'!BB59</x:f>
        <x:v>0.04417840554797965</x:v>
      </x:c>
      <x:c r="F47" s="268" t="n">
        <x:f>'Raw Inputs'!BD59</x:f>
        <x:v>0.026902854165914723</x:v>
      </x:c>
      <x:c r="G47" s="268" t="n">
        <x:f>'Raw Inputs'!BG59</x:f>
        <x:v>0.017275551382064925</x:v>
      </x:c>
      <x:c r="H47" s="236" t="str">
        <x:f>'Raw Inputs'!BH59</x:f>
        <x:v>cash repurchases less issuance</x:v>
      </x:c>
      <x:c r="I47" s="268" t="n">
        <x:f>'Raw Inputs'!BI59</x:f>
        <x:v>0</x:v>
      </x:c>
      <x:c r="J47" s="271" t="n">
        <x:f>'Raw Inputs'!BK59</x:f>
        <x:v>124992000</x:v>
      </x:c>
      <x:c r="K47" s="271" t="n">
        <x:f>'Raw Inputs'!BL59</x:f>
        <x:v>43697000</x:v>
      </x:c>
      <x:c r="L47" s="268" t="n">
        <x:f>'Raw Inputs'!BY59</x:f>
        <x:v>0.0015823272540456124</x:v>
      </x:c>
      <x:c r="M47" s="271" t="n">
        <x:f>'Raw Inputs'!M59</x:f>
        <x:v>4705783231</x:v>
      </x:c>
      <x:c r="N47" s="20" t="str">
        <x:f>'Raw Inputs'!CC59</x:f>
        <x:v>https://data.sec.gov/api/xbrl/companyfacts/CIK0001308547.json</x:v>
      </x:c>
    </x:row>
    <x:row r="48">
      <x:c r="A48" s="237" t="n">
        <x:f>RANK(D48,$D$5:$D$121,0)</x:f>
        <x:v>44</x:v>
      </x:c>
      <x:c r="B48" s="236" t="str">
        <x:f>'Raw Inputs'!A36</x:f>
        <x:v>CME</x:v>
      </x:c>
      <x:c r="C48" s="236" t="str">
        <x:f>'Raw Inputs'!B36</x:f>
        <x:v>CME Group Inc.</x:v>
      </x:c>
      <x:c r="D48" s="238" t="n">
        <x:f>1+9*'Raw Inputs'!BC36</x:f>
        <x:v>6.663793103448276</x:v>
      </x:c>
      <x:c r="E48" s="268" t="n">
        <x:f>'Raw Inputs'!BB36</x:f>
        <x:v>0.04400134218534498</x:v>
      </x:c>
      <x:c r="F48" s="268" t="n">
        <x:f>'Raw Inputs'!BD36</x:f>
        <x:v>0.0441303783794369</x:v>
      </x:c>
      <x:c r="G48" s="268" t="n">
        <x:f>'Raw Inputs'!BG36</x:f>
        <x:v>-0.00012903619409192077</x:v>
      </x:c>
      <x:c r="H48" s="236" t="str">
        <x:f>'Raw Inputs'!BH36</x:f>
        <x:v>cash repurchases less issuance</x:v>
      </x:c>
      <x:c r="I48" s="268" t="n">
        <x:f>'Raw Inputs'!BI36</x:f>
        <x:v>0</x:v>
      </x:c>
      <x:c r="J48" s="271" t="n">
        <x:f>'Raw Inputs'!BK36</x:f>
        <x:v>0</x:v>
      </x:c>
      <x:c r="K48" s="271" t="n">
        <x:f>'Raw Inputs'!BL36</x:f>
        <x:v>11500000</x:v>
      </x:c>
      <x:c r="L48" s="268" t="n">
        <x:f>'Raw Inputs'!BY36</x:f>
        <x:v>0.0010168248394195611</x:v>
      </x:c>
      <x:c r="M48" s="271" t="n">
        <x:f>'Raw Inputs'!M36</x:f>
        <x:v>89122281395</x:v>
      </x:c>
      <x:c r="N48" s="20" t="str">
        <x:f>'Raw Inputs'!CC36</x:f>
        <x:v>https://data.sec.gov/api/xbrl/companyfacts/CIK0001156375.json</x:v>
      </x:c>
    </x:row>
    <x:row r="49">
      <x:c r="A49" s="237" t="n">
        <x:f>RANK(D49,$D$5:$D$121,0)</x:f>
        <x:v>45</x:v>
      </x:c>
      <x:c r="B49" s="236" t="str">
        <x:f>'Raw Inputs'!A62</x:f>
        <x:v>NOC</x:v>
      </x:c>
      <x:c r="C49" s="236" t="str">
        <x:f>'Raw Inputs'!B62</x:f>
        <x:v>Northrop Grumman Corp.</x:v>
      </x:c>
      <x:c r="D49" s="238" t="n">
        <x:f>1+9*'Raw Inputs'!BC62</x:f>
        <x:v>6.586206896551724</x:v>
      </x:c>
      <x:c r="E49" s="268" t="n">
        <x:f>'Raw Inputs'!BB62</x:f>
        <x:v>0.04396304729204997</x:v>
      </x:c>
      <x:c r="F49" s="268" t="n">
        <x:f>'Raw Inputs'!BD62</x:f>
        <x:v>0.017168293611785145</x:v>
      </x:c>
      <x:c r="G49" s="268" t="n">
        <x:f>'Raw Inputs'!BG62</x:f>
        <x:v>0.019120141377394127</x:v>
      </x:c>
      <x:c r="H49" s="236" t="str">
        <x:f>'Raw Inputs'!BH62</x:f>
        <x:v>cash repurchases less issuance</x:v>
      </x:c>
      <x:c r="I49" s="268" t="n">
        <x:f>'Raw Inputs'!BI62</x:f>
        <x:v>0.007674612302870698</x:v>
      </x:c>
      <x:c r="J49" s="271" t="n">
        <x:f>'Raw Inputs'!BK62</x:f>
        <x:v>1624000000</x:v>
      </x:c>
      <x:c r="K49" s="271" t="n">
        <x:f>'Raw Inputs'!BL62</x:f>
        <x:v>184000000</x:v>
      </x:c>
      <x:c r="L49" s="268" t="n">
        <x:f>'Raw Inputs'!BY62</x:f>
        <x:v>-0.023761031907671426</x:v>
      </x:c>
      <x:c r="M49" s="271" t="n">
        <x:f>'Raw Inputs'!M62</x:f>
        <x:v>75313250649</x:v>
      </x:c>
      <x:c r="N49" s="20" t="str">
        <x:f>'Raw Inputs'!CC62</x:f>
        <x:v>https://data.sec.gov/api/xbrl/companyfacts/CIK0001133421.json</x:v>
      </x:c>
    </x:row>
    <x:row r="50">
      <x:c r="A50" s="237" t="n">
        <x:f>RANK(D50,$D$5:$D$121,0)</x:f>
        <x:v>46</x:v>
      </x:c>
      <x:c r="B50" s="236" t="str">
        <x:f>'Raw Inputs'!A53</x:f>
        <x:v>FE</x:v>
      </x:c>
      <x:c r="C50" s="236" t="str">
        <x:f>'Raw Inputs'!B53</x:f>
        <x:v>FirstEnergy Corp.</x:v>
      </x:c>
      <x:c r="D50" s="238" t="n">
        <x:f>1+9*'Raw Inputs'!BC53</x:f>
        <x:v>6.508620689655172</x:v>
      </x:c>
      <x:c r="E50" s="268" t="n">
        <x:f>'Raw Inputs'!BB53</x:f>
        <x:v>0.04371696935736078</x:v>
      </x:c>
      <x:c r="F50" s="268" t="n">
        <x:f>'Raw Inputs'!BD53</x:f>
        <x:v>0.03579084679055484</x:v>
      </x:c>
      <x:c r="G50" s="268" t="n">
        <x:f>'Raw Inputs'!BG53</x:f>
        <x:v>0</x:v>
      </x:c>
      <x:c r="H50" s="236" t="str">
        <x:f>'Raw Inputs'!BH53</x:f>
        <x:v>cash repurchases less issuance</x:v>
      </x:c>
      <x:c r="I50" s="268" t="n">
        <x:f>'Raw Inputs'!BI53</x:f>
        <x:v>0.007926122566805943</x:v>
      </x:c>
      <x:c r="J50" s="271" t="n">
        <x:f>'Raw Inputs'!BK53</x:f>
        <x:v>0</x:v>
      </x:c>
      <x:c r="K50" s="271" t="n">
        <x:f>'Raw Inputs'!BL53</x:f>
        <x:v>0</x:v>
      </x:c>
      <x:c r="L50" s="268" t="n">
        <x:f>'Raw Inputs'!BY53</x:f>
        <x:v>0.0017331022530329143</x:v>
      </x:c>
      <x:c r="M50" s="271" t="n">
        <x:f>'Raw Inputs'!M53</x:f>
        <x:v>28387146187</x:v>
      </x:c>
      <x:c r="N50" s="20" t="str">
        <x:f>'Raw Inputs'!CC53</x:f>
        <x:v>https://data.sec.gov/api/xbrl/companyfacts/CIK0001031296.json</x:v>
      </x:c>
    </x:row>
    <x:row r="51">
      <x:c r="A51" s="237" t="n">
        <x:f>RANK(D51,$D$5:$D$121,0)</x:f>
        <x:v>47</x:v>
      </x:c>
      <x:c r="B51" s="236" t="str">
        <x:f>'Raw Inputs'!A97</x:f>
        <x:v>MCK</x:v>
      </x:c>
      <x:c r="C51" s="236" t="str">
        <x:f>'Raw Inputs'!B97</x:f>
        <x:v>McKesson Corp.</x:v>
      </x:c>
      <x:c r="D51" s="238" t="n">
        <x:f>1+9*'Raw Inputs'!BC97</x:f>
        <x:v>6.431034482758621</x:v>
      </x:c>
      <x:c r="E51" s="268" t="n">
        <x:f>'Raw Inputs'!BB97</x:f>
        <x:v>0.04202730115852628</x:v>
      </x:c>
      <x:c r="F51" s="268" t="n">
        <x:f>'Raw Inputs'!BD97</x:f>
        <x:v>0.00391309915478947</x:v>
      </x:c>
      <x:c r="G51" s="268" t="n">
        <x:f>'Raw Inputs'!BG97</x:f>
        <x:v>0.04707016647349119</x:v>
      </x:c>
      <x:c r="H51" s="236" t="str">
        <x:f>'Raw Inputs'!BH97</x:f>
        <x:v>cash repurchases less issuance</x:v>
      </x:c>
      <x:c r="I51" s="268" t="n">
        <x:f>'Raw Inputs'!BI97</x:f>
        <x:v>-0.008955964469754378</x:v>
      </x:c>
      <x:c r="J51" s="271" t="n">
        <x:f>'Raw Inputs'!BK97</x:f>
        <x:v>4750000000</x:v>
      </x:c>
      <x:c r="K51" s="271" t="n">
        <x:f>'Raw Inputs'!BL97</x:f>
        <x:v>167000000</x:v>
      </x:c>
      <x:c r="L51" s="268" t="n">
        <x:f>'Raw Inputs'!BY97</x:f>
        <x:v>-0.031225604996096834</x:v>
      </x:c>
      <x:c r="M51" s="271" t="n">
        <x:f>'Raw Inputs'!M97</x:f>
        <x:v>97365281310</x:v>
      </x:c>
      <x:c r="N51" s="20" t="str">
        <x:f>'Raw Inputs'!CC97</x:f>
        <x:v>https://data.sec.gov/api/xbrl/companyfacts/CIK0000927653.json</x:v>
      </x:c>
    </x:row>
    <x:row r="52">
      <x:c r="A52" s="237" t="n">
        <x:f>RANK(D52,$D$5:$D$121,0)</x:f>
        <x:v>48</x:v>
      </x:c>
      <x:c r="B52" s="236" t="str">
        <x:f>'Raw Inputs'!A73</x:f>
        <x:v>REG</x:v>
      </x:c>
      <x:c r="C52" s="236" t="str">
        <x:f>'Raw Inputs'!B73</x:f>
        <x:v>Regency Centers Corp. REIT</x:v>
      </x:c>
      <x:c r="D52" s="238" t="n">
        <x:f>1+9*'Raw Inputs'!BC73</x:f>
        <x:v>6.353448275862069</x:v>
      </x:c>
      <x:c r="E52" s="268" t="n">
        <x:f>'Raw Inputs'!BB73</x:f>
        <x:v>0.041703817965299504</x:v>
      </x:c>
      <x:c r="F52" s="268" t="n">
        <x:f>'Raw Inputs'!BD73</x:f>
        <x:v>0.03477662374682821</x:v>
      </x:c>
      <x:c r="G52" s="268" t="n">
        <x:f>'Raw Inputs'!BG73</x:f>
        <x:v>0.006927194218471292</x:v>
      </x:c>
      <x:c r="H52" s="236" t="str">
        <x:f>'Raw Inputs'!BH73</x:f>
        <x:v>cash repurchases less issuance</x:v>
      </x:c>
      <x:c r="I52" s="268" t="n">
        <x:f>'Raw Inputs'!BI73</x:f>
        <x:v>0</x:v>
      </x:c>
      <x:c r="J52" s="271" t="n">
        <x:f>'Raw Inputs'!BK73</x:f>
        <x:v>200066000</x:v>
      </x:c>
      <x:c r="K52" s="271" t="n">
        <x:f>'Raw Inputs'!BL73</x:f>
        <x:v>98167000</x:v>
      </x:c>
      <x:c r="L52" s="268" t="n">
        <x:f>'Raw Inputs'!BY73</x:f>
        <x:v>0.010067294109232128</x:v>
      </x:c>
      <x:c r="M52" s="271" t="n">
        <x:f>'Raw Inputs'!M73</x:f>
        <x:v>14709996109</x:v>
      </x:c>
      <x:c r="N52" s="20" t="str">
        <x:f>'Raw Inputs'!CC73</x:f>
        <x:v>https://data.sec.gov/api/xbrl/companyfacts/CIK0000910606.json</x:v>
      </x:c>
    </x:row>
    <x:row r="53">
      <x:c r="A53" s="237" t="n">
        <x:f>RANK(D53,$D$5:$D$121,0)</x:f>
        <x:v>49</x:v>
      </x:c>
      <x:c r="B53" s="236" t="str">
        <x:f>'Raw Inputs'!A82</x:f>
        <x:v>MRSH</x:v>
      </x:c>
      <x:c r="C53" s="236" t="str">
        <x:f>'Raw Inputs'!B82</x:f>
        <x:v>Marsh and McLennan Cos. Inc.</x:v>
      </x:c>
      <x:c r="D53" s="238" t="n">
        <x:f>1+9*'Raw Inputs'!BC82</x:f>
        <x:v>6.275862068965517</x:v>
      </x:c>
      <x:c r="E53" s="268" t="n">
        <x:f>'Raw Inputs'!BB82</x:f>
        <x:v>0.0415254558392576</x:v>
      </x:c>
      <x:c r="F53" s="268" t="n">
        <x:f>'Raw Inputs'!BD82</x:f>
        <x:v>0.019795664834707814</x:v>
      </x:c>
      <x:c r="G53" s="268" t="n">
        <x:f>'Raw Inputs'!BG82</x:f>
        <x:v>0.02172979100454978</x:v>
      </x:c>
      <x:c r="H53" s="236" t="str">
        <x:f>'Raw Inputs'!BH82</x:f>
        <x:v>cash repurchases less issuance</x:v>
      </x:c>
      <x:c r="I53" s="268" t="n">
        <x:f>'Raw Inputs'!BI82</x:f>
        <x:v>0</x:v>
      </x:c>
      <x:c r="J53" s="271" t="n">
        <x:f>'Raw Inputs'!BK82</x:f>
        <x:v>2012000000</x:v>
      </x:c>
      <x:c r="K53" s="271" t="n">
        <x:f>'Raw Inputs'!BL82</x:f>
        <x:v>147000000</x:v>
      </x:c>
      <x:c r="L53" s="268" t="n">
        <x:f>'Raw Inputs'!BY82</x:f>
        <x:v>-0.0040322580645161255</x:v>
      </x:c>
      <x:c r="M53" s="271" t="n">
        <x:f>'Raw Inputs'!M82</x:f>
        <x:v>85826872408</x:v>
      </x:c>
      <x:c r="N53" s="20" t="str">
        <x:f>'Raw Inputs'!CC82</x:f>
        <x:v>https://data.sec.gov/api/xbrl/companyfacts/CIK0000062709.json</x:v>
      </x:c>
    </x:row>
    <x:row r="54">
      <x:c r="A54" s="237" t="n">
        <x:f>RANK(D54,$D$5:$D$121,0)</x:f>
        <x:v>50</x:v>
      </x:c>
      <x:c r="B54" s="236" t="str">
        <x:f>'Raw Inputs'!A80</x:f>
        <x:v>LMT</x:v>
      </x:c>
      <x:c r="C54" s="236" t="str">
        <x:f>'Raw Inputs'!B80</x:f>
        <x:v>Lockheed Martin Corp.</x:v>
      </x:c>
      <x:c r="D54" s="238" t="n">
        <x:f>1+9*'Raw Inputs'!BC80</x:f>
        <x:v>6.198275862068965</x:v>
      </x:c>
      <x:c r="E54" s="268" t="n">
        <x:f>'Raw Inputs'!BB80</x:f>
        <x:v>0.039127910737244184</x:v>
      </x:c>
      <x:c r="F54" s="268" t="n">
        <x:f>'Raw Inputs'!BD80</x:f>
        <x:v>0.026459932725337264</x:v>
      </x:c>
      <x:c r="G54" s="268" t="n">
        <x:f>'Raw Inputs'!BG80</x:f>
        <x:v>0.024752840291444537</x:v>
      </x:c>
      <x:c r="H54" s="236" t="str">
        <x:f>'Raw Inputs'!BH80</x:f>
        <x:v>cash repurchases less issuance</x:v>
      </x:c>
      <x:c r="I54" s="268" t="n">
        <x:f>'Raw Inputs'!BI80</x:f>
        <x:v>-0.012084862279537619</x:v>
      </x:c>
      <x:c r="J54" s="271" t="n">
        <x:f>'Raw Inputs'!BK80</x:f>
        <x:v>3000000000</x:v>
      </x:c>
      <x:c r="K54" s="271" t="n">
        <x:f>'Raw Inputs'!BL80</x:f>
        <x:v>71000000</x:v>
      </x:c>
      <x:c r="L54" s="268" t="n">
        <x:f>'Raw Inputs'!BY80</x:f>
        <x:v>-0.023829431438127102</x:v>
      </x:c>
      <x:c r="M54" s="271" t="n">
        <x:f>'Raw Inputs'!M80</x:f>
        <x:v>118329854898</x:v>
      </x:c>
      <x:c r="N54" s="20" t="str">
        <x:f>'Raw Inputs'!CC80</x:f>
        <x:v>https://data.sec.gov/api/xbrl/companyfacts/CIK0000936468.json</x:v>
      </x:c>
    </x:row>
    <x:row r="55">
      <x:c r="A55" s="237" t="n">
        <x:f>RANK(D55,$D$5:$D$121,0)</x:f>
        <x:v>51</x:v>
      </x:c>
      <x:c r="B55" s="236" t="str">
        <x:f>'Raw Inputs'!A54</x:f>
        <x:v>WTM</x:v>
      </x:c>
      <x:c r="C55" s="236" t="str">
        <x:f>'Raw Inputs'!B54</x:f>
        <x:v>White Mountains Insurance Group Ltd.</x:v>
      </x:c>
      <x:c r="D55" s="238" t="n">
        <x:f>1+9*'Raw Inputs'!BC54</x:f>
        <x:v>6.120689655172414</x:v>
      </x:c>
      <x:c r="E55" s="268" t="n">
        <x:f>'Raw Inputs'!BB54</x:f>
        <x:v>0.038260092091870125</x:v>
      </x:c>
      <x:c r="F55" s="268" t="n">
        <x:f>'Raw Inputs'!BD54</x:f>
        <x:v>0.00048477699531609324</x:v>
      </x:c>
      <x:c r="G55" s="268" t="n">
        <x:f>'Raw Inputs'!BG54</x:f>
        <x:v>0.03777531509655403</x:v>
      </x:c>
      <x:c r="H55" s="236" t="str">
        <x:f>'Raw Inputs'!BH54</x:f>
        <x:v>cash repurchases less issuance</x:v>
      </x:c>
      <x:c r="I55" s="268" t="n">
        <x:f>'Raw Inputs'!BI54</x:f>
        <x:v>0</x:v>
      </x:c>
      <x:c r="J55" s="271" t="n">
        <x:f>'Raw Inputs'!BK54</x:f>
        <x:v>202600000</x:v>
      </x:c>
      <x:c r="K55" s="271" t="n">
        <x:f>'Raw Inputs'!BL54</x:f>
        <x:v>0</x:v>
      </x:c>
      <x:c r="L55" s="268" t="n">
        <x:f>'Raw Inputs'!BY54</x:f>
        <x:v>0.0008293183792749126</x:v>
      </x:c>
      <x:c r="M55" s="271" t="n">
        <x:f>'Raw Inputs'!M54</x:f>
        <x:v>5363290802</x:v>
      </x:c>
      <x:c r="N55" s="20" t="str">
        <x:f>'Raw Inputs'!CC54</x:f>
        <x:v>https://data.sec.gov/api/xbrl/companyfacts/CIK0000776867.json</x:v>
      </x:c>
    </x:row>
    <x:row r="56">
      <x:c r="A56" s="237" t="n">
        <x:f>RANK(D56,$D$5:$D$121,0)</x:f>
        <x:v>52</x:v>
      </x:c>
      <x:c r="B56" s="236" t="str">
        <x:f>'Raw Inputs'!A38</x:f>
        <x:v>CB</x:v>
      </x:c>
      <x:c r="C56" s="236" t="str">
        <x:f>'Raw Inputs'!B38</x:f>
        <x:v>Chubb Ltd.</x:v>
      </x:c>
      <x:c r="D56" s="238" t="n">
        <x:f>1+9*'Raw Inputs'!BC38</x:f>
        <x:v>6.043103448275861</x:v>
      </x:c>
      <x:c r="E56" s="268" t="n">
        <x:f>'Raw Inputs'!BB38</x:f>
        <x:v>0.037421678887423454</x:v>
      </x:c>
      <x:c r="F56" s="268" t="n">
        <x:f>'Raw Inputs'!BD38</x:f>
        <x:v>0.01139612034107088</x:v>
      </x:c>
      <x:c r="G56" s="268" t="n">
        <x:f>'Raw Inputs'!BG38</x:f>
        <x:v>0.02602555854635257</x:v>
      </x:c>
      <x:c r="H56" s="236" t="str">
        <x:f>'Raw Inputs'!BH38</x:f>
        <x:v>cash repurchases less issuance</x:v>
      </x:c>
      <x:c r="I56" s="268" t="n">
        <x:f>'Raw Inputs'!BI38</x:f>
        <x:v>0</x:v>
      </x:c>
      <x:c r="J56" s="271" t="n">
        <x:f>'Raw Inputs'!BK38</x:f>
        <x:v>3694000000</x:v>
      </x:c>
      <x:c r="K56" s="271" t="n">
        <x:f>'Raw Inputs'!BL38</x:f>
        <x:v>257000000</x:v>
      </x:c>
      <x:c r="L56" s="268" t="n">
        <x:f>'Raw Inputs'!BY38</x:f>
        <x:v>-0.017070571755950725</x:v>
      </x:c>
      <x:c r="M56" s="271" t="n">
        <x:f>'Raw Inputs'!M38</x:f>
        <x:v>132062487492</x:v>
      </x:c>
      <x:c r="N56" s="20" t="str">
        <x:f>'Raw Inputs'!CC38</x:f>
        <x:v>https://data.sec.gov/api/xbrl/companyfacts/CIK0000896159.json</x:v>
      </x:c>
    </x:row>
    <x:row r="57">
      <x:c r="A57" s="237" t="n">
        <x:f>RANK(D57,$D$5:$D$121,0)</x:f>
        <x:v>53</x:v>
      </x:c>
      <x:c r="B57" s="236" t="str">
        <x:f>'Raw Inputs'!A115</x:f>
        <x:v>AZO</x:v>
      </x:c>
      <x:c r="C57" s="236" t="str">
        <x:f>'Raw Inputs'!B115</x:f>
        <x:v>AutoZone Inc.</x:v>
      </x:c>
      <x:c r="D57" s="238" t="n">
        <x:f>1+9*'Raw Inputs'!BC115</x:f>
        <x:v>5.9655172413793105</x:v>
      </x:c>
      <x:c r="E57" s="268" t="n">
        <x:f>'Raw Inputs'!BB115</x:f>
        <x:v>0.037385388846710825</x:v>
      </x:c>
      <x:c r="F57" s="268" t="n">
        <x:f>'Raw Inputs'!BD115</x:f>
        <x:v>0</x:v>
      </x:c>
      <x:c r="G57" s="268" t="n">
        <x:f>'Raw Inputs'!BG115</x:f>
        <x:v>0.0327276231991462</x:v>
      </x:c>
      <x:c r="H57" s="236" t="str">
        <x:f>'Raw Inputs'!BH115</x:f>
        <x:v>cash repurchases less issuance</x:v>
      </x:c>
      <x:c r="I57" s="268" t="n">
        <x:f>'Raw Inputs'!BI115</x:f>
        <x:v>0.004657765647564629</x:v>
      </x:c>
      <x:c r="J57" s="271" t="n">
        <x:f>'Raw Inputs'!BK115</x:f>
        <x:v>1578186000</x:v>
      </x:c>
      <x:c r="K57" s="271" t="n">
        <x:f>'Raw Inputs'!BL115</x:f>
        <x:v>0</x:v>
      </x:c>
      <x:c r="L57" s="268" t="n">
        <x:f>'Raw Inputs'!BY115</x:f>
        <x:v>-0.03134303207324607</x:v>
      </x:c>
      <x:c r="M57" s="271" t="n">
        <x:f>'Raw Inputs'!M115</x:f>
        <x:v>48221833599</x:v>
      </x:c>
      <x:c r="N57" s="20" t="str">
        <x:f>'Raw Inputs'!CC115</x:f>
        <x:v>https://data.sec.gov/api/xbrl/companyfacts/CIK0000866787.json</x:v>
      </x:c>
    </x:row>
    <x:row r="58">
      <x:c r="A58" s="237" t="n">
        <x:f>RANK(D58,$D$5:$D$121,0)</x:f>
        <x:v>54</x:v>
      </x:c>
      <x:c r="B58" s="236" t="str">
        <x:f>'Raw Inputs'!A83</x:f>
        <x:v>ABT</x:v>
      </x:c>
      <x:c r="C58" s="236" t="str">
        <x:f>'Raw Inputs'!B83</x:f>
        <x:v>Abbott Laboratories</x:v>
      </x:c>
      <x:c r="D58" s="238" t="n">
        <x:f>1+9*'Raw Inputs'!BC83</x:f>
        <x:v>5.887931034482759</x:v>
      </x:c>
      <x:c r="E58" s="268" t="n">
        <x:f>'Raw Inputs'!BB83</x:f>
        <x:v>0.037287923654428935</x:v>
      </x:c>
      <x:c r="F58" s="268" t="n">
        <x:f>'Raw Inputs'!BD83</x:f>
        <x:v>0.026420570453026253</x:v>
      </x:c>
      <x:c r="G58" s="268" t="n">
        <x:f>'Raw Inputs'!BG83</x:f>
        <x:v>0.0031902389492599725</x:v>
      </x:c>
      <x:c r="H58" s="236" t="str">
        <x:f>'Raw Inputs'!BH83</x:f>
        <x:v>cash repurchases less issuance</x:v>
      </x:c>
      <x:c r="I58" s="268" t="n">
        <x:f>'Raw Inputs'!BI83</x:f>
        <x:v>0.007677114252142711</x:v>
      </x:c>
      <x:c r="J58" s="271" t="n">
        <x:f>'Raw Inputs'!BK83</x:f>
        <x:v>893000000</x:v>
      </x:c>
      <x:c r="K58" s="271" t="n">
        <x:f>'Raw Inputs'!BL83</x:f>
        <x:v>396000000</x:v>
      </x:c>
      <x:c r="L58" s="268" t="n">
        <x:f>'Raw Inputs'!BY83</x:f>
        <x:v>0</x:v>
      </x:c>
      <x:c r="M58" s="271" t="n">
        <x:f>'Raw Inputs'!M83</x:f>
        <x:v>155787703650</x:v>
      </x:c>
      <x:c r="N58" s="20" t="str">
        <x:f>'Raw Inputs'!CC83</x:f>
        <x:v>https://data.sec.gov/api/xbrl/companyfacts/CIK0000001800.json</x:v>
      </x:c>
    </x:row>
    <x:row r="59">
      <x:c r="A59" s="237" t="n">
        <x:f>RANK(D59,$D$5:$D$121,0)</x:f>
        <x:v>55</x:v>
      </x:c>
      <x:c r="B59" s="236" t="str">
        <x:f>'Raw Inputs'!A27</x:f>
        <x:v>WRB</x:v>
      </x:c>
      <x:c r="C59" s="236" t="str">
        <x:f>'Raw Inputs'!B27</x:f>
        <x:v>W. R. Berkley Corp.</x:v>
      </x:c>
      <x:c r="D59" s="238" t="n">
        <x:f>1+9*'Raw Inputs'!BC27</x:f>
        <x:v>5.810344827586206</x:v>
      </x:c>
      <x:c r="E59" s="268" t="n">
        <x:f>'Raw Inputs'!BB27</x:f>
        <x:v>0.03674543380231039</x:v>
      </x:c>
      <x:c r="F59" s="268" t="n">
        <x:f>'Raw Inputs'!BD27</x:f>
        <x:v>0.026514119860390213</x:v>
      </x:c>
      <x:c r="G59" s="268" t="n">
        <x:f>'Raw Inputs'!BG27</x:f>
        <x:v>0.010231313941920181</x:v>
      </x:c>
      <x:c r="H59" s="236" t="str">
        <x:f>'Raw Inputs'!BH27</x:f>
        <x:v>cash repurchases less issuance</x:v>
      </x:c>
      <x:c r="I59" s="268" t="n">
        <x:f>'Raw Inputs'!BI27</x:f>
        <x:v>0</x:v>
      </x:c>
      <x:c r="J59" s="271" t="n">
        <x:f>'Raw Inputs'!BK27</x:f>
        <x:v>270221000</x:v>
      </x:c>
      <x:c r="K59" s="271" t="n">
        <x:f>'Raw Inputs'!BL27</x:f>
        <x:v>0</x:v>
      </x:c>
      <x:c r="L59" s="268" t="n">
        <x:f>'Raw Inputs'!BY27</x:f>
        <x:v>-0.008340277364442539</x:v>
      </x:c>
      <x:c r="M59" s="271" t="n">
        <x:f>'Raw Inputs'!M27</x:f>
        <x:v>26411172752</x:v>
      </x:c>
      <x:c r="N59" s="20" t="str">
        <x:f>'Raw Inputs'!CC27</x:f>
        <x:v>https://data.sec.gov/api/xbrl/companyfacts/CIK0000011544.json</x:v>
      </x:c>
    </x:row>
    <x:row r="60">
      <x:c r="A60" s="237" t="n">
        <x:f>RANK(D60,$D$5:$D$121,0)</x:f>
        <x:v>56</x:v>
      </x:c>
      <x:c r="B60" s="236" t="str">
        <x:f>'Raw Inputs'!A67</x:f>
        <x:v>L</x:v>
      </x:c>
      <x:c r="C60" s="236" t="str">
        <x:f>'Raw Inputs'!B67</x:f>
        <x:v>Loews Corp.</x:v>
      </x:c>
      <x:c r="D60" s="238" t="n">
        <x:f>1+9*'Raw Inputs'!BC67</x:f>
        <x:v>5.732758620689655</x:v>
      </x:c>
      <x:c r="E60" s="268" t="n">
        <x:f>'Raw Inputs'!BB67</x:f>
        <x:v>0.036566826926204096</x:v>
      </x:c>
      <x:c r="F60" s="268" t="n">
        <x:f>'Raw Inputs'!BD67</x:f>
        <x:v>0.002234400705243963</x:v>
      </x:c>
      <x:c r="G60" s="268" t="n">
        <x:f>'Raw Inputs'!BG67</x:f>
        <x:v>0.03433242622096013</x:v>
      </x:c>
      <x:c r="H60" s="236" t="str">
        <x:f>'Raw Inputs'!BH67</x:f>
        <x:v>cash repurchases less issuance</x:v>
      </x:c>
      <x:c r="I60" s="268" t="n">
        <x:f>'Raw Inputs'!BI67</x:f>
        <x:v>0</x:v>
      </x:c>
      <x:c r="J60" s="271" t="n">
        <x:f>'Raw Inputs'!BK67</x:f>
        <x:v>806000000</x:v>
      </x:c>
      <x:c r="K60" s="271" t="n">
        <x:f>'Raw Inputs'!BL67</x:f>
        <x:v>7000000</x:v>
      </x:c>
      <x:c r="L60" s="268" t="n">
        <x:f>'Raw Inputs'!BY67</x:f>
        <x:v>-0.05182968303632163</x:v>
      </x:c>
      <x:c r="M60" s="271" t="n">
        <x:f>'Raw Inputs'!M67</x:f>
        <x:v>23272459536</x:v>
      </x:c>
      <x:c r="N60" s="20" t="str">
        <x:f>'Raw Inputs'!CC67</x:f>
        <x:v>https://data.sec.gov/api/xbrl/companyfacts/CIK0000060086.json</x:v>
      </x:c>
    </x:row>
    <x:row r="61">
      <x:c r="A61" s="237" t="n">
        <x:f>RANK(D61,$D$5:$D$121,0)</x:f>
        <x:v>57</x:v>
      </x:c>
      <x:c r="B61" s="236" t="str">
        <x:f>'Raw Inputs'!A4</x:f>
        <x:v>ALL</x:v>
      </x:c>
      <x:c r="C61" s="236" t="str">
        <x:f>'Raw Inputs'!B4</x:f>
        <x:v>The Allstate Corp.</x:v>
      </x:c>
      <x:c r="D61" s="238" t="n">
        <x:f>1+9*'Raw Inputs'!BC4</x:f>
        <x:v>5.655172413793104</x:v>
      </x:c>
      <x:c r="E61" s="268" t="n">
        <x:f>'Raw Inputs'!BB4</x:f>
        <x:v>0.03530655588592922</x:v>
      </x:c>
      <x:c r="F61" s="268" t="n">
        <x:f>'Raw Inputs'!BD4</x:f>
        <x:v>0.016694473709640657</x:v>
      </x:c>
      <x:c r="G61" s="268" t="n">
        <x:f>'Raw Inputs'!BG4</x:f>
        <x:v>0.01861208217628857</x:v>
      </x:c>
      <x:c r="H61" s="236" t="str">
        <x:f>'Raw Inputs'!BH4</x:f>
        <x:v>cash repurchases less issuance</x:v>
      </x:c>
      <x:c r="I61" s="268" t="n">
        <x:f>'Raw Inputs'!BI4</x:f>
        <x:v>0</x:v>
      </x:c>
      <x:c r="J61" s="271" t="n">
        <x:f>'Raw Inputs'!BK4</x:f>
        <x:v>1233000000</x:v>
      </x:c>
      <x:c r="K61" s="271" t="n">
        <x:f>'Raw Inputs'!BL4</x:f>
        <x:v>78000000</x:v>
      </x:c>
      <x:c r="L61" s="268" t="n">
        <x:f>'Raw Inputs'!BY4</x:f>
        <x:v>-0.002613890963405474</x:v>
      </x:c>
      <x:c r="M61" s="271" t="n">
        <x:f>'Raw Inputs'!M4</x:f>
        <x:v>62056463595</x:v>
      </x:c>
      <x:c r="N61" s="20" t="str">
        <x:f>'Raw Inputs'!CC4</x:f>
        <x:v>https://data.sec.gov/api/xbrl/companyfacts/CIK0000899051.json</x:v>
      </x:c>
    </x:row>
    <x:row r="62">
      <x:c r="A62" s="237" t="n">
        <x:f>RANK(D62,$D$5:$D$121,0)</x:f>
        <x:v>58</x:v>
      </x:c>
      <x:c r="B62" s="236" t="str">
        <x:f>'Raw Inputs'!A99</x:f>
        <x:v>ABBV</x:v>
      </x:c>
      <x:c r="C62" s="236" t="str">
        <x:f>'Raw Inputs'!B99</x:f>
        <x:v>AbbVie Inc.</x:v>
      </x:c>
      <x:c r="D62" s="238" t="n">
        <x:f>1+9*'Raw Inputs'!BC99</x:f>
        <x:v>5.577586206896552</x:v>
      </x:c>
      <x:c r="E62" s="268" t="n">
        <x:f>'Raw Inputs'!BB99</x:f>
        <x:v>0.03385782879603688</x:v>
      </x:c>
      <x:c r="F62" s="268" t="n">
        <x:f>'Raw Inputs'!BD99</x:f>
        <x:v>0.026662211056907515</x:v>
      </x:c>
      <x:c r="G62" s="268" t="n">
        <x:f>'Raw Inputs'!BG99</x:f>
        <x:v>0.001848079826197244</x:v>
      </x:c>
      <x:c r="H62" s="236" t="str">
        <x:f>'Raw Inputs'!BH99</x:f>
        <x:v>cash repurchases less issuance</x:v>
      </x:c>
      <x:c r="I62" s="268" t="n">
        <x:f>'Raw Inputs'!BI99</x:f>
        <x:v>0.005347537912932124</x:v>
      </x:c>
      <x:c r="J62" s="271" t="n">
        <x:f>'Raw Inputs'!BK99</x:f>
        <x:v>980000000</x:v>
      </x:c>
      <x:c r="K62" s="271" t="n">
        <x:f>'Raw Inputs'!BL99</x:f>
        <x:v>172000000</x:v>
      </x:c>
      <x:c r="L62" s="268" t="n">
        <x:f>'Raw Inputs'!BY99</x:f>
        <x:v>0</x:v>
      </x:c>
      <x:c r="M62" s="271" t="n">
        <x:f>'Raw Inputs'!M99</x:f>
        <x:v>437210551485</x:v>
      </x:c>
      <x:c r="N62" s="20" t="str">
        <x:f>'Raw Inputs'!CC99</x:f>
        <x:v>https://data.sec.gov/api/xbrl/companyfacts/CIK0001551152.json</x:v>
      </x:c>
    </x:row>
    <x:row r="63">
      <x:c r="A63" s="237" t="n">
        <x:f>RANK(D63,$D$5:$D$121,0)</x:f>
        <x:v>59</x:v>
      </x:c>
      <x:c r="B63" s="236" t="str">
        <x:f>'Raw Inputs'!A19</x:f>
        <x:v>THG</x:v>
      </x:c>
      <x:c r="C63" s="236" t="str">
        <x:f>'Raw Inputs'!B19</x:f>
        <x:v>The Hanover Insurance Group Inc.</x:v>
      </x:c>
      <x:c r="D63" s="238" t="n">
        <x:f>1+9*'Raw Inputs'!BC19</x:f>
        <x:v>5.5</x:v>
      </x:c>
      <x:c r="E63" s="268" t="n">
        <x:f>'Raw Inputs'!BB19</x:f>
        <x:v>0.03343701633121585</x:v>
      </x:c>
      <x:c r="F63" s="268" t="n">
        <x:f>'Raw Inputs'!BD19</x:f>
        <x:v>0.01786773458615708</x:v>
      </x:c>
      <x:c r="G63" s="268" t="n">
        <x:f>'Raw Inputs'!BG19</x:f>
        <x:v>0.015569281745058772</x:v>
      </x:c>
      <x:c r="H63" s="236" t="str">
        <x:f>'Raw Inputs'!BH19</x:f>
        <x:v>cash repurchases less issuance</x:v>
      </x:c>
      <x:c r="I63" s="268" t="n">
        <x:f>'Raw Inputs'!BI19</x:f>
        <x:v>0</x:v>
      </x:c>
      <x:c r="J63" s="271" t="n">
        <x:f>'Raw Inputs'!BK19</x:f>
        <x:v>129200000</x:v>
      </x:c>
      <x:c r="K63" s="271" t="n">
        <x:f>'Raw Inputs'!BL19</x:f>
        <x:v>15400000</x:v>
      </x:c>
      <x:c r="L63" s="268" t="n">
        <x:f>'Raw Inputs'!BY19</x:f>
        <x:v>0.0027472527472527375</x:v>
      </x:c>
      <x:c r="M63" s="271" t="n">
        <x:f>'Raw Inputs'!M19</x:f>
        <x:v>7309264606</x:v>
      </x:c>
      <x:c r="N63" s="20" t="str">
        <x:f>'Raw Inputs'!CC19</x:f>
        <x:v>https://data.sec.gov/api/xbrl/companyfacts/CIK0000944695.json</x:v>
      </x:c>
    </x:row>
    <x:row r="64">
      <x:c r="A64" s="237" t="n">
        <x:f>RANK(D64,$D$5:$D$121,0)</x:f>
        <x:v>60</x:v>
      </x:c>
      <x:c r="B64" s="236" t="str">
        <x:f>'Raw Inputs'!A46</x:f>
        <x:v>SIGI</x:v>
      </x:c>
      <x:c r="C64" s="236" t="str">
        <x:f>'Raw Inputs'!B46</x:f>
        <x:v>Selective Insurance Group Inc.</x:v>
      </x:c>
      <x:c r="D64" s="238" t="n">
        <x:f>1+9*'Raw Inputs'!BC46</x:f>
        <x:v>5.422413793103448</x:v>
      </x:c>
      <x:c r="E64" s="268" t="n">
        <x:f>'Raw Inputs'!BB46</x:f>
        <x:v>0.032813153641980244</x:v>
      </x:c>
      <x:c r="F64" s="268" t="n">
        <x:f>'Raw Inputs'!BD46</x:f>
        <x:v>0.016432140365656992</x:v>
      </x:c>
      <x:c r="G64" s="268" t="n">
        <x:f>'Raw Inputs'!BG46</x:f>
        <x:v>0.016381013276323252</x:v>
      </x:c>
      <x:c r="H64" s="236" t="str">
        <x:f>'Raw Inputs'!BH46</x:f>
        <x:v>cash repurchases less issuance</x:v>
      </x:c>
      <x:c r="I64" s="268" t="n">
        <x:f>'Raw Inputs'!BI46</x:f>
        <x:v>0</x:v>
      </x:c>
      <x:c r="J64" s="271" t="n">
        <x:f>'Raw Inputs'!BK46</x:f>
        <x:v>92595000</x:v>
      </x:c>
      <x:c r="K64" s="271" t="n">
        <x:f>'Raw Inputs'!BL46</x:f>
        <x:v>0</x:v>
      </x:c>
      <x:c r="L64" s="268" t="n">
        <x:f>'Raw Inputs'!BY46</x:f>
        <x:v>-0.0035251493292424163</x:v>
      </x:c>
      <x:c r="M64" s="271" t="n">
        <x:f>'Raw Inputs'!M46</x:f>
        <x:v>5652580731</x:v>
      </x:c>
      <x:c r="N64" s="20" t="str">
        <x:f>'Raw Inputs'!CC46</x:f>
        <x:v>https://data.sec.gov/api/xbrl/companyfacts/CIK0000230557.json</x:v>
      </x:c>
    </x:row>
    <x:row r="65">
      <x:c r="A65" s="237" t="n">
        <x:f>RANK(D65,$D$5:$D$121,0)</x:f>
        <x:v>61</x:v>
      </x:c>
      <x:c r="B65" s="236" t="str">
        <x:f>'Raw Inputs'!A87</x:f>
        <x:v>YUM</x:v>
      </x:c>
      <x:c r="C65" s="236" t="str">
        <x:f>'Raw Inputs'!B87</x:f>
        <x:v>Yum! Brands Inc.</x:v>
      </x:c>
      <x:c r="D65" s="238" t="n">
        <x:f>1+9*'Raw Inputs'!BC87</x:f>
        <x:v>5.344827586206897</x:v>
      </x:c>
      <x:c r="E65" s="268" t="n">
        <x:f>'Raw Inputs'!BB87</x:f>
        <x:v>0.031315526988580214</x:v>
      </x:c>
      <x:c r="F65" s="268" t="n">
        <x:f>'Raw Inputs'!BD87</x:f>
        <x:v>0.018605384634028454</x:v>
      </x:c>
      <x:c r="G65" s="268" t="n">
        <x:f>'Raw Inputs'!BG87</x:f>
        <x:v>0.012969533014848733</x:v>
      </x:c>
      <x:c r="H65" s="236" t="str">
        <x:f>'Raw Inputs'!BH87</x:f>
        <x:v>cash repurchases less issuance</x:v>
      </x:c>
      <x:c r="I65" s="268" t="n">
        <x:f>'Raw Inputs'!BI87</x:f>
        <x:v>-0.00025939066029697467</x:v>
      </x:c>
      <x:c r="J65" s="271" t="n">
        <x:f>'Raw Inputs'!BK87</x:f>
        <x:v>552000000</x:v>
      </x:c>
      <x:c r="K65" s="271" t="n">
        <x:f>'Raw Inputs'!BL87</x:f>
        <x:v>2000000</x:v>
      </x:c>
      <x:c r="L65" s="268" t="n">
        <x:f>'Raw Inputs'!BY87</x:f>
        <x:v>-0.01403508771929829</x:v>
      </x:c>
      <x:c r="M65" s="271" t="n">
        <x:f>'Raw Inputs'!M87</x:f>
        <x:v>42407078140</x:v>
      </x:c>
      <x:c r="N65" s="20" t="str">
        <x:f>'Raw Inputs'!CC87</x:f>
        <x:v>https://data.sec.gov/api/xbrl/companyfacts/CIK0001041061.json</x:v>
      </x:c>
    </x:row>
    <x:row r="66">
      <x:c r="A66" s="237" t="n">
        <x:f>RANK(D66,$D$5:$D$121,0)</x:f>
        <x:v>62</x:v>
      </x:c>
      <x:c r="B66" s="236" t="str">
        <x:f>'Raw Inputs'!A100</x:f>
        <x:v>ELS</x:v>
      </x:c>
      <x:c r="C66" s="236" t="str">
        <x:f>'Raw Inputs'!B100</x:f>
        <x:v>Equity LifeStyle Properties Inc. REIT</x:v>
      </x:c>
      <x:c r="D66" s="238" t="n">
        <x:f>1+9*'Raw Inputs'!BC100</x:f>
        <x:v>5.267241379310345</x:v>
      </x:c>
      <x:c r="E66" s="268" t="n">
        <x:f>'Raw Inputs'!BB100</x:f>
        <x:v>0.031111247398498628</x:v>
      </x:c>
      <x:c r="F66" s="268" t="n">
        <x:f>'Raw Inputs'!BD100</x:f>
        <x:v>0.031111247398498628</x:v>
      </x:c>
      <x:c r="G66" s="268" t="n">
        <x:f>'Raw Inputs'!BG100</x:f>
        <x:v>0</x:v>
      </x:c>
      <x:c r="H66" s="236" t="str">
        <x:f>'Raw Inputs'!BH100</x:f>
        <x:v>cash repurchases less issuance</x:v>
      </x:c>
      <x:c r="I66" s="268" t="n">
        <x:f>'Raw Inputs'!BI100</x:f>
        <x:v>0</x:v>
      </x:c>
      <x:c r="J66" s="271" t="n">
        <x:f>'Raw Inputs'!BK100</x:f>
        <x:v>0</x:v>
      </x:c>
      <x:c r="K66" s="271" t="n">
        <x:f>'Raw Inputs'!BL100</x:f>
        <x:v>0</x:v>
      </x:c>
      <x:c r="L66" s="268" t="n">
        <x:f>'Raw Inputs'!BY100</x:f>
        <x:v>0.017687503814154182</x:v>
      </x:c>
      <x:c r="M66" s="271" t="n">
        <x:f>'Raw Inputs'!M100</x:f>
        <x:v>12470184658</x:v>
      </x:c>
      <x:c r="N66" s="20" t="str">
        <x:f>'Raw Inputs'!CC100</x:f>
        <x:v>https://data.sec.gov/api/xbrl/companyfacts/CIK0000895417.json</x:v>
      </x:c>
    </x:row>
    <x:row r="67">
      <x:c r="A67" s="237" t="n">
        <x:f>RANK(D67,$D$5:$D$121,0)</x:f>
        <x:v>63</x:v>
      </x:c>
      <x:c r="B67" s="236" t="str">
        <x:f>'Raw Inputs'!A101</x:f>
        <x:v>PM</x:v>
      </x:c>
      <x:c r="C67" s="236" t="str">
        <x:f>'Raw Inputs'!B101</x:f>
        <x:v>Philip Morris International Inc.</x:v>
      </x:c>
      <x:c r="D67" s="238" t="n">
        <x:f>1+9*'Raw Inputs'!BC101</x:f>
        <x:v>5.189655172413793</x:v>
      </x:c>
      <x:c r="E67" s="268" t="n">
        <x:f>'Raw Inputs'!BB101</x:f>
        <x:v>0.030832271159995178</x:v>
      </x:c>
      <x:c r="F67" s="268" t="n">
        <x:f>'Raw Inputs'!BD101</x:f>
        <x:v>0.03094350127822628</x:v>
      </x:c>
      <x:c r="G67" s="268" t="n">
        <x:f>'Raw Inputs'!BG101</x:f>
        <x:v>0</x:v>
      </x:c>
      <x:c r="H67" s="236" t="str">
        <x:f>'Raw Inputs'!BH101</x:f>
        <x:v>cash repurchases less issuance</x:v>
      </x:c>
      <x:c r="I67" s="268" t="n">
        <x:f>'Raw Inputs'!BI101</x:f>
        <x:v>-0.00011123011823110097</x:v>
      </x:c>
      <x:c r="J67" s="271" t="n">
        <x:f>'Raw Inputs'!BK101</x:f>
        <x:v>0</x:v>
      </x:c>
      <x:c r="K67" s="271" t="n">
        <x:f>'Raw Inputs'!BL101</x:f>
        <x:v>0</x:v>
      </x:c>
      <x:c r="L67" s="268" t="n">
        <x:f>'Raw Inputs'!BY101</x:f>
        <x:v>0.0012853470437017567</x:v>
      </x:c>
      <x:c r="M67" s="271" t="n">
        <x:f>'Raw Inputs'!M101</x:f>
        <x:v>278701492842</x:v>
      </x:c>
      <x:c r="N67" s="20" t="str">
        <x:f>'Raw Inputs'!CC101</x:f>
        <x:v>https://data.sec.gov/api/xbrl/companyfacts/CIK0001413329.json</x:v>
      </x:c>
    </x:row>
    <x:row r="68">
      <x:c r="A68" s="237" t="n">
        <x:f>RANK(D68,$D$5:$D$121,0)</x:f>
        <x:v>64</x:v>
      </x:c>
      <x:c r="B68" s="236" t="str">
        <x:f>'Raw Inputs'!A5</x:f>
        <x:v>APA</x:v>
      </x:c>
      <x:c r="C68" s="236" t="str">
        <x:f>'Raw Inputs'!B5</x:f>
        <x:v>APA Corp.</x:v>
      </x:c>
      <x:c r="D68" s="238" t="n">
        <x:f>1+9*'Raw Inputs'!BC5</x:f>
        <x:v>5.112068965517242</x:v>
      </x:c>
      <x:c r="E68" s="268" t="n">
        <x:f>'Raw Inputs'!BB5</x:f>
        <x:v>0.030253180822961263</x:v>
      </x:c>
      <x:c r="F68" s="268" t="n">
        <x:f>'Raw Inputs'!BD5</x:f>
        <x:v>0.030253180822961263</x:v>
      </x:c>
      <x:c r="G68" s="268" t="n">
        <x:f>'Raw Inputs'!BG5</x:f>
        <x:v>0</x:v>
      </x:c>
      <x:c r="H68" s="236" t="str">
        <x:f>'Raw Inputs'!BH5</x:f>
        <x:v>cash repurchases less issuance</x:v>
      </x:c>
      <x:c r="I68" s="268" t="n">
        <x:f>'Raw Inputs'!BI5</x:f>
        <x:v>0</x:v>
      </x:c>
      <x:c r="J68" s="271" t="n">
        <x:f>'Raw Inputs'!BK5</x:f>
        <x:v>0</x:v>
      </x:c>
      <x:c r="K68" s="271" t="n">
        <x:f>'Raw Inputs'!BL5</x:f>
        <x:v>0</x:v>
      </x:c>
      <x:c r="L68" s="268" t="n">
        <x:f>'Raw Inputs'!BY5</x:f>
        <x:v>0.016997167138810276</x:v>
      </x:c>
      <x:c r="M68" s="271" t="n">
        <x:f>'Raw Inputs'!M5</x:f>
        <x:v>11899575192</x:v>
      </x:c>
      <x:c r="N68" s="20" t="str">
        <x:f>'Raw Inputs'!CC5</x:f>
        <x:v>https://data.sec.gov/api/xbrl/companyfacts/CIK0001841666.json</x:v>
      </x:c>
    </x:row>
    <x:row r="69">
      <x:c r="A69" s="237" t="n">
        <x:f>RANK(D69,$D$5:$D$121,0)</x:f>
        <x:v>65</x:v>
      </x:c>
      <x:c r="B69" s="236" t="str">
        <x:f>'Raw Inputs'!A76</x:f>
        <x:v>TMUS</x:v>
      </x:c>
      <x:c r="C69" s="236" t="str">
        <x:f>'Raw Inputs'!B76</x:f>
        <x:v>T-Mobile US Inc.</x:v>
      </x:c>
      <x:c r="D69" s="238" t="n">
        <x:f>1+9*'Raw Inputs'!BC76</x:f>
        <x:v>5.0344827586206895</x:v>
      </x:c>
      <x:c r="E69" s="268" t="n">
        <x:f>'Raw Inputs'!BB76</x:f>
        <x:v>0.029772649550511565</x:v>
      </x:c>
      <x:c r="F69" s="268" t="n">
        <x:f>'Raw Inputs'!BD76</x:f>
        <x:v>0.02018642461297436</x:v>
      </x:c>
      <x:c r="G69" s="268" t="n">
        <x:f>'Raw Inputs'!BG76</x:f>
        <x:v>0.04885692770924685</x:v>
      </x:c>
      <x:c r="H69" s="236" t="str">
        <x:f>'Raw Inputs'!BH76</x:f>
        <x:v>cash repurchases less issuance</x:v>
      </x:c>
      <x:c r="I69" s="268" t="n">
        <x:f>'Raw Inputs'!BI76</x:f>
        <x:v>-0.039270702771709645</x:v>
      </x:c>
      <x:c r="J69" s="271" t="n">
        <x:f>'Raw Inputs'!BK76</x:f>
        <x:v>9974000000</x:v>
      </x:c>
      <x:c r="K69" s="271" t="n">
        <x:f>'Raw Inputs'!BL76</x:f>
        <x:v>0</x:v>
      </x:c>
      <x:c r="L69" s="268" t="n">
        <x:f>'Raw Inputs'!BY76</x:f>
        <x:v>-0.03591642331533307</x:v>
      </x:c>
      <x:c r="M69" s="271" t="n">
        <x:f>'Raw Inputs'!M76</x:f>
        <x:v>204147097815</x:v>
      </x:c>
      <x:c r="N69" s="20" t="str">
        <x:f>'Raw Inputs'!CC76</x:f>
        <x:v>https://data.sec.gov/api/xbrl/companyfacts/CIK0001283699.json</x:v>
      </x:c>
    </x:row>
    <x:row r="70">
      <x:c r="A70" s="237" t="n">
        <x:f>RANK(D70,$D$5:$D$121,0)</x:f>
        <x:v>66</x:v>
      </x:c>
      <x:c r="B70" s="236" t="str">
        <x:f>'Raw Inputs'!A17</x:f>
        <x:v>GD</x:v>
      </x:c>
      <x:c r="C70" s="236" t="str">
        <x:f>'Raw Inputs'!B17</x:f>
        <x:v>General Dynamics Corp.</x:v>
      </x:c>
      <x:c r="D70" s="238" t="n">
        <x:f>1+9*'Raw Inputs'!BC17</x:f>
        <x:v>4.956896551724138</x:v>
      </x:c>
      <x:c r="E70" s="268" t="n">
        <x:f>'Raw Inputs'!BB17</x:f>
        <x:v>0.02860708125025476</x:v>
      </x:c>
      <x:c r="F70" s="268" t="n">
        <x:f>'Raw Inputs'!BD17</x:f>
        <x:v>0.01601232622335061</x:v>
      </x:c>
      <x:c r="G70" s="268" t="n">
        <x:f>'Raw Inputs'!BG17</x:f>
        <x:v>0.005035891674763751</x:v>
      </x:c>
      <x:c r="H70" s="236" t="str">
        <x:f>'Raw Inputs'!BH17</x:f>
        <x:v>cash repurchases less issuance</x:v>
      </x:c>
      <x:c r="I70" s="268" t="n">
        <x:f>'Raw Inputs'!BI17</x:f>
        <x:v>0.0075588633521404</x:v>
      </x:c>
      <x:c r="J70" s="271" t="n">
        <x:f>'Raw Inputs'!BK17</x:f>
        <x:v>637000000</x:v>
      </x:c>
      <x:c r="K70" s="271" t="n">
        <x:f>'Raw Inputs'!BL17</x:f>
        <x:v>136000000</x:v>
      </x:c>
      <x:c r="L70" s="268" t="n">
        <x:f>'Raw Inputs'!BY17</x:f>
        <x:v>-0.018235219921797552</x:v>
      </x:c>
      <x:c r="M70" s="271" t="n">
        <x:f>'Raw Inputs'!M17</x:f>
        <x:v>99485857194</x:v>
      </x:c>
      <x:c r="N70" s="20" t="str">
        <x:f>'Raw Inputs'!CC17</x:f>
        <x:v>https://data.sec.gov/api/xbrl/companyfacts/CIK0000040533.json</x:v>
      </x:c>
    </x:row>
    <x:row r="71">
      <x:c r="A71" s="237" t="n">
        <x:f>RANK(D71,$D$5:$D$121,0)</x:f>
        <x:v>67</x:v>
      </x:c>
      <x:c r="B71" s="236" t="str">
        <x:f>'Raw Inputs'!A111</x:f>
        <x:v>MCD</x:v>
      </x:c>
      <x:c r="C71" s="236" t="str">
        <x:f>'Raw Inputs'!B111</x:f>
        <x:v>McDonald's Corp.</x:v>
      </x:c>
      <x:c r="D71" s="238" t="n">
        <x:f>1+9*'Raw Inputs'!BC111</x:f>
        <x:v>4.879310344827585</x:v>
      </x:c>
      <x:c r="E71" s="268" t="n">
        <x:f>'Raw Inputs'!BB111</x:f>
        <x:v>0.02802503301356923</x:v>
      </x:c>
      <x:c r="F71" s="268" t="n">
        <x:f>'Raw Inputs'!BD111</x:f>
        <x:v>0.026859292461009297</x:v>
      </x:c>
      <x:c r="G71" s="268" t="n">
        <x:f>'Raw Inputs'!BG111</x:f>
        <x:v>0.009299669002629025</x:v>
      </x:c>
      <x:c r="H71" s="236" t="str">
        <x:f>'Raw Inputs'!BH111</x:f>
        <x:v>cash repurchases less issuance</x:v>
      </x:c>
      <x:c r="I71" s="268" t="n">
        <x:f>'Raw Inputs'!BI111</x:f>
        <x:v>-0.008133928450069092</x:v>
      </x:c>
      <x:c r="J71" s="271" t="n">
        <x:f>'Raw Inputs'!BK111</x:f>
        <x:v>2056000000</x:v>
      </x:c>
      <x:c r="K71" s="271" t="n">
        <x:f>'Raw Inputs'!BL111</x:f>
        <x:v>285000000</x:v>
      </x:c>
      <x:c r="L71" s="268" t="n">
        <x:f>'Raw Inputs'!BY111</x:f>
        <x:v>-0.007618783765064419</x:v>
      </x:c>
      <x:c r="M71" s="271" t="n">
        <x:f>'Raw Inputs'!M111</x:f>
        <x:v>190436885388</x:v>
      </x:c>
      <x:c r="N71" s="20" t="str">
        <x:f>'Raw Inputs'!CC111</x:f>
        <x:v>https://data.sec.gov/api/xbrl/companyfacts/CIK0000063908.json</x:v>
      </x:c>
    </x:row>
    <x:row r="72">
      <x:c r="A72" s="237" t="n">
        <x:f>RANK(D72,$D$5:$D$121,0)</x:f>
        <x:v>68</x:v>
      </x:c>
      <x:c r="B72" s="236" t="str">
        <x:f>'Raw Inputs'!A30</x:f>
        <x:v>PGR</x:v>
      </x:c>
      <x:c r="C72" s="236" t="str">
        <x:f>'Raw Inputs'!B30</x:f>
        <x:v>The Progressive Corp.</x:v>
      </x:c>
      <x:c r="D72" s="238" t="n">
        <x:f>1+9*'Raw Inputs'!BC30</x:f>
        <x:v>4.801724137931035</x:v>
      </x:c>
      <x:c r="E72" s="268" t="n">
        <x:f>'Raw Inputs'!BB30</x:f>
        <x:v>0.024972366702295024</x:v>
      </x:c>
      <x:c r="F72" s="268" t="n">
        <x:f>'Raw Inputs'!BD30</x:f>
        <x:v>0.023403187466064637</x:v>
      </x:c>
      <x:c r="G72" s="268" t="n">
        <x:f>'Raw Inputs'!BG30</x:f>
        <x:v>0.0015691792362303877</x:v>
      </x:c>
      <x:c r="H72" s="236" t="str">
        <x:f>'Raw Inputs'!BH30</x:f>
        <x:v>cash repurchases less issuance</x:v>
      </x:c>
      <x:c r="I72" s="268" t="n">
        <x:f>'Raw Inputs'!BI30</x:f>
        <x:v>0</x:v>
      </x:c>
      <x:c r="J72" s="271" t="n">
        <x:f>'Raw Inputs'!BK30</x:f>
        <x:v>192500000</x:v>
      </x:c>
      <x:c r="K72" s="271" t="n">
        <x:f>'Raw Inputs'!BL30</x:f>
        <x:v>0</x:v>
      </x:c>
      <x:c r="L72" s="268" t="n">
        <x:f>'Raw Inputs'!BY30</x:f>
        <x:v>0.0006806193636208491</x:v>
      </x:c>
      <x:c r="M72" s="271" t="n">
        <x:f>'Raw Inputs'!M30</x:f>
        <x:v>122675597252</x:v>
      </x:c>
      <x:c r="N72" s="20" t="str">
        <x:f>'Raw Inputs'!CC30</x:f>
        <x:v>https://data.sec.gov/api/xbrl/companyfacts/CIK0000080661.json</x:v>
      </x:c>
    </x:row>
    <x:row r="73">
      <x:c r="A73" s="237" t="n">
        <x:f>RANK(D73,$D$5:$D$121,0)</x:f>
        <x:v>69</x:v>
      </x:c>
      <x:c r="B73" s="236" t="str">
        <x:f>'Raw Inputs'!A43</x:f>
        <x:v>APD</x:v>
      </x:c>
      <x:c r="C73" s="236" t="str">
        <x:f>'Raw Inputs'!B43</x:f>
        <x:v>Air Products and Chemicals Inc.</x:v>
      </x:c>
      <x:c r="D73" s="238" t="n">
        <x:f>1+9*'Raw Inputs'!BC43</x:f>
        <x:v>4.724137931034482</x:v>
      </x:c>
      <x:c r="E73" s="268" t="n">
        <x:f>'Raw Inputs'!BB43</x:f>
        <x:v>0.024947170069120967</x:v>
      </x:c>
      <x:c r="F73" s="268" t="n">
        <x:f>'Raw Inputs'!BD43</x:f>
        <x:v>0.02421792628171009</x:v>
      </x:c>
      <x:c r="G73" s="268" t="n">
        <x:f>'Raw Inputs'!BG43</x:f>
        <x:v>-0.000016816942686624012</x:v>
      </x:c>
      <x:c r="H73" s="236" t="str">
        <x:f>'Raw Inputs'!BH43</x:f>
        <x:v>cash repurchases less issuance</x:v>
      </x:c>
      <x:c r="I73" s="268" t="n">
        <x:f>'Raw Inputs'!BI43</x:f>
        <x:v>0.0007460607300975017</x:v>
      </x:c>
      <x:c r="J73" s="271" t="n">
        <x:f>'Raw Inputs'!BK43</x:f>
        <x:v>0</x:v>
      </x:c>
      <x:c r="K73" s="271" t="n">
        <x:f>'Raw Inputs'!BL43</x:f>
        <x:v>1100000</x:v>
      </x:c>
      <x:c r="L73" s="268" t="n">
        <x:f>'Raw Inputs'!BY43</x:f>
        <x:v>-0.0004488330341113622</x:v>
      </x:c>
      <x:c r="M73" s="271" t="n">
        <x:f>'Raw Inputs'!M43</x:f>
        <x:v>65410224706</x:v>
      </x:c>
      <x:c r="N73" s="20" t="str">
        <x:f>'Raw Inputs'!CC43</x:f>
        <x:v>https://data.sec.gov/api/xbrl/companyfacts/CIK0000002969.json</x:v>
      </x:c>
    </x:row>
    <x:row r="74">
      <x:c r="A74" s="237" t="n">
        <x:f>RANK(D74,$D$5:$D$121,0)</x:f>
        <x:v>70</x:v>
      </x:c>
      <x:c r="B74" s="236" t="str">
        <x:f>'Raw Inputs'!A49</x:f>
        <x:v>JKHY</x:v>
      </x:c>
      <x:c r="C74" s="236" t="str">
        <x:f>'Raw Inputs'!B49</x:f>
        <x:v>Jack Henry and Associates Inc.</x:v>
      </x:c>
      <x:c r="D74" s="238" t="n">
        <x:f>1+9*'Raw Inputs'!BC49</x:f>
        <x:v>4.646551724137931</x:v>
      </x:c>
      <x:c r="E74" s="268" t="n">
        <x:f>'Raw Inputs'!BB49</x:f>
        <x:v>0.024435310643993804</x:v>
      </x:c>
      <x:c r="F74" s="268" t="n">
        <x:f>'Raw Inputs'!BD49</x:f>
        <x:v>0.01549185879353589</x:v>
      </x:c>
      <x:c r="G74" s="268" t="n">
        <x:f>'Raw Inputs'!BG49</x:f>
        <x:v>0.0032978678776915005</x:v>
      </x:c>
      <x:c r="H74" s="236" t="str">
        <x:f>'Raw Inputs'!BH49</x:f>
        <x:v>cash repurchases less issuance</x:v>
      </x:c>
      <x:c r="I74" s="268" t="n">
        <x:f>'Raw Inputs'!BI49</x:f>
        <x:v>0.0056455839727664135</x:v>
      </x:c>
      <x:c r="J74" s="271" t="n">
        <x:f>'Raw Inputs'!BK49</x:f>
        <x:v>35051000</x:v>
      </x:c>
      <x:c r="K74" s="271" t="n">
        <x:f>'Raw Inputs'!BL49</x:f>
        <x:v>2000</x:v>
      </x:c>
      <x:c r="L74" s="268" t="n">
        <x:f>'Raw Inputs'!BY49</x:f>
        <x:v>0.0002738788086271704</x:v>
      </x:c>
      <x:c r="M74" s="271" t="n">
        <x:f>'Raw Inputs'!M49</x:f>
        <x:v>10627775672</x:v>
      </x:c>
      <x:c r="N74" s="20" t="str">
        <x:f>'Raw Inputs'!CC49</x:f>
        <x:v>https://data.sec.gov/api/xbrl/companyfacts/CIK0000779152.json</x:v>
      </x:c>
    </x:row>
    <x:row r="75">
      <x:c r="A75" s="237" t="n">
        <x:f>RANK(D75,$D$5:$D$121,0)</x:f>
        <x:v>71</x:v>
      </x:c>
      <x:c r="B75" s="236" t="str">
        <x:f>'Raw Inputs'!A81</x:f>
        <x:v>BJ</x:v>
      </x:c>
      <x:c r="C75" s="236" t="str">
        <x:f>'Raw Inputs'!B81</x:f>
        <x:v>BJ's Wholesale Club Holdings Inc.</x:v>
      </x:c>
      <x:c r="D75" s="238" t="n">
        <x:f>1+9*'Raw Inputs'!BC81</x:f>
        <x:v>4.568965517241379</x:v>
      </x:c>
      <x:c r="E75" s="268" t="n">
        <x:f>'Raw Inputs'!BB81</x:f>
        <x:v>0.02412492961202603</x:v>
      </x:c>
      <x:c r="F75" s="268" t="n">
        <x:f>'Raw Inputs'!BD81</x:f>
        <x:v>0.0000021424880475039636</x:v>
      </x:c>
      <x:c r="G75" s="268" t="n">
        <x:f>'Raw Inputs'!BG81</x:f>
        <x:v>0.02414781138437337</x:v>
      </x:c>
      <x:c r="H75" s="236" t="str">
        <x:f>'Raw Inputs'!BH81</x:f>
        <x:v>cash repurchases less issuance</x:v>
      </x:c>
      <x:c r="I75" s="268" t="n">
        <x:f>'Raw Inputs'!BI81</x:f>
        <x:v>-0.000025024260394846293</x:v>
      </x:c>
      <x:c r="J75" s="271" t="n">
        <x:f>'Raw Inputs'!BK81</x:f>
        <x:v>286787000</x:v>
      </x:c>
      <x:c r="K75" s="271" t="n">
        <x:f>'Raw Inputs'!BL81</x:f>
        <x:v>5014000</x:v>
      </x:c>
      <x:c r="L75" s="268" t="n">
        <x:f>'Raw Inputs'!BY81</x:f>
        <x:v>-0.011519029976423067</x:v>
      </x:c>
      <x:c r="M75" s="271" t="n">
        <x:f>'Raw Inputs'!M81</x:f>
        <x:v>11668676532</x:v>
      </x:c>
      <x:c r="N75" s="20" t="str">
        <x:f>'Raw Inputs'!CC81</x:f>
        <x:v>https://data.sec.gov/api/xbrl/companyfacts/CIK0001531152.json</x:v>
      </x:c>
    </x:row>
    <x:row r="76">
      <x:c r="A76" s="237" t="n">
        <x:f>RANK(D76,$D$5:$D$121,0)</x:f>
        <x:v>72</x:v>
      </x:c>
      <x:c r="B76" s="236" t="str">
        <x:f>'Raw Inputs'!A75</x:f>
        <x:v>ERIE</x:v>
      </x:c>
      <x:c r="C76" s="236" t="str">
        <x:f>'Raw Inputs'!B75</x:f>
        <x:v>Erie Indemnity Co.</x:v>
      </x:c>
      <x:c r="D76" s="238" t="n">
        <x:f>1+9*'Raw Inputs'!BC75</x:f>
        <x:v>4.491379310344827</x:v>
      </x:c>
      <x:c r="E76" s="268" t="n">
        <x:f>'Raw Inputs'!BB75</x:f>
        <x:v>0.023668870504621575</x:v>
      </x:c>
      <x:c r="F76" s="268" t="n">
        <x:f>'Raw Inputs'!BD75</x:f>
        <x:v>0.023668870504621575</x:v>
      </x:c>
      <x:c r="G76" s="268" t="n">
        <x:f>'Raw Inputs'!BG75</x:f>
        <x:v>0</x:v>
      </x:c>
      <x:c r="H76" s="236" t="str">
        <x:f>'Raw Inputs'!BH75</x:f>
        <x:v>cash repurchases less issuance</x:v>
      </x:c>
      <x:c r="I76" s="268" t="n">
        <x:f>'Raw Inputs'!BI75</x:f>
        <x:v>0</x:v>
      </x:c>
      <x:c r="J76" s="271" t="n">
        <x:f>'Raw Inputs'!BK75</x:f>
        <x:v>0</x:v>
      </x:c>
      <x:c r="K76" s="271" t="n">
        <x:f>'Raw Inputs'!BL75</x:f>
        <x:v>0</x:v>
      </x:c>
      <x:c r="L76" s="268" t="n">
        <x:f>'Raw Inputs'!BY75</x:f>
        <x:v>0</x:v>
      </x:c>
      <x:c r="M76" s="271" t="n">
        <x:f>'Raw Inputs'!M75</x:f>
        <x:v>10743013696</x:v>
      </x:c>
      <x:c r="N76" s="20" t="str">
        <x:f>'Raw Inputs'!CC75</x:f>
        <x:v>https://data.sec.gov/api/xbrl/companyfacts/CIK0000922621.json</x:v>
      </x:c>
    </x:row>
    <x:row r="77">
      <x:c r="A77" s="237" t="n">
        <x:f>RANK(D77,$D$5:$D$121,0)</x:f>
        <x:v>73</x:v>
      </x:c>
      <x:c r="B77" s="236" t="str">
        <x:f>'Raw Inputs'!A60</x:f>
        <x:v>DTM</x:v>
      </x:c>
      <x:c r="C77" s="236" t="str">
        <x:f>'Raw Inputs'!B60</x:f>
        <x:v>DT Midstream Inc.</x:v>
      </x:c>
      <x:c r="D77" s="238" t="n">
        <x:f>1+9*'Raw Inputs'!BC60</x:f>
        <x:v>4.413793103448276</x:v>
      </x:c>
      <x:c r="E77" s="268" t="n">
        <x:f>'Raw Inputs'!BB60</x:f>
        <x:v>0.0234687575929603</x:v>
      </x:c>
      <x:c r="F77" s="268" t="n">
        <x:f>'Raw Inputs'!BD60</x:f>
        <x:v>0.02172536417176896</x:v>
      </x:c>
      <x:c r="G77" s="268" t="n">
        <x:f>'Raw Inputs'!BG60</x:f>
        <x:v>0</x:v>
      </x:c>
      <x:c r="H77" s="236" t="str">
        <x:f>'Raw Inputs'!BH60</x:f>
        <x:v>cash repurchases less issuance</x:v>
      </x:c>
      <x:c r="I77" s="268" t="n">
        <x:f>'Raw Inputs'!BI60</x:f>
        <x:v>0.0017433934211913363</x:v>
      </x:c>
      <x:c r="J77" s="271" t="n">
        <x:f>'Raw Inputs'!BK60</x:f>
        <x:v>0</x:v>
      </x:c>
      <x:c r="K77" s="271" t="n">
        <x:f>'Raw Inputs'!BL60</x:f>
        <x:v>0</x:v>
      </x:c>
      <x:c r="L77" s="268" t="n">
        <x:f>'Raw Inputs'!BY60</x:f>
        <x:v>0.04166666666666674</x:v>
      </x:c>
      <x:c r="M77" s="271" t="n">
        <x:f>'Raw Inputs'!M60</x:f>
        <x:v>14913443910</x:v>
      </x:c>
      <x:c r="N77" s="20" t="str">
        <x:f>'Raw Inputs'!CC60</x:f>
        <x:v>https://data.sec.gov/api/xbrl/companyfacts/CIK0001842022.json</x:v>
      </x:c>
    </x:row>
    <x:row r="78">
      <x:c r="A78" s="237" t="n">
        <x:f>RANK(D78,$D$5:$D$121,0)</x:f>
        <x:v>74</x:v>
      </x:c>
      <x:c r="B78" s="236" t="str">
        <x:f>'Raw Inputs'!A113</x:f>
        <x:v>ORLY</x:v>
      </x:c>
      <x:c r="C78" s="236" t="str">
        <x:f>'Raw Inputs'!B113</x:f>
        <x:v>O'Reilly Automotive Inc.</x:v>
      </x:c>
      <x:c r="D78" s="238" t="n">
        <x:f>1+9*'Raw Inputs'!BC113</x:f>
        <x:v>4.336206896551724</x:v>
      </x:c>
      <x:c r="E78" s="268" t="n">
        <x:f>'Raw Inputs'!BB113</x:f>
        <x:v>0.023196186293711687</x:v>
      </x:c>
      <x:c r="F78" s="268" t="n">
        <x:f>'Raw Inputs'!BD113</x:f>
        <x:v>0</x:v>
      </x:c>
      <x:c r="G78" s="268" t="n">
        <x:f>'Raw Inputs'!BG113</x:f>
        <x:v>0.03038215179534803</x:v>
      </x:c>
      <x:c r="H78" s="236" t="str">
        <x:f>'Raw Inputs'!BH113</x:f>
        <x:v>cash repurchases less issuance</x:v>
      </x:c>
      <x:c r="I78" s="268" t="n">
        <x:f>'Raw Inputs'!BI113</x:f>
        <x:v>-0.007185965501636344</x:v>
      </x:c>
      <x:c r="J78" s="271" t="n">
        <x:f>'Raw Inputs'!BK113</x:f>
        <x:v>2096962000</x:v>
      </x:c>
      <x:c r="K78" s="271" t="n">
        <x:f>'Raw Inputs'!BL113</x:f>
        <x:v>0</x:v>
      </x:c>
      <x:c r="L78" s="268" t="n">
        <x:f>'Raw Inputs'!BY113</x:f>
        <x:v>-0.0279965749535529</x:v>
      </x:c>
      <x:c r="M78" s="271" t="n">
        <x:f>'Raw Inputs'!M113</x:f>
        <x:v>69019535355</x:v>
      </x:c>
      <x:c r="N78" s="20" t="str">
        <x:f>'Raw Inputs'!CC113</x:f>
        <x:v>https://data.sec.gov/api/xbrl/companyfacts/CIK0000898173.json</x:v>
      </x:c>
    </x:row>
    <x:row r="79">
      <x:c r="A79" s="237" t="n">
        <x:f>RANK(D79,$D$5:$D$121,0)</x:f>
        <x:v>75</x:v>
      </x:c>
      <x:c r="B79" s="236" t="str">
        <x:f>'Raw Inputs'!A14</x:f>
        <x:v>NYT</x:v>
      </x:c>
      <x:c r="C79" s="236" t="str">
        <x:f>'Raw Inputs'!B14</x:f>
        <x:v>The New York Times Co.</x:v>
      </x:c>
      <x:c r="D79" s="238" t="n">
        <x:f>1+9*'Raw Inputs'!BC14</x:f>
        <x:v>4.258620689655173</x:v>
      </x:c>
      <x:c r="E79" s="268" t="n">
        <x:f>'Raw Inputs'!BB14</x:f>
        <x:v>0.022617450140707547</x:v>
      </x:c>
      <x:c r="F79" s="268" t="n">
        <x:f>'Raw Inputs'!BD14</x:f>
        <x:v>0.009053657726688431</x:v>
      </x:c>
      <x:c r="G79" s="268" t="n">
        <x:f>'Raw Inputs'!BG14</x:f>
        <x:v>0.013563792414019117</x:v>
      </x:c>
      <x:c r="H79" s="236" t="str">
        <x:f>'Raw Inputs'!BH14</x:f>
        <x:v>cash repurchases less issuance</x:v>
      </x:c>
      <x:c r="I79" s="268" t="n">
        <x:f>'Raw Inputs'!BI14</x:f>
        <x:v>0</x:v>
      </x:c>
      <x:c r="J79" s="271" t="n">
        <x:f>'Raw Inputs'!BK14</x:f>
        <x:v>165341000</x:v>
      </x:c>
      <x:c r="K79" s="271" t="n">
        <x:f>'Raw Inputs'!BL14</x:f>
        <x:v>0</x:v>
      </x:c>
      <x:c r="L79" s="268" t="n">
        <x:f>'Raw Inputs'!BY14</x:f>
        <x:v>-0.005180878397124333</x:v>
      </x:c>
      <x:c r="M79" s="271" t="n">
        <x:f>'Raw Inputs'!M14</x:f>
        <x:v>12189879862</x:v>
      </x:c>
      <x:c r="N79" s="20" t="str">
        <x:f>'Raw Inputs'!CC14</x:f>
        <x:v>https://data.sec.gov/api/xbrl/companyfacts/CIK0000071691.json</x:v>
      </x:c>
    </x:row>
    <x:row r="80">
      <x:c r="A80" s="237" t="n">
        <x:f>RANK(D80,$D$5:$D$121,0)</x:f>
        <x:v>76</x:v>
      </x:c>
      <x:c r="B80" s="236" t="str">
        <x:f>'Raw Inputs'!A116</x:f>
        <x:v>MTDR</x:v>
      </x:c>
      <x:c r="C80" s="236" t="str">
        <x:f>'Raw Inputs'!B116</x:f>
        <x:v>Matador Resources Co.</x:v>
      </x:c>
      <x:c r="D80" s="238" t="n">
        <x:f>1+9*'Raw Inputs'!BC116</x:f>
        <x:v>4.181034482758621</x:v>
      </x:c>
      <x:c r="E80" s="268" t="n">
        <x:f>'Raw Inputs'!BB116</x:f>
        <x:v>0.0220656647213323</x:v>
      </x:c>
      <x:c r="F80" s="268" t="n">
        <x:f>'Raw Inputs'!BD116</x:f>
        <x:v>0.02529909563651864</x:v>
      </x:c>
      <x:c r="G80" s="268" t="n">
        <x:f>'Raw Inputs'!BG116</x:f>
        <x:v>0.008663175014739352</x:v>
      </x:c>
      <x:c r="H80" s="236" t="str">
        <x:f>'Raw Inputs'!BH116</x:f>
        <x:v>cash repurchases less issuance</x:v>
      </x:c>
      <x:c r="I80" s="268" t="n">
        <x:f>'Raw Inputs'!BI116</x:f>
        <x:v>-0.011896605929925691</x:v>
      </x:c>
      <x:c r="J80" s="271" t="n">
        <x:f>'Raw Inputs'!BK116</x:f>
        <x:v>55849000</x:v>
      </x:c>
      <x:c r="K80" s="271" t="n">
        <x:f>'Raw Inputs'!BL116</x:f>
        <x:v>0</x:v>
      </x:c>
      <x:c r="L80" s="268" t="n">
        <x:f>'Raw Inputs'!BY116</x:f>
        <x:v>0.004110383958219055</x:v>
      </x:c>
      <x:c r="M80" s="271" t="n">
        <x:f>'Raw Inputs'!M116</x:f>
        <x:v>6446712655</x:v>
      </x:c>
      <x:c r="N80" s="20" t="str">
        <x:f>'Raw Inputs'!CC116</x:f>
        <x:v>https://data.sec.gov/api/xbrl/companyfacts/CIK0001520006.json</x:v>
      </x:c>
    </x:row>
    <x:row r="81">
      <x:c r="A81" s="237" t="n">
        <x:f>RANK(D81,$D$5:$D$121,0)</x:f>
        <x:v>77</x:v>
      </x:c>
      <x:c r="B81" s="236" t="str">
        <x:f>'Raw Inputs'!A47</x:f>
        <x:v>OHI</x:v>
      </x:c>
      <x:c r="C81" s="236" t="str">
        <x:f>'Raw Inputs'!B47</x:f>
        <x:v>Omega Healthcare Investors Inc. REIT</x:v>
      </x:c>
      <x:c r="D81" s="238" t="n">
        <x:f>1+9*'Raw Inputs'!BC47</x:f>
        <x:v>4.103448275862069</x:v>
      </x:c>
      <x:c r="E81" s="268" t="n">
        <x:f>'Raw Inputs'!BB47</x:f>
        <x:v>0.022057078627211436</x:v>
      </x:c>
      <x:c r="F81" s="268" t="n">
        <x:f>'Raw Inputs'!BD47</x:f>
        <x:v>0.05449135896701231</x:v>
      </x:c>
      <x:c r="G81" s="268" t="n">
        <x:f>'Raw Inputs'!BG47</x:f>
        <x:v>-0.03243428033980087</x:v>
      </x:c>
      <x:c r="H81" s="236" t="str">
        <x:f>'Raw Inputs'!BH47</x:f>
        <x:v>cash repurchases less issuance</x:v>
      </x:c>
      <x:c r="I81" s="268" t="n">
        <x:f>'Raw Inputs'!BI47</x:f>
        <x:v>0</x:v>
      </x:c>
      <x:c r="J81" s="271" t="n">
        <x:f>'Raw Inputs'!BK47</x:f>
        <x:v>142267000</x:v>
      </x:c>
      <x:c r="K81" s="271" t="n">
        <x:f>'Raw Inputs'!BL47</x:f>
        <x:v>606768000</x:v>
      </x:c>
      <x:c r="L81" s="268" t="n">
        <x:f>'Raw Inputs'!BY47</x:f>
        <x:v>0.12757256424477714</x:v>
      </x:c>
      <x:c r="M81" s="271" t="n">
        <x:f>'Raw Inputs'!M47</x:f>
        <x:v>14321298180</x:v>
      </x:c>
      <x:c r="N81" s="20" t="str">
        <x:f>'Raw Inputs'!CC47</x:f>
        <x:v>https://data.sec.gov/api/xbrl/companyfacts/CIK0000888491.json</x:v>
      </x:c>
    </x:row>
    <x:row r="82">
      <x:c r="A82" s="237" t="n">
        <x:f>RANK(D82,$D$5:$D$121,0)</x:f>
        <x:v>78</x:v>
      </x:c>
      <x:c r="B82" s="236" t="str">
        <x:f>'Raw Inputs'!A68</x:f>
        <x:v>CTVA</x:v>
      </x:c>
      <x:c r="C82" s="236" t="str">
        <x:f>'Raw Inputs'!B68</x:f>
        <x:v>Corteva Inc.</x:v>
      </x:c>
      <x:c r="D82" s="238" t="n">
        <x:f>1+9*'Raw Inputs'!BC68</x:f>
        <x:v>4.025862068965518</x:v>
      </x:c>
      <x:c r="E82" s="268" t="n">
        <x:f>'Raw Inputs'!BB68</x:f>
        <x:v>0.021078457074359847</x:v>
      </x:c>
      <x:c r="F82" s="268" t="n">
        <x:f>'Raw Inputs'!BD68</x:f>
        <x:v>0.008513832576803508</x:v>
      </x:c>
      <x:c r="G82" s="268" t="n">
        <x:f>'Raw Inputs'!BG68</x:f>
        <x:v>0.017619152469469157</x:v>
      </x:c>
      <x:c r="H82" s="236" t="str">
        <x:f>'Raw Inputs'!BH68</x:f>
        <x:v>cash repurchases less issuance</x:v>
      </x:c>
      <x:c r="I82" s="268" t="n">
        <x:f>'Raw Inputs'!BI68</x:f>
        <x:v>-0.00505452797191282</x:v>
      </x:c>
      <x:c r="J82" s="271" t="n">
        <x:f>'Raw Inputs'!BK68</x:f>
        <x:v>1071000000</x:v>
      </x:c>
      <x:c r="K82" s="271" t="n">
        <x:f>'Raw Inputs'!BL68</x:f>
        <x:v>88000000</x:v>
      </x:c>
      <x:c r="L82" s="268" t="n">
        <x:f>'Raw Inputs'!BY68</x:f>
        <x:v>-0.020977011494252906</x:v>
      </x:c>
      <x:c r="M82" s="271" t="n">
        <x:f>'Raw Inputs'!M68</x:f>
        <x:v>55791559878</x:v>
      </x:c>
      <x:c r="N82" s="20" t="str">
        <x:f>'Raw Inputs'!CC68</x:f>
        <x:v>https://data.sec.gov/api/xbrl/companyfacts/CIK0001755672.json</x:v>
      </x:c>
    </x:row>
    <x:row r="83">
      <x:c r="A83" s="237" t="n">
        <x:f>RANK(D83,$D$5:$D$121,0)</x:f>
        <x:v>79</x:v>
      </x:c>
      <x:c r="B83" s="236" t="str">
        <x:f>'Raw Inputs'!A79</x:f>
        <x:v>FAST</x:v>
      </x:c>
      <x:c r="C83" s="236" t="str">
        <x:f>'Raw Inputs'!B79</x:f>
        <x:v>Fastenal Co.</x:v>
      </x:c>
      <x:c r="D83" s="238" t="n">
        <x:f>1+9*'Raw Inputs'!BC79</x:f>
        <x:v>3.9482758620689653</x:v>
      </x:c>
      <x:c r="E83" s="268" t="n">
        <x:f>'Raw Inputs'!BB79</x:f>
        <x:v>0.020290921403186786</x:v>
      </x:c>
      <x:c r="F83" s="268" t="n">
        <x:f>'Raw Inputs'!BD79</x:f>
        <x:v>0.019315710752753977</x:v>
      </x:c>
      <x:c r="G83" s="268" t="n">
        <x:f>'Raw Inputs'!BG79</x:f>
        <x:v>-0.0004674086549411688</x:v>
      </x:c>
      <x:c r="H83" s="236" t="str">
        <x:f>'Raw Inputs'!BH79</x:f>
        <x:v>cash repurchases less issuance</x:v>
      </x:c>
      <x:c r="I83" s="268" t="n">
        <x:f>'Raw Inputs'!BI79</x:f>
        <x:v>0.0014426193053739776</x:v>
      </x:c>
      <x:c r="J83" s="271" t="n">
        <x:f>'Raw Inputs'!BK79</x:f>
        <x:v>0</x:v>
      </x:c>
      <x:c r="K83" s="271" t="n">
        <x:f>'Raw Inputs'!BL79</x:f>
        <x:v>24300000</x:v>
      </x:c>
      <x:c r="L83" s="268" t="n">
        <x:f>'Raw Inputs'!BY79</x:f>
        <x:v>0.001540864374780293</x:v>
      </x:c>
      <x:c r="M83" s="271" t="n">
        <x:f>'Raw Inputs'!M79</x:f>
        <x:v>51988767737</x:v>
      </x:c>
      <x:c r="N83" s="20" t="str">
        <x:f>'Raw Inputs'!CC79</x:f>
        <x:v>https://data.sec.gov/api/xbrl/companyfacts/CIK0000815556.json</x:v>
      </x:c>
    </x:row>
    <x:row r="84">
      <x:c r="A84" s="237" t="n">
        <x:f>RANK(D84,$D$5:$D$121,0)</x:f>
        <x:v>80</x:v>
      </x:c>
      <x:c r="B84" s="236" t="str">
        <x:f>'Raw Inputs'!A90</x:f>
        <x:v>CCC</x:v>
      </x:c>
      <x:c r="C84" s="236" t="str">
        <x:f>'Raw Inputs'!B90</x:f>
        <x:v>CCC Intelligent Solutions Holdings Inc.</x:v>
      </x:c>
      <x:c r="D84" s="238" t="n">
        <x:f>1+9*'Raw Inputs'!BC90</x:f>
        <x:v>3.870689655172414</x:v>
      </x:c>
      <x:c r="E84" s="268" t="n">
        <x:f>'Raw Inputs'!BB90</x:f>
        <x:v>0.02015250144522307</x:v>
      </x:c>
      <x:c r="F84" s="268" t="n">
        <x:f>'Raw Inputs'!BD90</x:f>
        <x:v>0</x:v>
      </x:c>
      <x:c r="G84" s="268" t="n">
        <x:f>'Raw Inputs'!BG90</x:f>
        <x:v>0.16243253643670644</x:v>
      </x:c>
      <x:c r="H84" s="236" t="str">
        <x:f>'Raw Inputs'!BH90</x:f>
        <x:v>cash repurchases less issuance</x:v>
      </x:c>
      <x:c r="I84" s="268" t="n">
        <x:f>'Raw Inputs'!BI90</x:f>
        <x:v>-0.14228003499148337</x:v>
      </x:c>
      <x:c r="J84" s="271" t="n">
        <x:f>'Raw Inputs'!BK90</x:f>
        <x:v>600567000</x:v>
      </x:c>
      <x:c r="K84" s="271" t="n">
        <x:f>'Raw Inputs'!BL90</x:f>
        <x:v>4703000</x:v>
      </x:c>
      <x:c r="L84" s="268" t="n">
        <x:f>'Raw Inputs'!BY90</x:f>
        <x:v>0.0275907856122104</x:v>
      </x:c>
      <x:c r="M84" s="271" t="n">
        <x:f>'Raw Inputs'!M90</x:f>
        <x:v>3668378350</x:v>
      </x:c>
      <x:c r="N84" s="20" t="str">
        <x:f>'Raw Inputs'!CC90</x:f>
        <x:v>https://data.sec.gov/api/xbrl/companyfacts/CIK0001818201.json</x:v>
      </x:c>
    </x:row>
    <x:row r="85">
      <x:c r="A85" s="237" t="n">
        <x:f>RANK(D85,$D$5:$D$121,0)</x:f>
        <x:v>81</x:v>
      </x:c>
      <x:c r="B85" s="236" t="str">
        <x:f>'Raw Inputs'!A64</x:f>
        <x:v>SO</x:v>
      </x:c>
      <x:c r="C85" s="236" t="str">
        <x:f>'Raw Inputs'!B64</x:f>
        <x:v>The Southern Co.</x:v>
      </x:c>
      <x:c r="D85" s="238" t="n">
        <x:f>1+9*'Raw Inputs'!BC64</x:f>
        <x:v>3.793103448275862</x:v>
      </x:c>
      <x:c r="E85" s="268" t="n">
        <x:f>'Raw Inputs'!BB64</x:f>
        <x:v>0.018617399920808804</x:v>
      </x:c>
      <x:c r="F85" s="268" t="n">
        <x:f>'Raw Inputs'!BD64</x:f>
        <x:v>0.027953914721732344</x:v>
      </x:c>
      <x:c r="G85" s="268" t="n">
        <x:f>'Raw Inputs'!BG64</x:f>
        <x:v>-0.015047828720852934</x:v>
      </x:c>
      <x:c r="H85" s="236" t="str">
        <x:f>'Raw Inputs'!BH64</x:f>
        <x:v>cash repurchases less issuance</x:v>
      </x:c>
      <x:c r="I85" s="268" t="n">
        <x:f>'Raw Inputs'!BI64</x:f>
        <x:v>0.005711313919929395</x:v>
      </x:c>
      <x:c r="J85" s="271" t="n">
        <x:f>'Raw Inputs'!BK64</x:f>
        <x:v>0</x:v>
      </x:c>
      <x:c r="K85" s="271" t="n">
        <x:f>'Raw Inputs'!BL64</x:f>
        <x:v>1623000000</x:v>
      </x:c>
      <x:c r="L85" s="268" t="n">
        <x:f>'Raw Inputs'!BY64</x:f>
        <x:v>0.006352087114337657</x:v>
      </x:c>
      <x:c r="M85" s="271" t="n">
        <x:f>'Raw Inputs'!M64</x:f>
        <x:v>107856092072</x:v>
      </x:c>
      <x:c r="N85" s="20" t="str">
        <x:f>'Raw Inputs'!CC64</x:f>
        <x:v>https://data.sec.gov/api/xbrl/companyfacts/CIK0000092122.json</x:v>
      </x:c>
    </x:row>
    <x:row r="86">
      <x:c r="A86" s="237" t="n">
        <x:f>RANK(D86,$D$5:$D$121,0)</x:f>
        <x:v>82</x:v>
      </x:c>
      <x:c r="B86" s="236" t="str">
        <x:f>'Raw Inputs'!A56</x:f>
        <x:v>EA</x:v>
      </x:c>
      <x:c r="C86" s="236" t="str">
        <x:f>'Raw Inputs'!B56</x:f>
        <x:v>Electronic Arts Inc.</x:v>
      </x:c>
      <x:c r="D86" s="238" t="n">
        <x:f>1+9*'Raw Inputs'!BC56</x:f>
        <x:v>3.7155172413793105</x:v>
      </x:c>
      <x:c r="E86" s="268" t="n">
        <x:f>'Raw Inputs'!BB56</x:f>
        <x:v>0.018459459009870813</x:v>
      </x:c>
      <x:c r="F86" s="268" t="n">
        <x:f>'Raw Inputs'!BD56</x:f>
        <x:v>0.0036726631988388803</x:v>
      </x:c>
      <x:c r="G86" s="268" t="n">
        <x:f>'Raw Inputs'!BG56</x:f>
        <x:v>0.014786795811031933</x:v>
      </x:c>
      <x:c r="H86" s="236" t="str">
        <x:f>'Raw Inputs'!BH56</x:f>
        <x:v>cash repurchases less issuance</x:v>
      </x:c>
      <x:c r="I86" s="268" t="n">
        <x:f>'Raw Inputs'!BI56</x:f>
        <x:v>0</x:v>
      </x:c>
      <x:c r="J86" s="271" t="n">
        <x:f>'Raw Inputs'!BK56</x:f>
        <x:v>769000000</x:v>
      </x:c>
      <x:c r="K86" s="271" t="n">
        <x:f>'Raw Inputs'!BL56</x:f>
        <x:v>0</x:v>
      </x:c>
      <x:c r="L86" s="268" t="n">
        <x:f>'Raw Inputs'!BY56</x:f>
        <x:v>-0.04166666666666663</x:v>
      </x:c>
      <x:c r="M86" s="271" t="n">
        <x:f>'Raw Inputs'!M56</x:f>
        <x:v>52005857782</x:v>
      </x:c>
      <x:c r="N86" s="20" t="str">
        <x:f>'Raw Inputs'!CC56</x:f>
        <x:v>https://data.sec.gov/api/xbrl/companyfacts/CIK0000712515.json</x:v>
      </x:c>
    </x:row>
    <x:row r="87">
      <x:c r="A87" s="237" t="n">
        <x:f>RANK(D87,$D$5:$D$121,0)</x:f>
        <x:v>83</x:v>
      </x:c>
      <x:c r="B87" s="236" t="str">
        <x:f>'Raw Inputs'!A93</x:f>
        <x:v>VTR</x:v>
      </x:c>
      <x:c r="C87" s="236" t="str">
        <x:f>'Raw Inputs'!B93</x:f>
        <x:v>Ventas Inc. REIT</x:v>
      </x:c>
      <x:c r="D87" s="238" t="n">
        <x:f>1+9*'Raw Inputs'!BC93</x:f>
        <x:v>3.6379310344827585</x:v>
      </x:c>
      <x:c r="E87" s="268" t="n">
        <x:f>'Raw Inputs'!BB93</x:f>
        <x:v>0.01667318855039115</x:v>
      </x:c>
      <x:c r="F87" s="268" t="n">
        <x:f>'Raw Inputs'!BD93</x:f>
        <x:v>0.01914041639869008</x:v>
      </x:c>
      <x:c r="G87" s="268" t="n">
        <x:f>'Raw Inputs'!BG93</x:f>
        <x:v>-0.002467227848298931</x:v>
      </x:c>
      <x:c r="H87" s="236" t="str">
        <x:f>'Raw Inputs'!BH93</x:f>
        <x:v>cash repurchases less issuance</x:v>
      </x:c>
      <x:c r="I87" s="268" t="n">
        <x:f>'Raw Inputs'!BI93</x:f>
        <x:v>0</x:v>
      </x:c>
      <x:c r="J87" s="271" t="n">
        <x:f>'Raw Inputs'!BK93</x:f>
        <x:v>0</x:v>
      </x:c>
      <x:c r="K87" s="271" t="n">
        <x:f>'Raw Inputs'!BL93</x:f>
        <x:v>110863000</x:v>
      </x:c>
      <x:c r="L87" s="268" t="n">
        <x:f>'Raw Inputs'!BY93</x:f>
        <x:v>0.11107775370707507</x:v>
      </x:c>
      <x:c r="M87" s="271" t="n">
        <x:f>'Raw Inputs'!M93</x:f>
        <x:v>44934236648</x:v>
      </x:c>
      <x:c r="N87" s="20" t="str">
        <x:f>'Raw Inputs'!CC93</x:f>
        <x:v>https://data.sec.gov/api/xbrl/companyfacts/CIK0000740260.json</x:v>
      </x:c>
    </x:row>
    <x:row r="88">
      <x:c r="A88" s="237" t="n">
        <x:f>RANK(D88,$D$5:$D$121,0)</x:f>
        <x:v>84</x:v>
      </x:c>
      <x:c r="B88" s="236" t="str">
        <x:f>'Raw Inputs'!A33</x:f>
        <x:v>WM</x:v>
      </x:c>
      <x:c r="C88" s="236" t="str">
        <x:f>'Raw Inputs'!B33</x:f>
        <x:v>Waste Management Inc.</x:v>
      </x:c>
      <x:c r="D88" s="238" t="n">
        <x:f>1+9*'Raw Inputs'!BC33</x:f>
        <x:v>3.560344827586207</x:v>
      </x:c>
      <x:c r="E88" s="268" t="n">
        <x:f>'Raw Inputs'!BB33</x:f>
        <x:v>0.016253261113406546</x:v>
      </x:c>
      <x:c r="F88" s="268" t="n">
        <x:f>'Raw Inputs'!BD33</x:f>
        <x:v>0.014124983925266666</x:v>
      </x:c>
      <x:c r="G88" s="268" t="n">
        <x:f>'Raw Inputs'!BG33</x:f>
        <x:v>0.00212827718813988</x:v>
      </x:c>
      <x:c r="H88" s="236" t="str">
        <x:f>'Raw Inputs'!BH33</x:f>
        <x:v>cash repurchases less issuance</x:v>
      </x:c>
      <x:c r="I88" s="268" t="n">
        <x:f>'Raw Inputs'!BI33</x:f>
        <x:v>0</x:v>
      </x:c>
      <x:c r="J88" s="271" t="n">
        <x:f>'Raw Inputs'!BK33</x:f>
        <x:v>262000000</x:v>
      </x:c>
      <x:c r="K88" s="271" t="n">
        <x:f>'Raw Inputs'!BL33</x:f>
        <x:v>61000000</x:v>
      </x:c>
      <x:c r="L88" s="268" t="n">
        <x:f>'Raw Inputs'!BY33</x:f>
        <x:v>0.001983143282102029</x:v>
      </x:c>
      <x:c r="M88" s="271" t="n">
        <x:f>'Raw Inputs'!M33</x:f>
        <x:v>94442585355</x:v>
      </x:c>
      <x:c r="N88" s="20" t="str">
        <x:f>'Raw Inputs'!CC33</x:f>
        <x:v>https://data.sec.gov/api/xbrl/companyfacts/CIK0000823768.json</x:v>
      </x:c>
    </x:row>
    <x:row r="89">
      <x:c r="A89" s="237" t="n">
        <x:f>RANK(D89,$D$5:$D$121,0)</x:f>
        <x:v>85</x:v>
      </x:c>
      <x:c r="B89" s="236" t="str">
        <x:f>'Raw Inputs'!A72</x:f>
        <x:v>VRTX</x:v>
      </x:c>
      <x:c r="C89" s="236" t="str">
        <x:f>'Raw Inputs'!B72</x:f>
        <x:v>Vertex Pharmaceuticals Inc.</x:v>
      </x:c>
      <x:c r="D89" s="238" t="n">
        <x:f>1+9*'Raw Inputs'!BC72</x:f>
        <x:v>3.4827586206896552</x:v>
      </x:c>
      <x:c r="E89" s="268" t="n">
        <x:f>'Raw Inputs'!BB72</x:f>
        <x:v>0.01609483280737372</x:v>
      </x:c>
      <x:c r="F89" s="268" t="n">
        <x:f>'Raw Inputs'!BD72</x:f>
        <x:v>0</x:v>
      </x:c>
      <x:c r="G89" s="268" t="n">
        <x:f>'Raw Inputs'!BG72</x:f>
        <x:v>0.01609483280737372</x:v>
      </x:c>
      <x:c r="H89" s="236" t="str">
        <x:f>'Raw Inputs'!BH72</x:f>
        <x:v>cash repurchases less issuance</x:v>
      </x:c>
      <x:c r="I89" s="268" t="n">
        <x:f>'Raw Inputs'!BI72</x:f>
        <x:v>0</x:v>
      </x:c>
      <x:c r="J89" s="271" t="n">
        <x:f>'Raw Inputs'!BK72</x:f>
        <x:v>2017400000</x:v>
      </x:c>
      <x:c r="K89" s="271" t="n">
        <x:f>'Raw Inputs'!BL72</x:f>
        <x:v>55600000</x:v>
      </x:c>
      <x:c r="L89" s="268" t="n">
        <x:f>'Raw Inputs'!BY72</x:f>
        <x:v>0.0003877471888329431</x:v>
      </x:c>
      <x:c r="M89" s="271" t="n">
        <x:f>'Raw Inputs'!M72</x:f>
        <x:v>121890051514</x:v>
      </x:c>
      <x:c r="N89" s="20" t="str">
        <x:f>'Raw Inputs'!CC72</x:f>
        <x:v>https://data.sec.gov/api/xbrl/companyfacts/CIK0000875320.json</x:v>
      </x:c>
    </x:row>
    <x:row r="90">
      <x:c r="A90" s="237" t="n">
        <x:f>RANK(D90,$D$5:$D$121,0)</x:f>
        <x:v>86</x:v>
      </x:c>
      <x:c r="B90" s="236" t="str">
        <x:f>'Raw Inputs'!A106</x:f>
        <x:v>CNP</x:v>
      </x:c>
      <x:c r="C90" s="236" t="str">
        <x:f>'Raw Inputs'!B106</x:f>
        <x:v>Centerpoint Energy Inc.</x:v>
      </x:c>
      <x:c r="D90" s="238" t="n">
        <x:f>1+9*'Raw Inputs'!BC106</x:f>
        <x:v>3.405172413793103</x:v>
      </x:c>
      <x:c r="E90" s="268" t="n">
        <x:f>'Raw Inputs'!BB106</x:f>
        <x:v>0.01427497389203499</x:v>
      </x:c>
      <x:c r="F90" s="268" t="n">
        <x:f>'Raw Inputs'!BD106</x:f>
        <x:v>0.020231691392661937</x:v>
      </x:c>
      <x:c r="G90" s="268" t="n">
        <x:f>'Raw Inputs'!BG106</x:f>
        <x:v>0</x:v>
      </x:c>
      <x:c r="H90" s="236" t="str">
        <x:f>'Raw Inputs'!BH106</x:f>
        <x:v>cash repurchases less issuance</x:v>
      </x:c>
      <x:c r="I90" s="268" t="n">
        <x:f>'Raw Inputs'!BI106</x:f>
        <x:v>-0.005956717500626946</x:v>
      </x:c>
      <x:c r="J90" s="271" t="n">
        <x:f>'Raw Inputs'!BK106</x:f>
        <x:v>0</x:v>
      </x:c>
      <x:c r="K90" s="271" t="n">
        <x:f>'Raw Inputs'!BL106</x:f>
        <x:v>0</x:v>
      </x:c>
      <x:c r="L90" s="268" t="n">
        <x:f>'Raw Inputs'!BY106</x:f>
        <x:v>0.017873526904990777</x:v>
      </x:c>
      <x:c r="M90" s="271" t="n">
        <x:f>'Raw Inputs'!M106</x:f>
        <x:v>28371330348</x:v>
      </x:c>
      <x:c r="N90" s="20" t="str">
        <x:f>'Raw Inputs'!CC106</x:f>
        <x:v>https://data.sec.gov/api/xbrl/companyfacts/CIK0001130310.json</x:v>
      </x:c>
    </x:row>
    <x:row r="91">
      <x:c r="A91" s="237" t="n">
        <x:f>RANK(D91,$D$5:$D$121,0)</x:f>
        <x:v>87</x:v>
      </x:c>
      <x:c r="B91" s="236" t="str">
        <x:f>'Raw Inputs'!A105</x:f>
        <x:v>JNJ</x:v>
      </x:c>
      <x:c r="C91" s="236" t="str">
        <x:f>'Raw Inputs'!B105</x:f>
        <x:v>Johnson &amp; Johnson</x:v>
      </x:c>
      <x:c r="D91" s="238" t="n">
        <x:f>1+9*'Raw Inputs'!BC105</x:f>
        <x:v>3.327586206896552</x:v>
      </x:c>
      <x:c r="E91" s="268" t="n">
        <x:f>'Raw Inputs'!BB105</x:f>
        <x:v>0.013316518417375243</x:v>
      </x:c>
      <x:c r="F91" s="268" t="n">
        <x:f>'Raw Inputs'!BD105</x:f>
        <x:v>0.02048097074851216</x:v>
      </x:c>
      <x:c r="G91" s="268" t="n">
        <x:f>'Raw Inputs'!BG105</x:f>
        <x:v>0.007786441265911213</x:v>
      </x:c>
      <x:c r="H91" s="236" t="str">
        <x:f>'Raw Inputs'!BH105</x:f>
        <x:v>cash repurchases less issuance</x:v>
      </x:c>
      <x:c r="I91" s="268" t="n">
        <x:f>'Raw Inputs'!BI105</x:f>
        <x:v>-0.01495089359704813</x:v>
      </x:c>
      <x:c r="J91" s="271" t="n">
        <x:f>'Raw Inputs'!BK105</x:f>
        <x:v>5953000000</x:v>
      </x:c>
      <x:c r="K91" s="271" t="n">
        <x:f>'Raw Inputs'!BL105</x:f>
        <x:v>1246000000</x:v>
      </x:c>
      <x:c r="L91" s="268" t="n">
        <x:f>'Raw Inputs'!BY105</x:f>
        <x:v>0</x:v>
      </x:c>
      <x:c r="M91" s="271" t="n">
        <x:f>'Raw Inputs'!M105</x:f>
        <x:v>604512361842</x:v>
      </x:c>
      <x:c r="N91" s="20" t="str">
        <x:f>'Raw Inputs'!CC105</x:f>
        <x:v>https://data.sec.gov/api/xbrl/companyfacts/CIK0000200406.json</x:v>
      </x:c>
    </x:row>
    <x:row r="92">
      <x:c r="A92" s="237" t="n">
        <x:f>RANK(D92,$D$5:$D$121,0)</x:f>
        <x:v>88</x:v>
      </x:c>
      <x:c r="B92" s="236" t="str">
        <x:f>'Raw Inputs'!A32</x:f>
        <x:v>CBOE</x:v>
      </x:c>
      <x:c r="C92" s="236" t="str">
        <x:f>'Raw Inputs'!B32</x:f>
        <x:v>CBOE Global Markets Inc.</x:v>
      </x:c>
      <x:c r="D92" s="238" t="n">
        <x:f>1+9*'Raw Inputs'!BC32</x:f>
        <x:v>3.25</x:v>
      </x:c>
      <x:c r="E92" s="268" t="n">
        <x:f>'Raw Inputs'!BB32</x:f>
        <x:v>0.011390675445501578</x:v>
      </x:c>
      <x:c r="F92" s="268" t="n">
        <x:f>'Raw Inputs'!BD32</x:f>
        <x:v>0.009231382637275081</x:v>
      </x:c>
      <x:c r="G92" s="268" t="n">
        <x:f>'Raw Inputs'!BG32</x:f>
        <x:v>0.0021592928082264963</x:v>
      </x:c>
      <x:c r="H92" s="236" t="str">
        <x:f>'Raw Inputs'!BH32</x:f>
        <x:v>cash repurchases less issuance</x:v>
      </x:c>
      <x:c r="I92" s="268" t="n">
        <x:f>'Raw Inputs'!BI32</x:f>
        <x:v>0</x:v>
      </x:c>
      <x:c r="J92" s="271" t="n">
        <x:f>'Raw Inputs'!BK32</x:f>
        <x:v>66700000</x:v>
      </x:c>
      <x:c r="K92" s="271" t="n">
        <x:f>'Raw Inputs'!BL32</x:f>
        <x:v>200000</x:v>
      </x:c>
      <x:c r="L92" s="268" t="n">
        <x:f>'Raw Inputs'!BY32</x:f>
        <x:v>-0.0037914691943128354</x:v>
      </x:c>
      <x:c r="M92" s="271" t="n">
        <x:f>'Raw Inputs'!M32</x:f>
        <x:v>30797120125</x:v>
      </x:c>
      <x:c r="N92" s="20" t="str">
        <x:f>'Raw Inputs'!CC32</x:f>
        <x:v>https://data.sec.gov/api/xbrl/companyfacts/CIK0001374310.json</x:v>
      </x:c>
    </x:row>
    <x:row r="93">
      <x:c r="A93" s="237" t="n">
        <x:f>RANK(D93,$D$5:$D$121,0)</x:f>
        <x:v>89</x:v>
      </x:c>
      <x:c r="B93" s="236" t="str">
        <x:f>'Raw Inputs'!A91</x:f>
        <x:v>WELL</x:v>
      </x:c>
      <x:c r="C93" s="236" t="str">
        <x:f>'Raw Inputs'!B91</x:f>
        <x:v>Welltower Inc. REIT</x:v>
      </x:c>
      <x:c r="D93" s="238" t="n">
        <x:f>1+9*'Raw Inputs'!BC91</x:f>
        <x:v>3.1724137931034484</x:v>
      </x:c>
      <x:c r="E93" s="268" t="n">
        <x:f>'Raw Inputs'!BB91</x:f>
        <x:v>0.011329784041649606</x:v>
      </x:c>
      <x:c r="F93" s="268" t="n">
        <x:f>'Raw Inputs'!BD91</x:f>
        <x:v>0.01134592698553217</x:v>
      </x:c>
      <x:c r="G93" s="268" t="n">
        <x:f>'Raw Inputs'!BG91</x:f>
        <x:v>-0.000016142943882564928</x:v>
      </x:c>
      <x:c r="H93" s="236" t="str">
        <x:f>'Raw Inputs'!BH91</x:f>
        <x:v>cash repurchases less issuance</x:v>
      </x:c>
      <x:c r="I93" s="268" t="n">
        <x:f>'Raw Inputs'!BI91</x:f>
        <x:v>0</x:v>
      </x:c>
      <x:c r="J93" s="271" t="n">
        <x:f>'Raw Inputs'!BK91</x:f>
        <x:v>0</x:v>
      </x:c>
      <x:c r="K93" s="271" t="n">
        <x:f>'Raw Inputs'!BL91</x:f>
        <x:v>2671000</x:v>
      </x:c>
      <x:c r="L93" s="268" t="n">
        <x:f>'Raw Inputs'!BY91</x:f>
        <x:v>0.11625626283367563</x:v>
      </x:c>
      <x:c r="M93" s="271" t="n">
        <x:f>'Raw Inputs'!M91</x:f>
        <x:v>165459287936</x:v>
      </x:c>
      <x:c r="N93" s="20" t="str">
        <x:f>'Raw Inputs'!CC91</x:f>
        <x:v>https://data.sec.gov/api/xbrl/companyfacts/CIK0000766704.json</x:v>
      </x:c>
    </x:row>
    <x:row r="94">
      <x:c r="A94" s="237" t="n">
        <x:f>RANK(D94,$D$5:$D$121,0)</x:f>
        <x:v>90</x:v>
      </x:c>
      <x:c r="B94" s="236" t="str">
        <x:f>'Raw Inputs'!A96</x:f>
        <x:v>RSG</x:v>
      </x:c>
      <x:c r="C94" s="236" t="str">
        <x:f>'Raw Inputs'!B96</x:f>
        <x:v>Republic Services Inc.</x:v>
      </x:c>
      <x:c r="D94" s="238" t="n">
        <x:f>1+9*'Raw Inputs'!BC96</x:f>
        <x:v>3.0948275862068964</x:v>
      </x:c>
      <x:c r="E94" s="268" t="n">
        <x:f>'Raw Inputs'!BB96</x:f>
        <x:v>0.011145743490575176</x:v>
      </x:c>
      <x:c r="F94" s="268" t="n">
        <x:f>'Raw Inputs'!BD96</x:f>
        <x:v>0.010944064257643</x:v>
      </x:c>
      <x:c r="G94" s="268" t="n">
        <x:f>'Raw Inputs'!BG96</x:f>
        <x:v>0.013103218398446281</x:v>
      </x:c>
      <x:c r="H94" s="236" t="str">
        <x:f>'Raw Inputs'!BH96</x:f>
        <x:v>cash repurchases less issuance</x:v>
      </x:c>
      <x:c r="I94" s="268" t="n">
        <x:f>'Raw Inputs'!BI96</x:f>
        <x:v>-0.012901539165514106</x:v>
      </x:c>
      <x:c r="J94" s="271" t="n">
        <x:f>'Raw Inputs'!BK96</x:f>
        <x:v>870000000</x:v>
      </x:c>
      <x:c r="K94" s="271" t="n">
        <x:f>'Raw Inputs'!BL96</x:f>
        <x:v>-13600000</x:v>
      </x:c>
      <x:c r="L94" s="268" t="n">
        <x:f>'Raw Inputs'!BY96</x:f>
        <x:v>-0.008389213777242666</x:v>
      </x:c>
      <x:c r="M94" s="271" t="n">
        <x:f>'Raw Inputs'!M96</x:f>
        <x:v>67433814589</x:v>
      </x:c>
      <x:c r="N94" s="20" t="str">
        <x:f>'Raw Inputs'!CC96</x:f>
        <x:v>https://data.sec.gov/api/xbrl/companyfacts/CIK0001060391.json</x:v>
      </x:c>
    </x:row>
    <x:row r="95">
      <x:c r="A95" s="237" t="n">
        <x:f>RANK(D95,$D$5:$D$121,0)</x:f>
        <x:v>91</x:v>
      </x:c>
      <x:c r="B95" s="236" t="str">
        <x:f>'Raw Inputs'!A102</x:f>
        <x:v>BRO</x:v>
      </x:c>
      <x:c r="C95" s="236" t="str">
        <x:f>'Raw Inputs'!B102</x:f>
        <x:v>Brown &amp; Brown Inc.</x:v>
      </x:c>
      <x:c r="D95" s="238" t="n">
        <x:f>1+9*'Raw Inputs'!BC102</x:f>
        <x:v>3.0172413793103448</x:v>
      </x:c>
      <x:c r="E95" s="268" t="n">
        <x:f>'Raw Inputs'!BB102</x:f>
        <x:v>0.010592395649901639</x:v>
      </x:c>
      <x:c r="F95" s="268" t="n">
        <x:f>'Raw Inputs'!BD102</x:f>
        <x:v>0.008344213716044964</x:v>
      </x:c>
      <x:c r="G95" s="268" t="n">
        <x:f>'Raw Inputs'!BG102</x:f>
        <x:v>0.0022481819338566744</x:v>
      </x:c>
      <x:c r="H95" s="236" t="str">
        <x:f>'Raw Inputs'!BH102</x:f>
        <x:v>cash repurchases less issuance</x:v>
      </x:c>
      <x:c r="I95" s="268" t="n">
        <x:f>'Raw Inputs'!BI102</x:f>
        <x:v>0</x:v>
      </x:c>
      <x:c r="J95" s="271" t="n">
        <x:f>'Raw Inputs'!BK102</x:f>
        <x:v>100000000</x:v>
      </x:c>
      <x:c r="K95" s="271" t="n">
        <x:f>'Raw Inputs'!BL102</x:f>
        <x:v>48000000</x:v>
      </x:c>
      <x:c r="L95" s="268" t="n">
        <x:f>'Raw Inputs'!BY102</x:f>
        <x:v>0.102112676056338</x:v>
      </x:c>
      <x:c r="M95" s="271" t="n">
        <x:f>'Raw Inputs'!M102</x:f>
        <x:v>23129800670</x:v>
      </x:c>
      <x:c r="N95" s="20" t="str">
        <x:f>'Raw Inputs'!CC102</x:f>
        <x:v>https://data.sec.gov/api/xbrl/companyfacts/CIK0000079282.json</x:v>
      </x:c>
    </x:row>
    <x:row r="96">
      <x:c r="A96" s="237" t="n">
        <x:f>RANK(D96,$D$5:$D$121,0)</x:f>
        <x:v>92</x:v>
      </x:c>
      <x:c r="B96" s="236" t="str">
        <x:f>'Raw Inputs'!A92</x:f>
        <x:v>LIN</x:v>
      </x:c>
      <x:c r="C96" s="236" t="str">
        <x:f>'Raw Inputs'!B92</x:f>
        <x:v>Linde PLC</x:v>
      </x:c>
      <x:c r="D96" s="238" t="n">
        <x:f>1+9*'Raw Inputs'!BC92</x:f>
        <x:v>2.9396551724137927</x:v>
      </x:c>
      <x:c r="E96" s="268" t="n">
        <x:f>'Raw Inputs'!BB92</x:f>
        <x:v>0.009713979811372706</x:v>
      </x:c>
      <x:c r="F96" s="268" t="n">
        <x:f>'Raw Inputs'!BD92</x:f>
        <x:v>0.01182077803020289</x:v>
      </x:c>
      <x:c r="G96" s="268" t="n">
        <x:f>'Raw Inputs'!BG92</x:f>
        <x:v>0.01925134180799318</x:v>
      </x:c>
      <x:c r="H96" s="236" t="str">
        <x:f>'Raw Inputs'!BH92</x:f>
        <x:v>cash repurchases less issuance</x:v>
      </x:c>
      <x:c r="I96" s="268" t="n">
        <x:f>'Raw Inputs'!BI92</x:f>
        <x:v>-0.021358140026823364</x:v>
      </x:c>
      <x:c r="J96" s="271" t="n">
        <x:f>'Raw Inputs'!BK92</x:f>
        <x:v>4601000000</x:v>
      </x:c>
      <x:c r="K96" s="271" t="n">
        <x:f>'Raw Inputs'!BL92</x:f>
        <x:v>23000000</x:v>
      </x:c>
      <x:c r="L96" s="268" t="n">
        <x:f>'Raw Inputs'!BY92</x:f>
        <x:v>-0.02052927656961745</x:v>
      </x:c>
      <x:c r="M96" s="271" t="n">
        <x:f>'Raw Inputs'!M92</x:f>
        <x:v>237801606021</x:v>
      </x:c>
      <x:c r="N96" s="20" t="str">
        <x:f>'Raw Inputs'!CC92</x:f>
        <x:v>https://data.sec.gov/api/xbrl/companyfacts/CIK0001707925.json</x:v>
      </x:c>
    </x:row>
    <x:row r="97">
      <x:c r="A97" s="237" t="n">
        <x:f>RANK(D97,$D$5:$D$121,0)</x:f>
        <x:v>93</x:v>
      </x:c>
      <x:c r="B97" s="236" t="str">
        <x:f>'Raw Inputs'!A55</x:f>
        <x:v>TW</x:v>
      </x:c>
      <x:c r="C97" s="236" t="str">
        <x:f>'Raw Inputs'!B55</x:f>
        <x:v>Tradeweb Markets Inc.</x:v>
      </x:c>
      <x:c r="D97" s="238" t="n">
        <x:f>1+9*'Raw Inputs'!BC55</x:f>
        <x:v>2.862068965517241</x:v>
      </x:c>
      <x:c r="E97" s="268" t="n">
        <x:f>'Raw Inputs'!BB55</x:f>
        <x:v>0.008739268481921175</x:v>
      </x:c>
      <x:c r="F97" s="268" t="n">
        <x:f>'Raw Inputs'!BD55</x:f>
        <x:v>0.004330934952152804</x:v>
      </x:c>
      <x:c r="G97" s="268" t="n">
        <x:f>'Raw Inputs'!BG55</x:f>
        <x:v>0.00440833352976837</x:v>
      </x:c>
      <x:c r="H97" s="236" t="str">
        <x:f>'Raw Inputs'!BH55</x:f>
        <x:v>cash repurchases less issuance</x:v>
      </x:c>
      <x:c r="I97" s="268" t="n">
        <x:f>'Raw Inputs'!BI55</x:f>
        <x:v>0</x:v>
      </x:c>
      <x:c r="J97" s="271" t="n">
        <x:f>'Raw Inputs'!BK55</x:f>
        <x:v>104173000</x:v>
      </x:c>
      <x:c r="K97" s="271" t="n">
        <x:f>'Raw Inputs'!BL55</x:f>
        <x:v>0</x:v>
      </x:c>
      <x:c r="L97" s="268" t="n">
        <x:f>'Raw Inputs'!BY55</x:f>
        <x:v>-0.00012340597532722875</x:v>
      </x:c>
      <x:c r="M97" s="271" t="n">
        <x:f>'Raw Inputs'!M55</x:f>
        <x:v>23630925223</x:v>
      </x:c>
      <x:c r="N97" s="20" t="str">
        <x:f>'Raw Inputs'!CC55</x:f>
        <x:v>https://data.sec.gov/api/xbrl/companyfacts/CIK0001758730.json</x:v>
      </x:c>
    </x:row>
    <x:row r="98">
      <x:c r="A98" s="237" t="n">
        <x:f>RANK(D98,$D$5:$D$121,0)</x:f>
        <x:v>94</x:v>
      </x:c>
      <x:c r="B98" s="236" t="str">
        <x:f>'Raw Inputs'!A77</x:f>
        <x:v>G</x:v>
      </x:c>
      <x:c r="C98" s="236" t="str">
        <x:f>'Raw Inputs'!B77</x:f>
        <x:v>Genpact Ltd.</x:v>
      </x:c>
      <x:c r="D98" s="238" t="n">
        <x:f>1+9*'Raw Inputs'!BC77</x:f>
        <x:v>2.7844827586206895</x:v>
      </x:c>
      <x:c r="E98" s="268" t="n">
        <x:f>'Raw Inputs'!BB77</x:f>
        <x:v>0.008018992394021443</x:v>
      </x:c>
      <x:c r="F98" s="268" t="n">
        <x:f>'Raw Inputs'!BD77</x:f>
        <x:v>0.02279769895016158</x:v>
      </x:c>
      <x:c r="G98" s="268" t="n">
        <x:f>'Raw Inputs'!BG77</x:f>
        <x:v>0.047345105369834994</x:v>
      </x:c>
      <x:c r="H98" s="236" t="str">
        <x:f>'Raw Inputs'!BH77</x:f>
        <x:v>cash repurchases less issuance</x:v>
      </x:c>
      <x:c r="I98" s="268" t="n">
        <x:f>'Raw Inputs'!BI77</x:f>
        <x:v>-0.06212381192597513</x:v>
      </x:c>
      <x:c r="J98" s="271" t="n">
        <x:f>'Raw Inputs'!BK77</x:f>
        <x:v>252671000</x:v>
      </x:c>
      <x:c r="K98" s="271" t="n">
        <x:f>'Raw Inputs'!BL77</x:f>
        <x:v>8140000</x:v>
      </x:c>
      <x:c r="L98" s="268" t="n">
        <x:f>'Raw Inputs'!BY77</x:f>
        <x:v>-0.021005991568243565</x:v>
      </x:c>
      <x:c r="M98" s="271" t="n">
        <x:f>'Raw Inputs'!M77</x:f>
        <x:v>5164863360</x:v>
      </x:c>
      <x:c r="N98" s="20" t="str">
        <x:f>'Raw Inputs'!CC77</x:f>
        <x:v>https://data.sec.gov/api/xbrl/companyfacts/CIK0001398659.json</x:v>
      </x:c>
    </x:row>
    <x:row r="99">
      <x:c r="A99" s="237" t="n">
        <x:f>RANK(D99,$D$5:$D$121,0)</x:f>
        <x:v>95</x:v>
      </x:c>
      <x:c r="B99" s="236" t="str">
        <x:f>'Raw Inputs'!A70</x:f>
        <x:v>TYL</x:v>
      </x:c>
      <x:c r="C99" s="236" t="str">
        <x:f>'Raw Inputs'!B70</x:f>
        <x:v>Tyler Technologies Inc.</x:v>
      </x:c>
      <x:c r="D99" s="238" t="n">
        <x:f>1+9*'Raw Inputs'!BC70</x:f>
        <x:v>2.706896551724138</x:v>
      </x:c>
      <x:c r="E99" s="268" t="n">
        <x:f>'Raw Inputs'!BB70</x:f>
        <x:v>0.0058726419858025755</x:v>
      </x:c>
      <x:c r="F99" s="268" t="n">
        <x:f>'Raw Inputs'!BD70</x:f>
        <x:v>0</x:v>
      </x:c>
      <x:c r="G99" s="268" t="n">
        <x:f>'Raw Inputs'!BG70</x:f>
        <x:v>0.006005881688106204</x:v>
      </x:c>
      <x:c r="H99" s="236" t="str">
        <x:f>'Raw Inputs'!BH70</x:f>
        <x:v>cash repurchases less issuance</x:v>
      </x:c>
      <x:c r="I99" s="268" t="n">
        <x:f>'Raw Inputs'!BI70</x:f>
        <x:v>-0.00013323970230362896</x:v>
      </x:c>
      <x:c r="J99" s="271" t="n">
        <x:f>'Raw Inputs'!BK70</x:f>
        <x:v>174650000</x:v>
      </x:c>
      <x:c r="K99" s="271" t="n">
        <x:f>'Raw Inputs'!BL70</x:f>
        <x:v>96714000</x:v>
      </x:c>
      <x:c r="L99" s="268" t="n">
        <x:f>'Raw Inputs'!BY70</x:f>
        <x:v>0.007241878750258612</x:v>
      </x:c>
      <x:c r="M99" s="271" t="n">
        <x:f>'Raw Inputs'!M70</x:f>
        <x:v>12976612602</x:v>
      </x:c>
      <x:c r="N99" s="20" t="str">
        <x:f>'Raw Inputs'!CC70</x:f>
        <x:v>https://data.sec.gov/api/xbrl/companyfacts/CIK0000860731.json</x:v>
      </x:c>
    </x:row>
    <x:row r="100">
      <x:c r="A100" s="237" t="n">
        <x:f>RANK(D100,$D$5:$D$121,0)</x:f>
        <x:v>96</x:v>
      </x:c>
      <x:c r="B100" s="236" t="str">
        <x:f>'Raw Inputs'!A41</x:f>
        <x:v>BRK-B</x:v>
      </x:c>
      <x:c r="C100" s="236" t="str">
        <x:f>'Raw Inputs'!B41</x:f>
        <x:v>Berkshire Hathaway Inc.</x:v>
      </x:c>
      <x:c r="D100" s="238" t="n">
        <x:f>1+9*'Raw Inputs'!BC41</x:f>
        <x:v>2.6293103448275863</x:v>
      </x:c>
      <x:c r="E100" s="268" t="n">
        <x:f>'Raw Inputs'!BB41</x:f>
        <x:v>0.002699617710388433</x:v>
      </x:c>
      <x:c r="F100" s="268" t="n">
        <x:f>'Raw Inputs'!BD41</x:f>
        <x:v>0</x:v>
      </x:c>
      <x:c r="G100" s="268" t="n">
        <x:f>'Raw Inputs'!BG41</x:f>
        <x:v>0.002699617710388433</x:v>
      </x:c>
      <x:c r="H100" s="236" t="str">
        <x:f>'Raw Inputs'!BH41</x:f>
        <x:v>cash repurchases less issuance</x:v>
      </x:c>
      <x:c r="I100" s="268" t="n">
        <x:f>'Raw Inputs'!BI41</x:f>
        <x:v>0</x:v>
      </x:c>
      <x:c r="J100" s="271" t="n">
        <x:f>'Raw Inputs'!BK41</x:f>
        <x:v>2918000000</x:v>
      </x:c>
      <x:c r="K100" s="271" t="n">
        <x:f>'Raw Inputs'!BL41</x:f>
        <x:v>0</x:v>
      </x:c>
      <x:c r="L100" s="268" t="n">
        <x:f>'Raw Inputs'!BY41</x:f>
        <x:v>-0.00009552126930123528</x:v>
      </x:c>
      <x:c r="M100" s="271" t="n">
        <x:f>'Raw Inputs'!M41</x:f>
        <x:v>1080893783135</x:v>
      </x:c>
      <x:c r="N100" s="20" t="str">
        <x:f>'Raw Inputs'!CC41</x:f>
        <x:v>https://data.sec.gov/api/xbrl/companyfacts/CIK0001067983.json</x:v>
      </x:c>
    </x:row>
    <x:row r="101">
      <x:c r="A101" s="237" t="n">
        <x:f>RANK(D101,$D$5:$D$121,0)</x:f>
        <x:v>97</x:v>
      </x:c>
      <x:c r="B101" s="236" t="str">
        <x:f>'Raw Inputs'!A86</x:f>
        <x:v>ED</x:v>
      </x:c>
      <x:c r="C101" s="236" t="str">
        <x:f>'Raw Inputs'!B86</x:f>
        <x:v>Consolidated Edison Inc.</x:v>
      </x:c>
      <x:c r="D101" s="238" t="n">
        <x:f>1+9*'Raw Inputs'!BC86</x:f>
        <x:v>2.5517241379310347</x:v>
      </x:c>
      <x:c r="E101" s="268" t="n">
        <x:f>'Raw Inputs'!BB86</x:f>
        <x:v>0.0018270168802795965</x:v>
      </x:c>
      <x:c r="F101" s="268" t="n">
        <x:f>'Raw Inputs'!BD86</x:f>
        <x:v>0.028404022432080126</x:v>
      </x:c>
      <x:c r="G101" s="268" t="n">
        <x:f>'Raw Inputs'!BG86</x:f>
        <x:v>0</x:v>
      </x:c>
      <x:c r="H101" s="236" t="str">
        <x:f>'Raw Inputs'!BH86</x:f>
        <x:v>cash repurchases less issuance</x:v>
      </x:c>
      <x:c r="I101" s="268" t="n">
        <x:f>'Raw Inputs'!BI86</x:f>
        <x:v>-0.02657700555180053</x:v>
      </x:c>
      <x:c r="J101" s="271" t="n">
        <x:f>'Raw Inputs'!BK86</x:f>
        <x:v>0</x:v>
      </x:c>
      <x:c r="K101" s="271" t="n">
        <x:f>'Raw Inputs'!BL86</x:f>
        <x:v>0</x:v>
      </x:c>
      <x:c r="L101" s="268" t="n">
        <x:f>'Raw Inputs'!BY86</x:f>
        <x:v>0.03282464727900947</x:v>
      </x:c>
      <x:c r="M101" s="271" t="n">
        <x:f>'Raw Inputs'!M86</x:f>
        <x:v>41050523840</x:v>
      </x:c>
      <x:c r="N101" s="20" t="str">
        <x:f>'Raw Inputs'!CC86</x:f>
        <x:v>https://data.sec.gov/api/xbrl/companyfacts/CIK0001047862.json</x:v>
      </x:c>
    </x:row>
    <x:row r="102">
      <x:c r="A102" s="237" t="n">
        <x:f>RANK(D102,$D$5:$D$121,0)</x:f>
        <x:v>98</x:v>
      </x:c>
      <x:c r="B102" s="236" t="str">
        <x:f>'Raw Inputs'!A74</x:f>
        <x:v>ENSG</x:v>
      </x:c>
      <x:c r="C102" s="236" t="str">
        <x:f>'Raw Inputs'!B74</x:f>
        <x:v>The Ensign Group Inc.</x:v>
      </x:c>
      <x:c r="D102" s="238" t="n">
        <x:f>1+9*'Raw Inputs'!BC74</x:f>
        <x:v>2.4741379310344827</x:v>
      </x:c>
      <x:c r="E102" s="268" t="n">
        <x:f>'Raw Inputs'!BB74</x:f>
        <x:v>0.0009530812481449054</x:v>
      </x:c>
      <x:c r="F102" s="268" t="n">
        <x:f>'Raw Inputs'!BD74</x:f>
        <x:v>0.0014530153180033947</x:v>
      </x:c>
      <x:c r="G102" s="268" t="n">
        <x:f>'Raw Inputs'!BG74</x:f>
        <x:v>-0.0009119410503832548</x:v>
      </x:c>
      <x:c r="H102" s="236" t="str">
        <x:f>'Raw Inputs'!BH74</x:f>
        <x:v>cash repurchases less issuance</x:v>
      </x:c>
      <x:c r="I102" s="268" t="n">
        <x:f>'Raw Inputs'!BI74</x:f>
        <x:v>0.0004120069805247655</x:v>
      </x:c>
      <x:c r="J102" s="271" t="n">
        <x:f>'Raw Inputs'!BK74</x:f>
        <x:v>20000000</x:v>
      </x:c>
      <x:c r="K102" s="271" t="n">
        <x:f>'Raw Inputs'!BL74</x:f>
        <x:v>29044000</x:v>
      </x:c>
      <x:c r="L102" s="268" t="n">
        <x:f>'Raw Inputs'!BY74</x:f>
        <x:v>0.010868818681318615</x:v>
      </x:c>
      <x:c r="M102" s="271" t="n">
        <x:f>'Raw Inputs'!M74</x:f>
        <x:v>9917307699</x:v>
      </x:c>
      <x:c r="N102" s="20" t="str">
        <x:f>'Raw Inputs'!CC74</x:f>
        <x:v>https://data.sec.gov/api/xbrl/companyfacts/CIK0001125376.json</x:v>
      </x:c>
    </x:row>
    <x:row r="103">
      <x:c r="A103" s="237" t="n">
        <x:f>RANK(D103,$D$5:$D$121,0)</x:f>
        <x:v>99</x:v>
      </x:c>
      <x:c r="B103" s="236" t="str">
        <x:f>'Raw Inputs'!A78</x:f>
        <x:v>T</x:v>
      </x:c>
      <x:c r="C103" s="236" t="str">
        <x:f>'Raw Inputs'!B78</x:f>
        <x:v>AT&amp;T Inc.</x:v>
      </x:c>
      <x:c r="D103" s="238" t="n">
        <x:f>1+9*'Raw Inputs'!BC78</x:f>
        <x:v>2.396551724137931</x:v>
      </x:c>
      <x:c r="E103" s="268" t="n">
        <x:f>'Raw Inputs'!BB78</x:f>
        <x:v>0.0005171155119334733</x:v>
      </x:c>
      <x:c r="F103" s="268" t="n">
        <x:f>'Raw Inputs'!BD78</x:f>
        <x:v>0.05493512841059544</x:v>
      </x:c>
      <x:c r="G103" s="268" t="n">
        <x:f>'Raw Inputs'!BG78</x:f>
        <x:v>0.03021432062582749</x:v>
      </x:c>
      <x:c r="H103" s="236" t="str">
        <x:f>'Raw Inputs'!BH78</x:f>
        <x:v>cash repurchases less issuance</x:v>
      </x:c>
      <x:c r="I103" s="268" t="n">
        <x:f>'Raw Inputs'!BI78</x:f>
        <x:v>-0.08463233352448946</x:v>
      </x:c>
      <x:c r="J103" s="271" t="n">
        <x:f>'Raw Inputs'!BK78</x:f>
        <x:v>4500000000</x:v>
      </x:c>
      <x:c r="K103" s="271" t="n">
        <x:f>'Raw Inputs'!BL78</x:f>
        <x:v>1000000</x:v>
      </x:c>
      <x:c r="L103" s="268" t="n">
        <x:f>'Raw Inputs'!BY78</x:f>
        <x:v>-0.003470294280955022</x:v>
      </x:c>
      <x:c r="M103" s="271" t="n">
        <x:f>'Raw Inputs'!M78</x:f>
        <x:v>148902901234</x:v>
      </x:c>
      <x:c r="N103" s="20" t="str">
        <x:f>'Raw Inputs'!CC78</x:f>
        <x:v>https://data.sec.gov/api/xbrl/companyfacts/CIK0000732717.json</x:v>
      </x:c>
    </x:row>
    <x:row r="104">
      <x:c r="A104" s="237" t="n">
        <x:f>RANK(D104,$D$5:$D$121,0)</x:f>
        <x:v>100</x:v>
      </x:c>
      <x:c r="B104" s="236" t="str">
        <x:f>'Raw Inputs'!A104</x:f>
        <x:v>AWK</x:v>
      </x:c>
      <x:c r="C104" s="236" t="str">
        <x:f>'Raw Inputs'!B104</x:f>
        <x:v>American Water Works Co. Inc.</x:v>
      </x:c>
      <x:c r="D104" s="238" t="n">
        <x:f>1+9*'Raw Inputs'!BC104</x:f>
        <x:v>2.318965517241379</x:v>
      </x:c>
      <x:c r="E104" s="268" t="n">
        <x:f>'Raw Inputs'!BB104</x:f>
        <x:v>-0.0029650263261704925</x:v>
      </x:c>
      <x:c r="F104" s="268" t="n">
        <x:f>'Raw Inputs'!BD104</x:f>
        <x:v>0.02469554821665686</x:v>
      </x:c>
      <x:c r="G104" s="268" t="n">
        <x:f>'Raw Inputs'!BG104</x:f>
        <x:v>0</x:v>
      </x:c>
      <x:c r="H104" s="236" t="str">
        <x:f>'Raw Inputs'!BH104</x:f>
        <x:v>cash repurchases less issuance</x:v>
      </x:c>
      <x:c r="I104" s="268" t="n">
        <x:f>'Raw Inputs'!BI104</x:f>
        <x:v>-0.027660574542827353</x:v>
      </x:c>
      <x:c r="J104" s="271" t="n">
        <x:f>'Raw Inputs'!BK104</x:f>
        <x:v>0</x:v>
      </x:c>
      <x:c r="K104" s="271" t="n">
        <x:f>'Raw Inputs'!BL104</x:f>
        <x:v>0</x:v>
      </x:c>
      <x:c r="L104" s="268" t="n">
        <x:f>'Raw Inputs'!BY104</x:f>
        <x:v>0</x:v>
      </x:c>
      <x:c r="M104" s="271" t="n">
        <x:f>'Raw Inputs'!M104</x:f>
        <x:v>25632150153</x:v>
      </x:c>
      <x:c r="N104" s="20" t="str">
        <x:f>'Raw Inputs'!CC104</x:f>
        <x:v>https://data.sec.gov/api/xbrl/companyfacts/CIK0001410636.json</x:v>
      </x:c>
    </x:row>
    <x:row r="105">
      <x:c r="A105" s="237" t="n">
        <x:f>RANK(D105,$D$5:$D$121,0)</x:f>
        <x:v>101</x:v>
      </x:c>
      <x:c r="B105" s="236" t="str">
        <x:f>'Raw Inputs'!A107</x:f>
        <x:v>CE</x:v>
      </x:c>
      <x:c r="C105" s="236" t="str">
        <x:f>'Raw Inputs'!B107</x:f>
        <x:v>Celanese Corp.</x:v>
      </x:c>
      <x:c r="D105" s="238" t="n">
        <x:f>1+9*'Raw Inputs'!BC107</x:f>
        <x:v>2.2413793103448274</x:v>
      </x:c>
      <x:c r="E105" s="268" t="n">
        <x:f>'Raw Inputs'!BB107</x:f>
        <x:v>-0.014482572601333414</x:v>
      </x:c>
      <x:c r="F105" s="268" t="n">
        <x:f>'Raw Inputs'!BD107</x:f>
        <x:v>0.002510312584231125</x:v>
      </x:c>
      <x:c r="G105" s="268" t="n">
        <x:f>'Raw Inputs'!BG107</x:f>
        <x:v>-0.00019310096801777884</x:v>
      </x:c>
      <x:c r="H105" s="236" t="str">
        <x:f>'Raw Inputs'!BH107</x:f>
        <x:v>cash repurchases less issuance</x:v>
      </x:c>
      <x:c r="I105" s="268" t="n">
        <x:f>'Raw Inputs'!BI107</x:f>
        <x:v>-0.01679978421754676</x:v>
      </x:c>
      <x:c r="J105" s="271" t="n">
        <x:f>'Raw Inputs'!BK107</x:f>
        <x:v>0</x:v>
      </x:c>
      <x:c r="K105" s="271" t="n">
        <x:f>'Raw Inputs'!BL107</x:f>
        <x:v>1000000</x:v>
      </x:c>
      <x:c r="L105" s="268" t="n">
        <x:f>'Raw Inputs'!BY107</x:f>
        <x:v>0.0023475348097918847</x:v>
      </x:c>
      <x:c r="M105" s="271" t="n">
        <x:f>'Raw Inputs'!M107</x:f>
        <x:v>5178637944</x:v>
      </x:c>
      <x:c r="N105" s="20" t="str">
        <x:f>'Raw Inputs'!CC107</x:f>
        <x:v>https://data.sec.gov/api/xbrl/companyfacts/CIK0001306830.json</x:v>
      </x:c>
    </x:row>
    <x:row r="106">
      <x:c r="A106" s="237" t="n">
        <x:f>RANK(D106,$D$5:$D$121,0)</x:f>
        <x:v>102</x:v>
      </x:c>
      <x:c r="B106" s="236" t="str">
        <x:f>'Raw Inputs'!A84</x:f>
        <x:v>SBRA</x:v>
      </x:c>
      <x:c r="C106" s="236" t="str">
        <x:f>'Raw Inputs'!B84</x:f>
        <x:v>Sabra Health Care REIT Inc.</x:v>
      </x:c>
      <x:c r="D106" s="238" t="n">
        <x:f>1+9*'Raw Inputs'!BC84</x:f>
        <x:v>2.163793103448276</x:v>
      </x:c>
      <x:c r="E106" s="268" t="n">
        <x:f>'Raw Inputs'!BB84</x:f>
        <x:v>-0.01554001062289178</x:v>
      </x:c>
      <x:c r="F106" s="268" t="n">
        <x:f>'Raw Inputs'!BD84</x:f>
        <x:v>0.05819678997316146</x:v>
      </x:c>
      <x:c r="G106" s="268" t="n">
        <x:f>'Raw Inputs'!BG84</x:f>
        <x:v>-0.07373680059605324</x:v>
      </x:c>
      <x:c r="H106" s="236" t="str">
        <x:f>'Raw Inputs'!BH84</x:f>
        <x:v>cash repurchases less issuance</x:v>
      </x:c>
      <x:c r="I106" s="268" t="n">
        <x:f>'Raw Inputs'!BI84</x:f>
        <x:v>0</x:v>
      </x:c>
      <x:c r="J106" s="271" t="n">
        <x:f>'Raw Inputs'!BK84</x:f>
        <x:v>0</x:v>
      </x:c>
      <x:c r="K106" s="271" t="n">
        <x:f>'Raw Inputs'!BL84</x:f>
        <x:v>366800000</x:v>
      </x:c>
      <x:c r="L106" s="268" t="n">
        <x:f>'Raw Inputs'!BY84</x:f>
        <x:v>0.03580397439883942</x:v>
      </x:c>
      <x:c r="M106" s="271" t="n">
        <x:f>'Raw Inputs'!M84</x:f>
        <x:v>4974449624</x:v>
      </x:c>
      <x:c r="N106" s="20" t="str">
        <x:f>'Raw Inputs'!CC84</x:f>
        <x:v>https://data.sec.gov/api/xbrl/companyfacts/CIK0001492298.json</x:v>
      </x:c>
    </x:row>
    <x:row r="107">
      <x:c r="A107" s="237" t="n">
        <x:f>RANK(D107,$D$5:$D$121,0)</x:f>
        <x:v>103</x:v>
      </x:c>
      <x:c r="B107" s="236" t="str">
        <x:f>'Raw Inputs'!A108</x:f>
        <x:v>DUK</x:v>
      </x:c>
      <x:c r="C107" s="236" t="str">
        <x:f>'Raw Inputs'!B108</x:f>
        <x:v>Duke Energy Corp.</x:v>
      </x:c>
      <x:c r="D107" s="238" t="n">
        <x:f>1+9*'Raw Inputs'!BC108</x:f>
        <x:v>2.086206896551724</x:v>
      </x:c>
      <x:c r="E107" s="268" t="n">
        <x:f>'Raw Inputs'!BB108</x:f>
        <x:v>-0.017752820668789707</x:v>
      </x:c>
      <x:c r="F107" s="268" t="n">
        <x:f>'Raw Inputs'!BD108</x:f>
        <x:v>0.033688503856817736</x:v>
      </x:c>
      <x:c r="G107" s="268" t="n">
        <x:f>'Raw Inputs'!BG108</x:f>
        <x:v>0.015149618098035613</x:v>
      </x:c>
      <x:c r="H107" s="236" t="str">
        <x:f>'Raw Inputs'!BH108</x:f>
        <x:v>cash repurchases less issuance</x:v>
      </x:c>
      <x:c r="I107" s="268" t="n">
        <x:f>'Raw Inputs'!BI108</x:f>
        <x:v>-0.06659094262364305</x:v>
      </x:c>
      <x:c r="J107" s="271" t="n">
        <x:f>'Raw Inputs'!BK108</x:f>
        <x:v>1500000000</x:v>
      </x:c>
      <x:c r="K107" s="271" t="n">
        <x:f>'Raw Inputs'!BL108</x:f>
        <x:v>16000000</x:v>
      </x:c>
      <x:c r="L107" s="268" t="n">
        <x:f>'Raw Inputs'!BY108</x:f>
        <x:v>0.006476683937823857</x:v>
      </x:c>
      <x:c r="M107" s="271" t="n">
        <x:f>'Raw Inputs'!M108</x:f>
        <x:v>97956264666</x:v>
      </x:c>
      <x:c r="N107" s="20" t="str">
        <x:f>'Raw Inputs'!CC108</x:f>
        <x:v>https://data.sec.gov/api/xbrl/companyfacts/CIK0001326160.json</x:v>
      </x:c>
    </x:row>
    <x:row r="108">
      <x:c r="A108" s="237" t="n">
        <x:f>RANK(D108,$D$5:$D$121,0)</x:f>
        <x:v>104</x:v>
      </x:c>
      <x:c r="B108" s="236" t="str">
        <x:f>'Raw Inputs'!A110</x:f>
        <x:v>WTRG</x:v>
      </x:c>
      <x:c r="C108" s="236" t="str">
        <x:f>'Raw Inputs'!B110</x:f>
        <x:v>Essential Utilities Inc.</x:v>
      </x:c>
      <x:c r="D108" s="238" t="n">
        <x:f>1+9*'Raw Inputs'!BC110</x:f>
        <x:v>2.0086206896551726</x:v>
      </x:c>
      <x:c r="E108" s="268" t="n">
        <x:f>'Raw Inputs'!BB110</x:f>
        <x:v>-0.022455045167677275</x:v>
      </x:c>
      <x:c r="F108" s="268" t="n">
        <x:f>'Raw Inputs'!BD110</x:f>
        <x:v>0.03417097129120172</x:v>
      </x:c>
      <x:c r="G108" s="268" t="n">
        <x:f>'Raw Inputs'!BG110</x:f>
        <x:v>0.00012139245755245393</x:v>
      </x:c>
      <x:c r="H108" s="236" t="str">
        <x:f>'Raw Inputs'!BH110</x:f>
        <x:v>cash repurchases less issuance</x:v>
      </x:c>
      <x:c r="I108" s="268" t="n">
        <x:f>'Raw Inputs'!BI110</x:f>
        <x:v>-0.056747408916431444</x:v>
      </x:c>
      <x:c r="J108" s="271" t="n">
        <x:f>'Raw Inputs'!BK110</x:f>
        <x:v>2284000</x:v>
      </x:c>
      <x:c r="K108" s="271" t="n">
        <x:f>'Raw Inputs'!BL110</x:f>
        <x:v>956000</x:v>
      </x:c>
      <x:c r="L108" s="268" t="n">
        <x:f>'Raw Inputs'!BY110</x:f>
        <x:v>0.022585735056719347</x:v>
      </x:c>
      <x:c r="M108" s="271" t="n">
        <x:f>'Raw Inputs'!M110</x:f>
        <x:v>10939724154</x:v>
      </x:c>
      <x:c r="N108" s="20" t="str">
        <x:f>'Raw Inputs'!CC110</x:f>
        <x:v>https://data.sec.gov/api/xbrl/companyfacts/CIK0000078128.json</x:v>
      </x:c>
    </x:row>
    <x:row r="109">
      <x:c r="A109" s="237" t="n">
        <x:f>RANK(D109,$D$5:$D$121,0)</x:f>
        <x:v>105</x:v>
      </x:c>
      <x:c r="B109" s="236" t="str">
        <x:f>'Raw Inputs'!A71</x:f>
        <x:v>ROP</x:v>
      </x:c>
      <x:c r="C109" s="236" t="str">
        <x:f>'Raw Inputs'!B71</x:f>
        <x:v>Roper Technologies Inc.</x:v>
      </x:c>
      <x:c r="D109" s="238" t="n">
        <x:f>1+9*'Raw Inputs'!BC71</x:f>
        <x:v>1.9310344827586206</x:v>
      </x:c>
      <x:c r="E109" s="268" t="n">
        <x:f>'Raw Inputs'!BB71</x:f>
        <x:v>-0.026518499063368166</x:v>
      </x:c>
      <x:c r="F109" s="268" t="n">
        <x:f>'Raw Inputs'!BD71</x:f>
        <x:v>0.01003631894189307</x:v>
      </x:c>
      <x:c r="G109" s="268" t="n">
        <x:f>'Raw Inputs'!BG71</x:f>
        <x:v>0.010884458570785443</x:v>
      </x:c>
      <x:c r="H109" s="236" t="str">
        <x:f>'Raw Inputs'!BH71</x:f>
        <x:v>cash repurchases less issuance</x:v>
      </x:c>
      <x:c r="I109" s="268" t="n">
        <x:f>'Raw Inputs'!BI71</x:f>
        <x:v>-0.04743927657604668</x:v>
      </x:c>
      <x:c r="J109" s="271" t="n">
        <x:f>'Raw Inputs'!BK71</x:f>
        <x:v>500000000</x:v>
      </x:c>
      <x:c r="K109" s="271" t="n">
        <x:f>'Raw Inputs'!BL71</x:f>
        <x:v>115000000</x:v>
      </x:c>
      <x:c r="L109" s="268" t="n">
        <x:f>'Raw Inputs'!BY71</x:f>
        <x:v>0.0018518518518517713</x:v>
      </x:c>
      <x:c r="M109" s="271" t="n">
        <x:f>'Raw Inputs'!M71</x:f>
        <x:v>35371534330</x:v>
      </x:c>
      <x:c r="N109" s="20" t="str">
        <x:f>'Raw Inputs'!CC71</x:f>
        <x:v>https://data.sec.gov/api/xbrl/companyfacts/CIK0000882835.json</x:v>
      </x:c>
    </x:row>
    <x:row r="110">
      <x:c r="A110" s="237" t="n">
        <x:f>RANK(D110,$D$5:$D$121,0)</x:f>
        <x:v>106</x:v>
      </x:c>
      <x:c r="B110" s="236" t="str">
        <x:f>'Raw Inputs'!A69</x:f>
        <x:v>FCFS</x:v>
      </x:c>
      <x:c r="C110" s="236" t="str">
        <x:f>'Raw Inputs'!B69</x:f>
        <x:v>FirstCash Holdings Inc.</x:v>
      </x:c>
      <x:c r="D110" s="238" t="n">
        <x:f>1+9*'Raw Inputs'!BC69</x:f>
        <x:v>1.853448275862069</x:v>
      </x:c>
      <x:c r="E110" s="268" t="n">
        <x:f>'Raw Inputs'!BB69</x:f>
        <x:v>-0.03125158392150471</x:v>
      </x:c>
      <x:c r="F110" s="268" t="n">
        <x:f>'Raw Inputs'!BD69</x:f>
        <x:v>0.007656736369482533</x:v>
      </x:c>
      <x:c r="G110" s="268" t="n">
        <x:f>'Raw Inputs'!BG69</x:f>
        <x:v>0.012515347466217736</x:v>
      </x:c>
      <x:c r="H110" s="236" t="str">
        <x:f>'Raw Inputs'!BH69</x:f>
        <x:v>cash repurchases less issuance</x:v>
      </x:c>
      <x:c r="I110" s="268" t="n">
        <x:f>'Raw Inputs'!BI69</x:f>
        <x:v>-0.05142366775720498</x:v>
      </x:c>
      <x:c r="J110" s="271" t="n">
        <x:f>'Raw Inputs'!BK69</x:f>
        <x:v>115849000</x:v>
      </x:c>
      <x:c r="K110" s="271" t="n">
        <x:f>'Raw Inputs'!BL69</x:f>
        <x:v>0</x:v>
      </x:c>
      <x:c r="L110" s="268" t="n">
        <x:f>'Raw Inputs'!BY69</x:f>
        <x:v>-0.01421360255047821</x:v>
      </x:c>
      <x:c r="M110" s="271" t="n">
        <x:f>'Raw Inputs'!M69</x:f>
        <x:v>9256554827</x:v>
      </x:c>
      <x:c r="N110" s="20" t="str">
        <x:f>'Raw Inputs'!CC69</x:f>
        <x:v>https://data.sec.gov/api/xbrl/companyfacts/CIK0000840489.json</x:v>
      </x:c>
    </x:row>
    <x:row r="111">
      <x:c r="A111" s="237" t="n">
        <x:f>RANK(D111,$D$5:$D$121,0)</x:f>
        <x:v>107</x:v>
      </x:c>
      <x:c r="B111" s="236" t="str">
        <x:f>'Raw Inputs'!A57</x:f>
        <x:v>VRSK</x:v>
      </x:c>
      <x:c r="C111" s="236" t="str">
        <x:f>'Raw Inputs'!B57</x:f>
        <x:v>Verisk Analytics Inc.</x:v>
      </x:c>
      <x:c r="D111" s="238" t="n">
        <x:f>1+9*'Raw Inputs'!BC57</x:f>
        <x:v>1.7758620689655173</x:v>
      </x:c>
      <x:c r="E111" s="268" t="n">
        <x:f>'Raw Inputs'!BB57</x:f>
        <x:v>-0.03417631748292145</x:v>
      </x:c>
      <x:c r="F111" s="268" t="n">
        <x:f>'Raw Inputs'!BD57</x:f>
        <x:v>0.009932492268474048</x:v>
      </x:c>
      <x:c r="G111" s="268" t="n">
        <x:f>'Raw Inputs'!BG57</x:f>
        <x:v>0.022432163940468472</x:v>
      </x:c>
      <x:c r="H111" s="236" t="str">
        <x:f>'Raw Inputs'!BH57</x:f>
        <x:v>cash repurchases less issuance</x:v>
      </x:c>
      <x:c r="I111" s="268" t="n">
        <x:f>'Raw Inputs'!BI57</x:f>
        <x:v>-0.06654097369186397</x:v>
      </x:c>
      <x:c r="J111" s="271" t="n">
        <x:f>'Raw Inputs'!BK57</x:f>
        <x:v>624000000</x:v>
      </x:c>
      <x:c r="K111" s="271" t="n">
        <x:f>'Raw Inputs'!BL57</x:f>
        <x:v>56900000</x:v>
      </x:c>
      <x:c r="L111" s="268" t="n">
        <x:f>'Raw Inputs'!BY57</x:f>
        <x:v>-0.01931842845864784</x:v>
      </x:c>
      <x:c r="M111" s="271" t="n">
        <x:f>'Raw Inputs'!M57</x:f>
        <x:v>25280664028</x:v>
      </x:c>
      <x:c r="N111" s="20" t="str">
        <x:f>'Raw Inputs'!CC57</x:f>
        <x:v>https://data.sec.gov/api/xbrl/companyfacts/CIK0001442145.json</x:v>
      </x:c>
    </x:row>
    <x:row r="112">
      <x:c r="A112" s="237" t="n">
        <x:f>RANK(D112,$D$5:$D$121,0)</x:f>
        <x:v>108</x:v>
      </x:c>
      <x:c r="B112" s="236" t="str">
        <x:f>'Raw Inputs'!A109</x:f>
        <x:v>EIX</x:v>
      </x:c>
      <x:c r="C112" s="236" t="str">
        <x:f>'Raw Inputs'!B109</x:f>
        <x:v>Edison International</x:v>
      </x:c>
      <x:c r="D112" s="238" t="n">
        <x:f>1+9*'Raw Inputs'!BC109</x:f>
        <x:v>1.6982758620689655</x:v>
      </x:c>
      <x:c r="E112" s="268" t="n">
        <x:f>'Raw Inputs'!BB109</x:f>
        <x:v>-0.03821356971719994</x:v>
      </x:c>
      <x:c r="F112" s="268" t="n">
        <x:f>'Raw Inputs'!BD109</x:f>
        <x:v>0.04312142410957726</x:v>
      </x:c>
      <x:c r="G112" s="268" t="n">
        <x:f>'Raw Inputs'!BG109</x:f>
        <x:v>0.0004061672600588125</x:v>
      </x:c>
      <x:c r="H112" s="236" t="str">
        <x:f>'Raw Inputs'!BH109</x:f>
        <x:v>cash repurchases less issuance</x:v>
      </x:c>
      <x:c r="I112" s="268" t="n">
        <x:f>'Raw Inputs'!BI109</x:f>
        <x:v>-0.08174116108683602</x:v>
      </x:c>
      <x:c r="J112" s="271" t="n">
        <x:f>'Raw Inputs'!BK109</x:f>
        <x:v>32000000</x:v>
      </x:c>
      <x:c r="K112" s="271" t="n">
        <x:f>'Raw Inputs'!BL109</x:f>
        <x:v>20000000</x:v>
      </x:c>
      <x:c r="L112" s="268" t="n">
        <x:f>'Raw Inputs'!BY109</x:f>
        <x:v>-0.005154639175257714</x:v>
      </x:c>
      <x:c r="M112" s="271" t="n">
        <x:f>'Raw Inputs'!M109</x:f>
        <x:v>29544478790</x:v>
      </x:c>
      <x:c r="N112" s="20" t="str">
        <x:f>'Raw Inputs'!CC109</x:f>
        <x:v>https://data.sec.gov/api/xbrl/companyfacts/CIK0000827052.json</x:v>
      </x:c>
    </x:row>
    <x:row r="113">
      <x:c r="A113" s="237" t="n">
        <x:f>RANK(D113,$D$5:$D$121,0)</x:f>
        <x:v>109</x:v>
      </x:c>
      <x:c r="B113" s="236" t="str">
        <x:f>'Raw Inputs'!A65</x:f>
        <x:v>COR</x:v>
      </x:c>
      <x:c r="C113" s="236" t="str">
        <x:f>'Raw Inputs'!B65</x:f>
        <x:v>Cencora Inc.</x:v>
      </x:c>
      <x:c r="D113" s="238" t="n">
        <x:f>1+9*'Raw Inputs'!BC65</x:f>
        <x:v>1.6206896551724137</x:v>
      </x:c>
      <x:c r="E113" s="268" t="n">
        <x:f>'Raw Inputs'!BB65</x:f>
        <x:v>-0.04095564079649906</x:v>
      </x:c>
      <x:c r="F113" s="268" t="n">
        <x:f>'Raw Inputs'!BD65</x:f>
        <x:v>0.0073688282835371694</x:v>
      </x:c>
      <x:c r="G113" s="268" t="n">
        <x:f>'Raw Inputs'!BG65</x:f>
        <x:v>0.006850526440352993</x:v>
      </x:c>
      <x:c r="H113" s="236" t="str">
        <x:f>'Raw Inputs'!BH65</x:f>
        <x:v>cash repurchases less issuance</x:v>
      </x:c>
      <x:c r="I113" s="268" t="n">
        <x:f>'Raw Inputs'!BI65</x:f>
        <x:v>-0.05517499552038922</x:v>
      </x:c>
      <x:c r="J113" s="271" t="n">
        <x:f>'Raw Inputs'!BK65</x:f>
        <x:v>435471000</x:v>
      </x:c>
      <x:c r="K113" s="271" t="n">
        <x:f>'Raw Inputs'!BL65</x:f>
        <x:v>29133000</x:v>
      </x:c>
      <x:c r="L113" s="268" t="n">
        <x:f>'Raw Inputs'!BY65</x:f>
        <x:v>-0.025314054043258594</x:v>
      </x:c>
      <x:c r="M113" s="271" t="n">
        <x:f>'Raw Inputs'!M65</x:f>
        <x:v>59314857557</x:v>
      </x:c>
      <x:c r="N113" s="20" t="str">
        <x:f>'Raw Inputs'!CC65</x:f>
        <x:v>https://data.sec.gov/api/xbrl/companyfacts/CIK0001140859.json</x:v>
      </x:c>
    </x:row>
    <x:row r="114">
      <x:c r="A114" s="237" t="n">
        <x:f>RANK(D114,$D$5:$D$121,0)</x:f>
        <x:v>110</x:v>
      </x:c>
      <x:c r="B114" s="236" t="str">
        <x:f>'Raw Inputs'!A95</x:f>
        <x:v>ADC</x:v>
      </x:c>
      <x:c r="C114" s="236" t="str">
        <x:f>'Raw Inputs'!B95</x:f>
        <x:v>Agree Realty Corp. REIT</x:v>
      </x:c>
      <x:c r="D114" s="238" t="n">
        <x:f>1+9*'Raw Inputs'!BC95</x:f>
        <x:v>1.543103448275862</x:v>
      </x:c>
      <x:c r="E114" s="268" t="n">
        <x:f>'Raw Inputs'!BB95</x:f>
        <x:v>-0.05965445423179942</x:v>
      </x:c>
      <x:c r="F114" s="268" t="n">
        <x:f>'Raw Inputs'!BD95</x:f>
        <x:v>0.03629348020512063</x:v>
      </x:c>
      <x:c r="G114" s="268" t="n">
        <x:f>'Raw Inputs'!BG95</x:f>
        <x:v>-0.09594793443692005</x:v>
      </x:c>
      <x:c r="H114" s="236" t="str">
        <x:f>'Raw Inputs'!BH95</x:f>
        <x:v>cash repurchases less issuance</x:v>
      </x:c>
      <x:c r="I114" s="268" t="n">
        <x:f>'Raw Inputs'!BI95</x:f>
        <x:v>0</x:v>
      </x:c>
      <x:c r="J114" s="271" t="n">
        <x:f>'Raw Inputs'!BK95</x:f>
        <x:v>3740000</x:v>
      </x:c>
      <x:c r="K114" s="271" t="n">
        <x:f>'Raw Inputs'!BL95</x:f>
        <x:v>904311000</x:v>
      </x:c>
      <x:c r="L114" s="268" t="n">
        <x:f>'Raw Inputs'!BY95</x:f>
        <x:v>0.09152610208552514</x:v>
      </x:c>
      <x:c r="M114" s="271" t="n">
        <x:f>'Raw Inputs'!M95</x:f>
        <x:v>9386038431</x:v>
      </x:c>
      <x:c r="N114" s="20" t="str">
        <x:f>'Raw Inputs'!CC95</x:f>
        <x:v>https://data.sec.gov/api/xbrl/companyfacts/CIK0000917251.json</x:v>
      </x:c>
    </x:row>
    <x:row r="115">
      <x:c r="A115" s="237" t="n">
        <x:f>RANK(D115,$D$5:$D$121,0)</x:f>
        <x:v>111</x:v>
      </x:c>
      <x:c r="B115" s="236" t="str">
        <x:f>'Raw Inputs'!A98</x:f>
        <x:v>PAYX</x:v>
      </x:c>
      <x:c r="C115" s="236" t="str">
        <x:f>'Raw Inputs'!B98</x:f>
        <x:v>Paychex Inc.</x:v>
      </x:c>
      <x:c r="D115" s="238" t="n">
        <x:f>1+9*'Raw Inputs'!BC98</x:f>
        <x:v>1.4655172413793103</x:v>
      </x:c>
      <x:c r="E115" s="268" t="n">
        <x:f>'Raw Inputs'!BB98</x:f>
        <x:v>-0.06499716741713599</x:v>
      </x:c>
      <x:c r="F115" s="268" t="n">
        <x:f>'Raw Inputs'!BD98</x:f>
        <x:v>0.03625833667246456</x:v>
      </x:c>
      <x:c r="G115" s="268" t="n">
        <x:f>'Raw Inputs'!BG98</x:f>
        <x:v>0.002615806822418051</x:v>
      </x:c>
      <x:c r="H115" s="236" t="str">
        <x:f>'Raw Inputs'!BH98</x:f>
        <x:v>cash repurchases less issuance</x:v>
      </x:c>
      <x:c r="I115" s="268" t="n">
        <x:f>'Raw Inputs'!BI98</x:f>
        <x:v>-0.1038713109120186</x:v>
      </x:c>
      <x:c r="J115" s="271" t="n">
        <x:f>'Raw Inputs'!BK98</x:f>
        <x:v>104500000</x:v>
      </x:c>
      <x:c r="K115" s="271" t="n">
        <x:f>'Raw Inputs'!BL98</x:f>
        <x:v>0</x:v>
      </x:c>
      <x:c r="L115" s="268" t="n">
        <x:f>'Raw Inputs'!BY98</x:f>
        <x:v>-0.0002761668047500665</x:v>
      </x:c>
      <x:c r="M115" s="271" t="n">
        <x:f>'Raw Inputs'!M98</x:f>
        <x:v>39949433232</x:v>
      </x:c>
      <x:c r="N115" s="20" t="str">
        <x:f>'Raw Inputs'!CC98</x:f>
        <x:v>https://data.sec.gov/api/xbrl/companyfacts/CIK0000723531.json</x:v>
      </x:c>
    </x:row>
    <x:row r="116">
      <x:c r="A116" s="237" t="n">
        <x:f>RANK(D116,$D$5:$D$121,0)</x:f>
        <x:v>112</x:v>
      </x:c>
      <x:c r="B116" s="236" t="str">
        <x:f>'Raw Inputs'!A35</x:f>
        <x:v>AR</x:v>
      </x:c>
      <x:c r="C116" s="236" t="str">
        <x:f>'Raw Inputs'!B35</x:f>
        <x:v>Antero Resources Corp.</x:v>
      </x:c>
      <x:c r="D116" s="238" t="n">
        <x:f>1+9*'Raw Inputs'!BC35</x:f>
        <x:v>1.3879310344827587</x:v>
      </x:c>
      <x:c r="E116" s="268" t="n">
        <x:f>'Raw Inputs'!BB35</x:f>
        <x:v>-0.07587974158632374</x:v>
      </x:c>
      <x:c r="F116" s="268" t="n">
        <x:f>'Raw Inputs'!BD35</x:f>
        <x:v>0</x:v>
      </x:c>
      <x:c r="G116" s="268" t="n">
        <x:f>'Raw Inputs'!BG35</x:f>
        <x:v>-0.08470309552270838</x:v>
      </x:c>
      <x:c r="H116" s="236" t="str">
        <x:f>'Raw Inputs'!BH35</x:f>
        <x:v>cash repurchases less issuance</x:v>
      </x:c>
      <x:c r="I116" s="268" t="n">
        <x:f>'Raw Inputs'!BI35</x:f>
        <x:v>0.008823353936384644</x:v>
      </x:c>
      <x:c r="J116" s="271" t="n">
        <x:f>'Raw Inputs'!BK35</x:f>
        <x:v>136404000</x:v>
      </x:c>
      <x:c r="K116" s="271" t="n">
        <x:f>'Raw Inputs'!BL35</x:f>
        <x:v>1012431000</x:v>
      </x:c>
      <x:c r="L116" s="268" t="n">
        <x:f>'Raw Inputs'!BY35</x:f>
        <x:v>-0.003359773334949967</x:v>
      </x:c>
      <x:c r="M116" s="271" t="n">
        <x:f>'Raw Inputs'!M35</x:f>
        <x:v>10342325680</x:v>
      </x:c>
      <x:c r="N116" s="20" t="str">
        <x:f>'Raw Inputs'!CC35</x:f>
        <x:v>https://data.sec.gov/api/xbrl/companyfacts/CIK0001433270.json</x:v>
      </x:c>
    </x:row>
    <x:row r="117">
      <x:c r="A117" s="237" t="n">
        <x:f>RANK(D117,$D$5:$D$121,0)</x:f>
        <x:v>113</x:v>
      </x:c>
      <x:c r="B117" s="236" t="str">
        <x:f>'Raw Inputs'!A103</x:f>
        <x:v>PCG</x:v>
      </x:c>
      <x:c r="C117" s="236" t="str">
        <x:f>'Raw Inputs'!B103</x:f>
        <x:v>PG&amp;E Corp.</x:v>
      </x:c>
      <x:c r="D117" s="238" t="n">
        <x:f>1+9*'Raw Inputs'!BC103</x:f>
        <x:v>1.3103448275862069</x:v>
      </x:c>
      <x:c r="E117" s="268" t="n">
        <x:f>'Raw Inputs'!BB103</x:f>
        <x:v>-0.07977964913752614</x:v>
      </x:c>
      <x:c r="F117" s="268" t="n">
        <x:f>'Raw Inputs'!BD103</x:f>
        <x:v>0.0018384377882709666</x:v>
      </x:c>
      <x:c r="G117" s="268" t="n">
        <x:f>'Raw Inputs'!BG103</x:f>
        <x:v>0</x:v>
      </x:c>
      <x:c r="H117" s="236" t="str">
        <x:f>'Raw Inputs'!BH103</x:f>
        <x:v>cash repurchases less issuance</x:v>
      </x:c>
      <x:c r="I117" s="268" t="n">
        <x:f>'Raw Inputs'!BI103</x:f>
        <x:v>-0.0816180869257971</x:v>
      </x:c>
      <x:c r="J117" s="271" t="n">
        <x:f>'Raw Inputs'!BK103</x:f>
        <x:v>0</x:v>
      </x:c>
      <x:c r="K117" s="271" t="n">
        <x:f>'Raw Inputs'!BL103</x:f>
        <x:v>0</x:v>
      </x:c>
      <x:c r="L117" s="268" t="n">
        <x:f>'Raw Inputs'!BY103</x:f>
        <x:v>0.02561714019562178</x:v>
      </x:c>
      <x:c r="M117" s="271" t="n">
        <x:f>'Raw Inputs'!M103</x:f>
        <x:v>46778846991</x:v>
      </x:c>
      <x:c r="N117" s="20" t="str">
        <x:f>'Raw Inputs'!CC103</x:f>
        <x:v>https://data.sec.gov/api/xbrl/companyfacts/CIK0001004980.json</x:v>
      </x:c>
    </x:row>
    <x:row r="118">
      <x:c r="A118" s="237" t="n">
        <x:f>RANK(D118,$D$5:$D$121,0)</x:f>
        <x:v>114</x:v>
      </x:c>
      <x:c r="B118" s="236" t="str">
        <x:f>'Raw Inputs'!A114</x:f>
        <x:v>EXC</x:v>
      </x:c>
      <x:c r="C118" s="236" t="str">
        <x:f>'Raw Inputs'!B114</x:f>
        <x:v>Exelon Corp.</x:v>
      </x:c>
      <x:c r="D118" s="238" t="n">
        <x:f>1+9*'Raw Inputs'!BC114</x:f>
        <x:v>1.2327586206896552</x:v>
      </x:c>
      <x:c r="E118" s="268" t="n">
        <x:f>'Raw Inputs'!BB114</x:f>
        <x:v>-0.0804949131097944</x:v>
      </x:c>
      <x:c r="F118" s="268" t="n">
        <x:f>'Raw Inputs'!BD114</x:f>
        <x:v>0.03394895005178339</x:v>
      </x:c>
      <x:c r="G118" s="268" t="n">
        <x:f>'Raw Inputs'!BG114</x:f>
        <x:v>-0.01450755997883879</x:v>
      </x:c>
      <x:c r="H118" s="236" t="str">
        <x:f>'Raw Inputs'!BH114</x:f>
        <x:v>cash repurchases less issuance</x:v>
      </x:c>
      <x:c r="I118" s="268" t="n">
        <x:f>'Raw Inputs'!BI114</x:f>
        <x:v>-0.099936303182739</x:v>
      </x:c>
      <x:c r="J118" s="271" t="n">
        <x:f>'Raw Inputs'!BK114</x:f>
        <x:v>0</x:v>
      </x:c>
      <x:c r="K118" s="271" t="n">
        <x:f>'Raw Inputs'!BL114</x:f>
        <x:v>691000000</x:v>
      </x:c>
      <x:c r="L118" s="268" t="n">
        <x:f>'Raw Inputs'!BY114</x:f>
        <x:v>0.008973080757726848</x:v>
      </x:c>
      <x:c r="M118" s="271" t="n">
        <x:f>'Raw Inputs'!M114</x:f>
        <x:v>47630339010</x:v>
      </x:c>
      <x:c r="N118" s="20" t="str">
        <x:f>'Raw Inputs'!CC114</x:f>
        <x:v>https://data.sec.gov/api/xbrl/companyfacts/CIK0001109357.json</x:v>
      </x:c>
    </x:row>
    <x:row r="119">
      <x:c r="A119" s="237" t="n">
        <x:f>RANK(D119,$D$5:$D$121,0)</x:f>
        <x:v>115</x:v>
      </x:c>
      <x:c r="B119" s="236" t="str">
        <x:f>'Raw Inputs'!A112</x:f>
        <x:v>CMS</x:v>
      </x:c>
      <x:c r="C119" s="236" t="str">
        <x:f>'Raw Inputs'!B112</x:f>
        <x:v>CMS Energy Corp.</x:v>
      </x:c>
      <x:c r="D119" s="238" t="n">
        <x:f>1+9*'Raw Inputs'!BC112</x:f>
        <x:v>1.1551724137931034</x:v>
      </x:c>
      <x:c r="E119" s="268" t="n">
        <x:f>'Raw Inputs'!BB112</x:f>
        <x:v>-0.10172716344151739</x:v>
      </x:c>
      <x:c r="F119" s="268" t="n">
        <x:f>'Raw Inputs'!BD112</x:f>
        <x:v>0.023635332442156803</x:v>
      </x:c>
      <x:c r="G119" s="268" t="n">
        <x:f>'Raw Inputs'!BG112</x:f>
        <x:v>-0.022726281194381543</x:v>
      </x:c>
      <x:c r="H119" s="236" t="str">
        <x:f>'Raw Inputs'!BH112</x:f>
        <x:v>cash repurchases less issuance</x:v>
      </x:c>
      <x:c r="I119" s="268" t="n">
        <x:f>'Raw Inputs'!BI112</x:f>
        <x:v>-0.10263621468929264</x:v>
      </x:c>
      <x:c r="J119" s="271" t="n">
        <x:f>'Raw Inputs'!BK112</x:f>
        <x:v>0</x:v>
      </x:c>
      <x:c r="K119" s="271" t="n">
        <x:f>'Raw Inputs'!BL112</x:f>
        <x:v>525000000</x:v>
      </x:c>
      <x:c r="L119" s="268" t="n">
        <x:f>'Raw Inputs'!BY112</x:f>
        <x:v>0.009051290646999721</x:v>
      </x:c>
      <x:c r="M119" s="271" t="n">
        <x:f>'Raw Inputs'!M112</x:f>
        <x:v>23101007838</x:v>
      </x:c>
      <x:c r="N119" s="20" t="str">
        <x:f>'Raw Inputs'!CC112</x:f>
        <x:v>https://data.sec.gov/api/xbrl/companyfacts/CIK0000811156.json</x:v>
      </x:c>
    </x:row>
    <x:row r="120">
      <x:c r="A120" s="237" t="n">
        <x:f>RANK(D120,$D$5:$D$121,0)</x:f>
        <x:v>116</x:v>
      </x:c>
      <x:c r="B120" s="236" t="str">
        <x:f>'Raw Inputs'!A85</x:f>
        <x:v>CACI</x:v>
      </x:c>
      <x:c r="C120" s="236" t="str">
        <x:f>'Raw Inputs'!B85</x:f>
        <x:v>CACI International Inc.</x:v>
      </x:c>
      <x:c r="D120" s="238" t="n">
        <x:f>1+9*'Raw Inputs'!BC85</x:f>
        <x:v>1.0775862068965518</x:v>
      </x:c>
      <x:c r="E120" s="268" t="n">
        <x:f>'Raw Inputs'!BB85</x:f>
        <x:v>-0.11533804091957627</x:v>
      </x:c>
      <x:c r="F120" s="268" t="n">
        <x:f>'Raw Inputs'!BD85</x:f>
        <x:v>0</x:v>
      </x:c>
      <x:c r="G120" s="268" t="n">
        <x:f>'Raw Inputs'!BG85</x:f>
        <x:v>0.016035721797147087</x:v>
      </x:c>
      <x:c r="H120" s="236" t="str">
        <x:f>'Raw Inputs'!BH85</x:f>
        <x:v>cash repurchases less issuance</x:v>
      </x:c>
      <x:c r="I120" s="268" t="n">
        <x:f>'Raw Inputs'!BI85</x:f>
        <x:v>-0.13137376271672335</x:v>
      </x:c>
      <x:c r="J120" s="271" t="n">
        <x:f>'Raw Inputs'!BK85</x:f>
        <x:v>168563000</x:v>
      </x:c>
      <x:c r="K120" s="271" t="n">
        <x:f>'Raw Inputs'!BL85</x:f>
        <x:v>691000</x:v>
      </x:c>
      <x:c r="L120" s="268" t="n">
        <x:f>'Raw Inputs'!BY85</x:f>
        <x:v>-0.007974128383467005</x:v>
      </x:c>
      <x:c r="M120" s="271" t="n">
        <x:f>'Raw Inputs'!M85</x:f>
        <x:v>10468627613</x:v>
      </x:c>
      <x:c r="N120" s="20" t="str">
        <x:f>'Raw Inputs'!CC85</x:f>
        <x:v>https://data.sec.gov/api/xbrl/companyfacts/CIK0000016058.json</x:v>
      </x:c>
    </x:row>
    <x:row r="121">
      <x:c r="A121" s="237" t="n">
        <x:f>RANK(D121,$D$5:$D$121,0)</x:f>
        <x:v>117</x:v>
      </x:c>
      <x:c r="B121" s="236" t="str">
        <x:f>'Raw Inputs'!A117</x:f>
        <x:v>VNOM</x:v>
      </x:c>
      <x:c r="C121" s="236" t="str">
        <x:f>'Raw Inputs'!B117</x:f>
        <x:v>Viper Energy Inc.</x:v>
      </x:c>
      <x:c r="D121" s="238" t="n">
        <x:f>1+9*'Raw Inputs'!BC117</x:f>
        <x:v>1</x:v>
      </x:c>
      <x:c r="E121" s="268" t="n">
        <x:f>'Raw Inputs'!BB117</x:f>
        <x:v>-0.13116801683526946</x:v>
      </x:c>
      <x:c r="F121" s="268" t="n">
        <x:f>'Raw Inputs'!BD117</x:f>
        <x:v>0.02143652691677548</x:v>
      </x:c>
      <x:c r="G121" s="268" t="n">
        <x:f>'Raw Inputs'!BG117</x:f>
        <x:v>-0.08051768646788839</x:v>
      </x:c>
      <x:c r="H121" s="236" t="str">
        <x:f>'Raw Inputs'!BH117</x:f>
        <x:v>cash repurchases less issuance</x:v>
      </x:c>
      <x:c r="I121" s="268" t="n">
        <x:f>'Raw Inputs'!BI117</x:f>
        <x:v>-0.07208685728415656</x:v>
      </x:c>
      <x:c r="J121" s="271" t="n">
        <x:f>'Raw Inputs'!BK117</x:f>
        <x:v>0</x:v>
      </x:c>
      <x:c r="K121" s="271" t="n">
        <x:f>'Raw Inputs'!BL117</x:f>
        <x:v>1232000000</x:v>
      </x:c>
      <x:c r="L121" s="268" t="n">
        <x:f>'Raw Inputs'!BY117</x:f>
        <x:v>0.5173742707490525</x:v>
      </x:c>
      <x:c r="M121" s="271" t="n">
        <x:f>'Raw Inputs'!M117</x:f>
        <x:v>15300986082</x:v>
      </x:c>
      <x:c r="N121" s="20" t="str">
        <x:f>'Raw Inputs'!CC117</x:f>
        <x:v>https://data.sec.gov/api/xbrl/companyfacts/CIK0002074176.json</x:v>
      </x:c>
    </x:row>
  </x:sheetData>
  <x:mergeCells>
    <x:mergeCell ref="A1:N1"/>
    <x:mergeCell ref="A2:N2"/>
    <x:mergeCell ref="A3:N3"/>
  </x:mergeCells>
  <x:conditionalFormatting sqref="D5:D12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legacyDrawing xmlns:r="http://schemas.openxmlformats.org/officeDocument/2006/relationships" r:id="Rfb029ee92107478b"/>
  <x:tableParts count="1">
    <x:tablePart xmlns:r="http://schemas.openxmlformats.org/officeDocument/2006/relationships" r:id="Rc0052bcf876e4e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30" hidden="0" customWidth="1"/>
    <x:col min="5" max="5" width="38" hidden="0" customWidth="1"/>
    <x:col min="6" max="6" width="33" hidden="0" customWidth="1"/>
    <x:col min="7" max="7" width="31" hidden="0" customWidth="1"/>
  </x:cols>
  <x:sheetData>
    <x:row r="1" ht="34" customHeight="1">
      <x:c r="A1" s="283" t="str">
        <x:v>Methodology — Six-Factor Ranking</x:v>
      </x:c>
      <x:c r="B1" s="283"/>
      <x:c r="C1" s="283"/>
      <x:c r="D1" s="283"/>
      <x:c r="E1" s="283"/>
      <x:c r="F1" s="283"/>
      <x:c r="G1" s="283"/>
    </x:row>
    <x:row r="2">
      <x:c r="A2" s="292" t="str">
        <x:v>Score = 1 + 9 x cohort percentile. The new Analyst Revisions factor receives 16.67%; the original five weights are multiplied by 5/6, preserving their relative importance. Missing factors are proportionally renormalized.</x:v>
      </x:c>
      <x:c r="B2" s="293"/>
      <x:c r="C2" s="293"/>
      <x:c r="D2" s="293"/>
      <x:c r="E2" s="293"/>
      <x:c r="F2" s="293"/>
      <x:c r="G2" s="294"/>
    </x:row>
    <x:row r="4">
      <x:c r="A4" s="311" t="str">
        <x:v>Factor</x:v>
      </x:c>
      <x:c r="B4" s="311" t="str">
        <x:v>Direction</x:v>
      </x:c>
      <x:c r="C4" s="311" t="str">
        <x:v>Overall Weight</x:v>
      </x:c>
      <x:c r="D4" s="311" t="str">
        <x:v>Raw metrics</x:v>
      </x:c>
      <x:c r="E4" s="311" t="str">
        <x:v>Composite rule</x:v>
      </x:c>
      <x:c r="F4" s="311" t="str">
        <x:v>Special handling</x:v>
      </x:c>
      <x:c r="G4" s="311" t="str">
        <x:v>Interpretation</x:v>
      </x:c>
    </x:row>
    <x:row r="5">
      <x:c r="A5" s="273" t="str">
        <x:v>Quality</x:v>
      </x:c>
      <x:c r="B5" s="273" t="str">
        <x:v>Higher is stronger</x:v>
      </x:c>
      <x:c r="C5" s="277" t="n">
        <x:v>0.25</x:v>
      </x:c>
      <x:c r="D5" s="273" t="str">
        <x:v>ROE; balance-sheet accruals; financial leverage</x:v>
      </x:c>
      <x:c r="E5" s="273" t="str">
        <x:v>Frozen five-factor score</x:v>
      </x:c>
      <x:c r="F5" s="273" t="str">
        <x:v>Original 2026-07-10 sector handling preserved</x:v>
      </x:c>
      <x:c r="G5" s="273" t="str">
        <x:v>Business and balance-sheet quality</x:v>
      </x:c>
    </x:row>
    <x:row r="6">
      <x:c r="A6" s="273" t="str">
        <x:v>Fundamental Momentum</x:v>
      </x:c>
      <x:c r="B6" s="273" t="str">
        <x:v>Higher is stronger</x:v>
      </x:c>
      <x:c r="C6" s="277" t="n">
        <x:v>0.25</x:v>
      </x:c>
      <x:c r="D6" s="273" t="str">
        <x:v>SUE; CAR3</x:v>
      </x:c>
      <x:c r="E6" s="273" t="str">
        <x:v>Frozen five-factor score</x:v>
      </x:c>
      <x:c r="F6" s="273" t="str">
        <x:v>Original 2026-07-10 fallbacks preserved</x:v>
      </x:c>
      <x:c r="G6" s="273" t="str">
        <x:v>Recent earnings improvement and announcement reaction</x:v>
      </x:c>
    </x:row>
    <x:row r="7">
      <x:c r="A7" s="273" t="str">
        <x:v>Analyst Revisions</x:v>
      </x:c>
      <x:c r="B7" s="273" t="str">
        <x:v>Higher is stronger</x:v>
      </x:c>
      <x:c r="C7" s="277" t="n">
        <x:v>0.16666666666666666</x:v>
      </x:c>
      <x:c r="D7" s="273" t="str">
        <x:v>Yahoo 0q EPS consensus now and 30 days earlier</x:v>
      </x:c>
      <x:c r="E7" s="273" t="str">
        <x:v>Revision = (current - prior) / abs(prior); cohort percentile to 1-10</x:v>
      </x:c>
      <x:c r="F7" s="273" t="str">
        <x:v>Blank if Yahoo data are missing or the 30-day prior estimate is near zero; thin analyst coverage is flagged</x:v>
      </x:c>
      <x:c r="G7" s="273" t="str">
        <x:v>Direction and magnitude of current-quarter Street estimate change</x:v>
      </x:c>
    </x:row>
    <x:row r="8">
      <x:c r="A8" s="273" t="str">
        <x:v>Valuation</x:v>
      </x:c>
      <x:c r="B8" s="273" t="str">
        <x:v>Higher is cheaper</x:v>
      </x:c>
      <x:c r="C8" s="277" t="n">
        <x:v>0.1111111111111111</x:v>
      </x:c>
      <x:c r="D8" s="273" t="str">
        <x:v>Earnings yield; FCF yield; book-to-price; sales-to-EV</x:v>
      </x:c>
      <x:c r="E8" s="273" t="str">
        <x:v>Frozen five-factor score</x:v>
      </x:c>
      <x:c r="F8" s="273" t="str">
        <x:v>Original 2026-07-10 sector handling preserved</x:v>
      </x:c>
      <x:c r="G8" s="273" t="str">
        <x:v>Cheapness relative to this cohort</x:v>
      </x:c>
    </x:row>
    <x:row r="9">
      <x:c r="A9" s="273" t="str">
        <x:v>Conservative Investment</x:v>
      </x:c>
      <x:c r="B9" s="273" t="str">
        <x:v>Higher is more conservative</x:v>
      </x:c>
      <x:c r="C9" s="277" t="n">
        <x:v>0.1111111111111111</x:v>
      </x:c>
      <x:c r="D9" s="273" t="str">
        <x:v>Inverse asset growth; inverse capex / average assets</x:v>
      </x:c>
      <x:c r="E9" s="273" t="str">
        <x:v>Frozen five-factor score</x:v>
      </x:c>
      <x:c r="F9" s="273" t="str">
        <x:v>Original 2026-07-10 sector handling preserved</x:v>
      </x:c>
      <x:c r="G9" s="273" t="str">
        <x:v>Lower balance-sheet and capital expansion</x:v>
      </x:c>
    </x:row>
    <x:row r="10">
      <x:c r="A10" s="273" t="str">
        <x:v>Shareholder Yield</x:v>
      </x:c>
      <x:c r="B10" s="273" t="str">
        <x:v>Higher returns more capital</x:v>
      </x:c>
      <x:c r="C10" s="277" t="n">
        <x:v>0.1111111111111111</x:v>
      </x:c>
      <x:c r="D10" s="273" t="str">
        <x:v>Dividend yield; net buyback yield; net debt paydown yield</x:v>
      </x:c>
      <x:c r="E10" s="273" t="str">
        <x:v>Frozen five-factor score</x:v>
      </x:c>
      <x:c r="F10" s="273" t="str">
        <x:v>Original 2026-07-10 sector handling preserved</x:v>
      </x:c>
      <x:c r="G10" s="273" t="str">
        <x:v>Capital returned or balance-sheet claims reduced</x:v>
      </x:c>
    </x:row>
    <x:row r="11">
      <x:c r="A11"/>
      <x:c r="B11"/>
      <x:c r="C11"/>
      <x:c r="D11"/>
      <x:c r="E11"/>
      <x:c r="F11"/>
      <x:c r="G11"/>
    </x:row>
    <x:row r="12" ht="44" customHeight="1">
      <x:c r="A12" s="529" t="str">
        <x:v>Definitions and Reliance Limits</x:v>
      </x:c>
      <x:c r="B12" s="530"/>
      <x:c r="C12" s="530"/>
      <x:c r="D12" s="530"/>
      <x:c r="E12" s="530"/>
      <x:c r="F12" s="530"/>
      <x:c r="G12" s="531"/>
    </x:row>
    <x:row r="13" ht="44" customHeight="1">
      <x:c r="A13" s="537" t="str">
        <x:v>Revision horizon</x:v>
      </x:c>
      <x:c r="B13" s="538"/>
      <x:c r="C13" s="292" t="str">
        <x:v>Yahoo Finance period bucket 0q is the current fiscal-quarter consensus. The endpoint supplies the current value and its 30-days-ago comparator; retrieval time is recorded on the Analyst Revisions tab.</x:v>
      </x:c>
      <x:c r="D13" s="293"/>
      <x:c r="E13" s="293"/>
      <x:c r="F13" s="293"/>
      <x:c r="G13" s="294"/>
    </x:row>
    <x:row r="14" ht="44" customHeight="1">
      <x:c r="A14" s="537" t="str">
        <x:v>Negative EPS</x:v>
      </x:c>
      <x:c r="B14" s="538"/>
      <x:c r="C14" s="292" t="str">
        <x:v>The denominator uses the absolute prior estimate, so a move toward less-negative EPS is positive and a move toward more-negative EPS is negative.</x:v>
      </x:c>
      <x:c r="D14" s="293"/>
      <x:c r="E14" s="293"/>
      <x:c r="F14" s="293"/>
      <x:c r="G14" s="294"/>
    </x:row>
    <x:row r="15" ht="44" customHeight="1">
      <x:c r="A15" s="537" t="str">
        <x:v>Overall score</x:v>
      </x:c>
      <x:c r="B15" s="538"/>
      <x:c r="C15" s="292" t="str">
        <x:v>Weighted six-factor score with available-weight renormalization. If Analyst Revisions is blank, the score reproduces the original five-factor weighting proportions.</x:v>
      </x:c>
      <x:c r="D15" s="293"/>
      <x:c r="E15" s="293"/>
      <x:c r="F15" s="293"/>
      <x:c r="G15" s="294"/>
    </x:row>
    <x:row r="16" ht="44" customHeight="1">
      <x:c r="A16" s="537" t="str">
        <x:v>Refresh dependency</x:v>
      </x:c>
      <x:c r="B16" s="538"/>
      <x:c r="C16" s="292" t="str">
        <x:v>None. Yahoo inputs are embedded as hardcoded source values and the ranking formulas calculate locally. A later rerun of the fetch script is required to refresh the source data.</x:v>
      </x:c>
      <x:c r="D16" s="293"/>
      <x:c r="E16" s="293"/>
      <x:c r="F16" s="293"/>
      <x:c r="G16" s="294"/>
    </x:row>
    <x:row r="17" ht="44" customHeight="1">
      <x:c r="A17" s="537" t="str">
        <x:v>Evidence posture</x:v>
      </x:c>
      <x:c r="B17" s="538"/>
      <x:c r="C17" s="292" t="str">
        <x:v>Screen-grade research prioritization, not an investment recommendation, target price, portfolio size, or substitute for issuer-specific diligence.</x:v>
      </x:c>
      <x:c r="D17" s="293"/>
      <x:c r="E17" s="293"/>
      <x:c r="F17" s="293"/>
      <x:c r="G17" s="294"/>
    </x:row>
  </x:sheetData>
  <x:mergeCells>
    <x:mergeCell ref="A1:G1"/>
    <x:mergeCell ref="A2:G2"/>
    <x:mergeCell ref="A12:G12"/>
    <x:mergeCell ref="A13:B13"/>
    <x:mergeCell ref="C13:G13"/>
    <x:mergeCell ref="A14:B14"/>
    <x:mergeCell ref="C14:G14"/>
    <x:mergeCell ref="A15:B15"/>
    <x:mergeCell ref="C15:G15"/>
    <x:mergeCell ref="A16:B16"/>
    <x:mergeCell ref="C16:G16"/>
    <x:mergeCell ref="A17:B17"/>
    <x:mergeCell ref="C17:G17"/>
  </x:mergeCells>
  <x:pageMargins left="0.7" right="0.7" top="0.75" bottom="0.75" header="0.3" footer="0.3"/>
  <x:legacyDrawing xmlns:r="http://schemas.openxmlformats.org/officeDocument/2006/relationships" r:id="Rd5285d7187c74204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5" hidden="0" customWidth="1"/>
    <x:col min="3" max="3" width="48" hidden="0" customWidth="1"/>
    <x:col min="4" max="4" width="43" hidden="0" customWidth="1"/>
    <x:col min="5" max="5" width="12" hidden="0" customWidth="1"/>
    <x:col min="6" max="6" width="12" hidden="0" customWidth="1"/>
    <x:col min="7" max="7" width="48" hidden="0" customWidth="1"/>
  </x:cols>
  <x:sheetData>
    <x:row r="1" ht="34" customHeight="1">
      <x:c r="A1" s="283" t="str">
        <x:v>Sources, Coverage and Checks</x:v>
      </x:c>
      <x:c r="B1" s="283"/>
      <x:c r="C1" s="283"/>
      <x:c r="D1" s="283"/>
      <x:c r="E1" s="283"/>
      <x:c r="F1" s="283"/>
      <x:c r="G1" s="283"/>
    </x:row>
    <x:row r="3">
      <x:c r="A3" s="311" t="str">
        <x:v>Source</x:v>
      </x:c>
      <x:c r="B3" s="311" t="str">
        <x:v>URL / Path</x:v>
      </x:c>
      <x:c r="C3" s="311" t="str">
        <x:v>Use</x:v>
      </x:c>
      <x:c r="D3" s="311" t="str">
        <x:v>As-of / Notes</x:v>
      </x:c>
    </x:row>
    <x:row r="4" ht="30" customHeight="1">
      <x:c r="A4" s="273" t="str">
        <x:v>Five-factor source workbook</x:v>
      </x:c>
      <x:c r="B4" s="278" t="str">
        <x:v>/Users/sashimi/Documents/New project/outputs/019f529c-fff3-7332-b1b6-ac195d2733da/latest_btal_low_beta_low_bad_beta_quality_fm_overweight_2026-07-10.xlsx</x:v>
      </x:c>
      <x:c r="C4" s="273" t="str">
        <x:v>Original low-beta / low-bad-beta factor scores and presentation baseline</x:v>
      </x:c>
      <x:c r="D4" s="273" t="str">
        <x:v>Frozen 2026-07-10</x:v>
      </x:c>
    </x:row>
    <x:row r="5" ht="30" customHeight="1">
      <x:c r="A5" s="273" t="str">
        <x:v>Five-factor source JSON</x:v>
      </x:c>
      <x:c r="B5" s="278" t="str">
        <x:v>/Users/sashimi/Documents/New project/outputs/019f529c-fff3-7332-b1b6-ac195d2733da/low_beta_low_bad_beta_five_factor_2026-07-10.json</x:v>
      </x:c>
      <x:c r="C5" s="273" t="str">
        <x:v>Row-auditable factor scores, holdings attributes and source fields</x:v>
      </x:c>
      <x:c r="D5" s="273" t="str">
        <x:v>Frozen 2026-07-10</x:v>
      </x:c>
    </x:row>
    <x:row r="6" ht="30" customHeight="1">
      <x:c r="A6" s="273" t="str">
        <x:v>Yahoo Finance via yfinance</x:v>
      </x:c>
      <x:c r="B6" s="278" t="str">
        <x:v>https://ranaroussi.github.io/yfinance/reference/yfinance.analysis.html</x:v>
      </x:c>
      <x:c r="C6" s="273" t="str">
        <x:v>Current-quarter EPS trend, 30-day history, revision counts and analyst coverage</x:v>
      </x:c>
      <x:c r="D6" s="273" t="str">
        <x:v>yfinance 1.5.2; retrieved 2026-08-09T16:45:09.969552Z; period 0q</x:v>
      </x:c>
    </x:row>
    <x:row r="7" ht="30" customHeight="1">
      <x:c r="A7" s="273" t="str">
        <x:v>Yahoo revision snapshot</x:v>
      </x:c>
      <x:c r="B7" s="278" t="str">
        <x:v>/Users/sashimi/Documents/New project/outputs/019fe752-8da9-7390-a6aa-3d788d8ed6a9/yfinance_analyst_revisions_2026-08-09.json</x:v>
      </x:c>
      <x:c r="C7" s="273" t="str">
        <x:v>Auditable row-level Yahoo inputs embedded in this workbook</x:v>
      </x:c>
      <x:c r="D7" s="273" t="str">
        <x:v>115 valid revision rows of 117</x:v>
      </x:c>
    </x:row>
    <x:row r="8" ht="30" customHeight="1">
      <x:c r="A8" s="273" t="str">
        <x:v>BTAL holdings input</x:v>
      </x:c>
      <x:c r="B8" s="278" t="str">
        <x:v>/Users/sashimi/Documents/New project/data/QSBTALUS_062026.csv</x:v>
      </x:c>
      <x:c r="C8" s="273" t="str">
        <x:v>Underlying holdings universe</x:v>
      </x:c>
      <x:c r="D8" s="273" t="str">
        <x:v>Holdings file as of 2026-07-10</x:v>
      </x:c>
    </x:row>
    <x:row r="9" ht="30" customHeight="1">
      <x:c r="A9" s="273" t="str">
        <x:v>SEC Company Facts / Submissions</x:v>
      </x:c>
      <x:c r="B9" s="278" t="str">
        <x:v>https://www.sec.gov/search-filings/edgar-application-programming-interfaces</x:v>
      </x:c>
      <x:c r="C9" s="273" t="str">
        <x:v>Original five-factor accounting and earnings-event inputs</x:v>
      </x:c>
      <x:c r="D9" s="273" t="str">
        <x:v>Captured in the frozen source JSON</x:v>
      </x:c>
    </x:row>
    <x:row r="10" ht="30" customHeight="1">
      <x:c r="A10" s="273" t="str">
        <x:v>Fundamental Momentum paper</x:v>
      </x:c>
      <x:c r="B10" s="278" t="str">
        <x:v>/Users/sashimi/Documents/New project/papers/MoM/Fundamentally, Momentum is Fundamental Momentum.pdf</x:v>
      </x:c>
      <x:c r="C10" s="273" t="str">
        <x:v>SUE and CAR3 definitions</x:v>
      </x:c>
      <x:c r="D10" s="273" t="str">
        <x:v>Robert Novy-Marx, 2015</x:v>
      </x:c>
    </x:row>
    <x:row r="11" ht="30" customHeight="1">
      <x:c r="A11" s="273" t="str">
        <x:v>S&amp;P Quality methodology</x:v>
      </x:c>
      <x:c r="B11" s="278" t="str">
        <x:v>https://www.spglobal.com/spdji/en/documents/methodologies/methodology-sp-quality-indices.pdf</x:v>
      </x:c>
      <x:c r="C11" s="273" t="str">
        <x:v>Original quality-factor definition</x:v>
      </x:c>
      <x:c r="D11" s="273" t="str">
        <x:v>Captured in the frozen source workbook</x:v>
      </x:c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 s="529" t="str">
        <x:v>Model Checks</x:v>
      </x:c>
      <x:c r="B14" s="530"/>
      <x:c r="C14" s="530"/>
      <x:c r="D14" s="530"/>
      <x:c r="E14" s="530"/>
      <x:c r="F14" s="530"/>
      <x:c r="G14" s="531"/>
    </x:row>
    <x:row r="15">
      <x:c r="A15" s="311" t="str">
        <x:v>Check</x:v>
      </x:c>
      <x:c r="B15" s="311" t="str">
        <x:v>Actual</x:v>
      </x:c>
      <x:c r="C15" s="311" t="str">
        <x:v>Expected</x:v>
      </x:c>
      <x:c r="D15" s="311" t="str">
        <x:v>Difference</x:v>
      </x:c>
      <x:c r="E15" s="311" t="str">
        <x:v>Tolerance</x:v>
      </x:c>
      <x:c r="F15" s="311" t="str">
        <x:v>Status</x:v>
      </x:c>
      <x:c r="G15" s="311" t="str">
        <x:v>Notes</x:v>
      </x:c>
    </x:row>
    <x:row r="16">
      <x:c r="A16" s="12" t="str">
        <x:v>Universe row count</x:v>
      </x:c>
      <x:c r="B16" s="279" t="n">
        <x:f>COUNTA('Six-Factor Calc'!$B$5:$B$121)</x:f>
        <x:v>117</x:v>
      </x:c>
      <x:c r="C16" s="279" t="n">
        <x:v>117</x:v>
      </x:c>
      <x:c r="D16" s="279" t="n">
        <x:f>B16-C16</x:f>
        <x:v>0</x:v>
      </x:c>
      <x:c r="E16" s="279" t="n">
        <x:v>0</x:v>
      </x:c>
      <x:c r="F16" s="12" t="str">
        <x:f>IF(ABS(D16)&lt;=E16,"OK","CHECK")</x:f>
        <x:v>OK</x:v>
      </x:c>
      <x:c r="G16" s="12" t="str">
        <x:v>All cohort names included</x:v>
      </x:c>
    </x:row>
    <x:row r="17">
      <x:c r="A17" s="12" t="str">
        <x:v>Yahoo symbols populated</x:v>
      </x:c>
      <x:c r="B17" s="279" t="n">
        <x:f>COUNTA('Analyst Revisions'!$D$5:$D$121)</x:f>
        <x:v>117</x:v>
      </x:c>
      <x:c r="C17" s="279" t="n">
        <x:v>117</x:v>
      </x:c>
      <x:c r="D17" s="279" t="n">
        <x:f>B17-C17</x:f>
        <x:v>0</x:v>
      </x:c>
      <x:c r="E17" s="279" t="n">
        <x:v>0</x:v>
      </x:c>
      <x:c r="F17" s="12" t="str">
        <x:f>IF(ABS(D17)&lt;=E17,"OK","CHECK")</x:f>
        <x:v>OK</x:v>
      </x:c>
      <x:c r="G17" s="12" t="str">
        <x:v>Every cohort name has a Yahoo query symbol</x:v>
      </x:c>
    </x:row>
    <x:row r="18">
      <x:c r="A18" s="12" t="str">
        <x:v>Overall weight sum</x:v>
      </x:c>
      <x:c r="B18" s="279" t="n">
        <x:f>SUM('Methodology'!$C$5:$C$10)</x:f>
        <x:v>1</x:v>
      </x:c>
      <x:c r="C18" s="279" t="n">
        <x:v>1</x:v>
      </x:c>
      <x:c r="D18" s="279" t="n">
        <x:f>B18-C18</x:f>
        <x:v>0</x:v>
      </x:c>
      <x:c r="E18" s="279" t="n">
        <x:v>0.0001</x:v>
      </x:c>
      <x:c r="F18" s="12" t="str">
        <x:f>IF(ABS(D18)&lt;=E18,"OK","CHECK")</x:f>
        <x:v>OK</x:v>
      </x:c>
      <x:c r="G18" s="12" t="str">
        <x:v>Six factor weights must sum to 100%</x:v>
      </x:c>
    </x:row>
    <x:row r="19">
      <x:c r="A19" s="12" t="str">
        <x:v>Ranked row count</x:v>
      </x:c>
      <x:c r="B19" s="279" t="n">
        <x:f>COUNT('Rankings'!$A$5:$A$121)</x:f>
        <x:v>117</x:v>
      </x:c>
      <x:c r="C19" s="279" t="n">
        <x:v>117</x:v>
      </x:c>
      <x:c r="D19" s="279" t="n">
        <x:f>B19-C19</x:f>
        <x:v>0</x:v>
      </x:c>
      <x:c r="E19" s="279" t="n">
        <x:v>0</x:v>
      </x:c>
      <x:c r="F19" s="12" t="str">
        <x:f>IF(ABS(D19)&lt;=E19,"OK","CHECK")</x:f>
        <x:v>OK</x:v>
      </x:c>
      <x:c r="G19" s="12" t="str">
        <x:v>All cohort rows remain ranked; missing revisions use available-weight renormalization</x:v>
      </x:c>
    </x:row>
    <x:row r="20">
      <x:c r="A20" s="12" t="str">
        <x:v>Baseline five-factor coverage</x:v>
      </x:c>
      <x:c r="B20" s="279" t="n">
        <x:f>COUNTIF('Six-Factor Calc'!$I$5:$I$121,"&gt;=5")</x:f>
        <x:v>117</x:v>
      </x:c>
      <x:c r="C20" s="279" t="n">
        <x:v>117</x:v>
      </x:c>
      <x:c r="D20" s="279" t="n">
        <x:f>B20-C20</x:f>
        <x:v>0</x:v>
      </x:c>
      <x:c r="E20" s="279" t="n">
        <x:v>0</x:v>
      </x:c>
      <x:c r="F20" s="12" t="str">
        <x:f>IF(ABS(D20)&lt;=E20,"OK","CHECK")</x:f>
        <x:v>OK</x:v>
      </x:c>
      <x:c r="G20" s="12" t="str">
        <x:v>All rows retain the five frozen scores</x:v>
      </x:c>
    </x:row>
    <x:row r="21" ht="34" customHeight="1">
      <x:c r="A21" s="12" t="str">
        <x:v>Revision rows loaded</x:v>
      </x:c>
      <x:c r="B21" s="279" t="n">
        <x:f>COUNT('Analyst Revisions'!$K$5:$K$121)</x:f>
        <x:v>115</x:v>
      </x:c>
      <x:c r="C21" s="279"/>
      <x:c r="D21" s="279"/>
      <x:c r="E21" s="279"/>
      <x:c r="F21" s="12" t="str">
        <x:v>INFO</x:v>
      </x:c>
      <x:c r="G21" s="273" t="str">
        <x:v>115 valid Yahoo revision scores are embedded; names without current-quarter data use available-weight renormalization.</x:v>
      </x:c>
    </x:row>
    <x:row r="22">
      <x:c r="A22"/>
      <x:c r="B22"/>
      <x:c r="C22"/>
      <x:c r="D22"/>
      <x:c r="E22"/>
      <x:c r="F22"/>
      <x:c r="G22"/>
    </x:row>
    <x:row r="23">
      <x:c r="A23" s="292" t="str">
        <x:v>Finance audit note: analyst revisions are screening-grade public consensus data from Yahoo Finance via yfinance 1.5.2, retrieved 2026-08-09T16:45:09.969552Z. No Capital IQ add-in is required. Yahoo data can be missing, delayed or revised.</x:v>
      </x:c>
      <x:c r="B23" s="293"/>
      <x:c r="C23" s="293"/>
      <x:c r="D23" s="293"/>
      <x:c r="E23" s="293"/>
      <x:c r="F23" s="293"/>
      <x:c r="G23" s="294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  <x:row r="28">
      <x:c r="A28"/>
      <x:c r="B28"/>
      <x:c r="C28"/>
      <x:c r="D28"/>
      <x:c r="E28"/>
      <x:c r="F28"/>
      <x:c r="G28"/>
    </x:row>
  </x:sheetData>
  <x:mergeCells>
    <x:mergeCell ref="A1:G1"/>
    <x:mergeCell ref="A14:G14"/>
    <x:mergeCell ref="A23:G23"/>
  </x:mergeCells>
  <x:conditionalFormatting sqref="F19:F26">
    <x:cfRule type="containsText" dxfId="2" priority="1" operator="containsText" text="OK"/>
    <x:cfRule type="containsText" dxfId="3" priority="2" operator="containsText" text="CHECK"/>
  </x:conditionalFormatting>
  <x:conditionalFormatting sqref="F16:F21">
    <x:cfRule type="containsText" dxfId="10" priority="3" operator="containsText" text="OK"/>
    <x:cfRule type="containsText" dxfId="11" priority="4" operator="containsText" text="CHECK"/>
    <x:cfRule type="containsText" dxfId="12" priority="5" operator="containsText" text="INFO"/>
  </x:conditionalFormatting>
  <x:pageMargins left="0.7" right="0.7" top="0.75" bottom="0.75" header="0.3" footer="0.3"/>
  <x:tableParts count="1">
    <x:tablePart xmlns:r="http://schemas.openxmlformats.org/officeDocument/2006/relationships" r:id="R5782c3269a2645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11" hidden="0" customWidth="1"/>
    <x:col min="4" max="4" width="13" hidden="0" customWidth="1"/>
    <x:col min="5" max="5" width="11" hidden="0" customWidth="1"/>
    <x:col min="6" max="6" width="11" hidden="0" customWidth="1"/>
    <x:col min="7" max="7" width="14" hidden="0" customWidth="1"/>
    <x:col min="8" max="8" width="18" hidden="0" customWidth="1"/>
    <x:col min="9" max="9" width="24" hidden="0" customWidth="1"/>
    <x:col min="10" max="10" width="12" hidden="0" customWidth="1"/>
    <x:col min="11" max="11" width="12" hidden="0" customWidth="1"/>
    <x:col min="12" max="12" width="11" hidden="0" customWidth="1"/>
    <x:col min="13" max="13" width="12" hidden="0" customWidth="1"/>
    <x:col min="14" max="14" width="19" hidden="0" customWidth="1"/>
    <x:col min="15" max="15" width="15" hidden="0" customWidth="1"/>
    <x:col min="16" max="16" width="30" hidden="0" customWidth="1"/>
    <x:col min="17" max="17" width="11" hidden="0" customWidth="1"/>
    <x:col min="18" max="18" width="30" hidden="0" customWidth="1"/>
    <x:col min="19" max="19" width="20" hidden="0" customWidth="1"/>
    <x:col min="20" max="20" width="19" hidden="0" customWidth="1"/>
    <x:col min="21" max="21" width="15" hidden="0" customWidth="1"/>
    <x:col min="22" max="22" width="20" hidden="0" customWidth="1"/>
    <x:col min="23" max="23" width="11" hidden="0" customWidth="1"/>
    <x:col min="24" max="24" width="11" hidden="0" customWidth="1"/>
    <x:col min="25" max="25" width="20" hidden="0" customWidth="1"/>
    <x:col min="26" max="26" width="12" hidden="0" customWidth="1"/>
    <x:col min="27" max="27" width="20" hidden="0" customWidth="1"/>
    <x:col min="28" max="28" width="12" hidden="0" customWidth="1"/>
    <x:col min="29" max="29" width="13" hidden="0" customWidth="1"/>
    <x:col min="30" max="30" width="11" hidden="0" customWidth="1"/>
    <x:col min="31" max="31" width="16" hidden="0" customWidth="1"/>
    <x:col min="32" max="32" width="20" hidden="0" customWidth="1"/>
    <x:col min="33" max="33" width="20" hidden="0" customWidth="1"/>
    <x:col min="34" max="34" width="14" hidden="0" customWidth="1"/>
    <x:col min="35" max="35" width="11" hidden="0" customWidth="1"/>
    <x:col min="36" max="36" width="17" hidden="0" customWidth="1"/>
    <x:col min="37" max="37" width="19" hidden="0" customWidth="1"/>
    <x:col min="38" max="38" width="19" hidden="0" customWidth="1"/>
    <x:col min="39" max="39" width="24" hidden="0" customWidth="1"/>
    <x:col min="40" max="40" width="30" hidden="0" customWidth="1"/>
    <x:col min="41" max="41" width="24" hidden="0" customWidth="1"/>
    <x:col min="42" max="42" width="16" hidden="0" customWidth="1"/>
    <x:col min="43" max="43" width="20" hidden="0" customWidth="1"/>
    <x:col min="44" max="44" width="11" hidden="0" customWidth="1"/>
    <x:col min="45" max="45" width="20" hidden="0" customWidth="1"/>
    <x:col min="46" max="46" width="15" hidden="0" customWidth="1"/>
    <x:col min="47" max="47" width="20" hidden="0" customWidth="1"/>
    <x:col min="48" max="48" width="13" hidden="0" customWidth="1"/>
    <x:col min="49" max="49" width="20" hidden="0" customWidth="1"/>
    <x:col min="50" max="50" width="14" hidden="0" customWidth="1"/>
    <x:col min="51" max="51" width="20" hidden="0" customWidth="1"/>
    <x:col min="52" max="52" width="20" hidden="0" customWidth="1"/>
    <x:col min="53" max="53" width="20" hidden="0" customWidth="1"/>
    <x:col min="54" max="54" width="19" hidden="0" customWidth="1"/>
    <x:col min="55" max="55" width="20" hidden="0" customWidth="1"/>
    <x:col min="56" max="56" width="16" hidden="0" customWidth="1"/>
    <x:col min="57" max="57" width="20" hidden="0" customWidth="1"/>
    <x:col min="58" max="58" width="20" hidden="0" customWidth="1"/>
    <x:col min="59" max="59" width="20" hidden="0" customWidth="1"/>
    <x:col min="60" max="60" width="30" hidden="0" customWidth="1"/>
    <x:col min="61" max="61" width="20" hidden="0" customWidth="1"/>
    <x:col min="62" max="62" width="18" hidden="0" customWidth="1"/>
    <x:col min="63" max="63" width="20" hidden="0" customWidth="1"/>
    <x:col min="64" max="64" width="20" hidden="0" customWidth="1"/>
    <x:col min="65" max="65" width="13" hidden="0" customWidth="1"/>
    <x:col min="66" max="66" width="16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4" hidden="0" customWidth="1"/>
    <x:col min="72" max="72" width="11" hidden="0" customWidth="1"/>
    <x:col min="73" max="73" width="11" hidden="0" customWidth="1"/>
    <x:col min="74" max="74" width="11" hidden="0" customWidth="1"/>
    <x:col min="75" max="75" width="12" hidden="0" customWidth="1"/>
    <x:col min="76" max="76" width="20" hidden="0" customWidth="1"/>
    <x:col min="77" max="77" width="20" hidden="0" customWidth="1"/>
    <x:col min="78" max="78" width="17" hidden="0" customWidth="1"/>
    <x:col min="79" max="79" width="13" hidden="0" customWidth="1"/>
    <x:col min="80" max="80" width="42" hidden="0" customWidth="1"/>
    <x:col min="81" max="81" width="42" hidden="0" customWidth="1"/>
    <x:col min="82" max="82" width="42" hidden="0" customWidth="1"/>
    <x:col min="83" max="83" width="42" hidden="0" customWidth="1"/>
  </x:cols>
  <x:sheetData>
    <x:row r="1">
      <x:c r="A1" s="7" t="str">
        <x:v>Ticker</x:v>
      </x:c>
      <x:c r="B1" s="7" t="str">
        <x:v>Company</x:v>
      </x:c>
      <x:c r="C1" s="7" t="str">
        <x:v>BTAL Side</x:v>
      </x:c>
      <x:c r="D1" s="7" t="str">
        <x:v>BTAL Weight</x:v>
      </x:c>
      <x:c r="E1" s="7" t="str">
        <x:v>Beta</x:v>
      </x:c>
      <x:c r="F1" s="7" t="str">
        <x:v>Bad Beta</x:v>
      </x:c>
      <x:c r="G1" s="7" t="str">
        <x:v>Beta Tercile</x:v>
      </x:c>
      <x:c r="H1" s="7" t="str">
        <x:v>Bad Beta Tercile</x:v>
      </x:c>
      <x:c r="I1" s="7" t="str">
        <x:v>Grid Cell</x:v>
      </x:c>
      <x:c r="J1" s="7" t="str">
        <x:v>Grid Score</x:v>
      </x:c>
      <x:c r="K1" s="7" t="str">
        <x:v>Price Date</x:v>
      </x:c>
      <x:c r="L1" s="7" t="str">
        <x:v>Price</x:v>
      </x:c>
      <x:c r="M1" s="7" t="str">
        <x:v>Market Cap</x:v>
      </x:c>
      <x:c r="N1" s="7" t="str">
        <x:v>Market Cap Source</x:v>
      </x:c>
      <x:c r="O1" s="7" t="str">
        <x:v>Nasdaq Sector</x:v>
      </x:c>
      <x:c r="P1" s="7" t="str">
        <x:v>Nasdaq Industry</x:v>
      </x:c>
      <x:c r="Q1" s="7" t="str">
        <x:v>SIC</x:v>
      </x:c>
      <x:c r="R1" s="7" t="str">
        <x:v>SIC Description</x:v>
      </x:c>
      <x:c r="S1" s="7" t="str">
        <x:v>Latest Quarter End</x:v>
      </x:c>
      <x:c r="T1" s="7" t="str">
        <x:v>Latest Annual End</x:v>
      </x:c>
      <x:c r="U1" s="7" t="str">
        <x:v>Quality Avg Z</x:v>
      </x:c>
      <x:c r="V1" s="7" t="str">
        <x:v>Quality Percentile</x:v>
      </x:c>
      <x:c r="W1" s="7" t="str">
        <x:v>ROE</x:v>
      </x:c>
      <x:c r="X1" s="7" t="str">
        <x:v>ROE Z</x:v>
      </x:c>
      <x:c r="Y1" s="7" t="str">
        <x:v>Balance Sheet Accruals</x:v>
      </x:c>
      <x:c r="Z1" s="7" t="str">
        <x:v>Accruals Z</x:v>
      </x:c>
      <x:c r="AA1" s="7" t="str">
        <x:v>Financial Leverage</x:v>
      </x:c>
      <x:c r="AB1" s="7" t="str">
        <x:v>Leverage Z</x:v>
      </x:c>
      <x:c r="AC1" s="7" t="str">
        <x:v>Exclude BSA</x:v>
      </x:c>
      <x:c r="AD1" s="7" t="str">
        <x:v>SUE</x:v>
      </x:c>
      <x:c r="AE1" s="7" t="str">
        <x:v>SUE Percentile</x:v>
      </x:c>
      <x:c r="AF1" s="7" t="str">
        <x:v>Earnings Innovation</x:v>
      </x:c>
      <x:c r="AG1" s="7" t="str">
        <x:v>SUE Innovation Count</x:v>
      </x:c>
      <x:c r="AH1" s="7" t="str">
        <x:v>EPS Quarters</x:v>
      </x:c>
      <x:c r="AI1" s="7" t="str">
        <x:v>CAR3</x:v>
      </x:c>
      <x:c r="AJ1" s="7" t="str">
        <x:v>CAR3 Percentile</x:v>
      </x:c>
      <x:c r="AK1" s="7" t="str">
        <x:v>Announcement Date</x:v>
      </x:c>
      <x:c r="AL1" s="7" t="str">
        <x:v>Mapped Event Date</x:v>
      </x:c>
      <x:c r="AM1" s="7" t="str">
        <x:v>CAR3 Window</x:v>
      </x:c>
      <x:c r="AN1" s="7" t="str">
        <x:v>Earnings Date Source</x:v>
      </x:c>
      <x:c r="AO1" s="7" t="str">
        <x:v>Fundamental Momentum Method</x:v>
      </x:c>
      <x:c r="AP1" s="7" t="str">
        <x:v>Earnings Yield</x:v>
      </x:c>
      <x:c r="AQ1" s="7" t="str">
        <x:v>Earnings Yield Percentile</x:v>
      </x:c>
      <x:c r="AR1" s="7" t="str">
        <x:v>FCF Yield</x:v>
      </x:c>
      <x:c r="AS1" s="7" t="str">
        <x:v>FCF Yield Percentile</x:v>
      </x:c>
      <x:c r="AT1" s="7" t="str">
        <x:v>Book to Price</x:v>
      </x:c>
      <x:c r="AU1" s="7" t="str">
        <x:v>Book to Price Percentile</x:v>
      </x:c>
      <x:c r="AV1" s="7" t="str">
        <x:v>Sales to EV</x:v>
      </x:c>
      <x:c r="AW1" s="7" t="str">
        <x:v>Sales to EV Percentile</x:v>
      </x:c>
      <x:c r="AX1" s="7" t="str">
        <x:v>Asset Growth</x:v>
      </x:c>
      <x:c r="AY1" s="7" t="str">
        <x:v>Asset Growth Percentile</x:v>
      </x:c>
      <x:c r="AZ1" s="7" t="str">
        <x:v>Capex to Avg Assets</x:v>
      </x:c>
      <x:c r="BA1" s="7" t="str">
        <x:v>Capex Intensity Percentile</x:v>
      </x:c>
      <x:c r="BB1" s="7" t="str">
        <x:v>Shareholder Yield</x:v>
      </x:c>
      <x:c r="BC1" s="7" t="str">
        <x:v>Shareholder Yield Percentile</x:v>
      </x:c>
      <x:c r="BD1" s="7" t="str">
        <x:v>Dividend Yield</x:v>
      </x:c>
      <x:c r="BE1" s="7" t="str">
        <x:v>Cash Net Buyback Yield</x:v>
      </x:c>
      <x:c r="BF1" s="7" t="str">
        <x:v>Share Count Buyback Proxy</x:v>
      </x:c>
      <x:c r="BG1" s="7" t="str">
        <x:v>Net Buyback Yield Used</x:v>
      </x:c>
      <x:c r="BH1" s="7" t="str">
        <x:v>Buyback Method</x:v>
      </x:c>
      <x:c r="BI1" s="7" t="str">
        <x:v>Net Debt Paydown Yield</x:v>
      </x:c>
      <x:c r="BJ1" s="7" t="str">
        <x:v>Annual Dividends</x:v>
      </x:c>
      <x:c r="BK1" s="7" t="str">
        <x:v>Annual Repurchase Cash</x:v>
      </x:c>
      <x:c r="BL1" s="7" t="str">
        <x:v>Annual Issuance Cash</x:v>
      </x:c>
      <x:c r="BM1" s="7" t="str">
        <x:v>Revenue TTM</x:v>
      </x:c>
      <x:c r="BN1" s="7" t="str">
        <x:v>Net Income TTM</x:v>
      </x:c>
      <x:c r="BO1" s="7" t="str">
        <x:v>CFO TTM</x:v>
      </x:c>
      <x:c r="BP1" s="7" t="str">
        <x:v>Capex TTM</x:v>
      </x:c>
      <x:c r="BQ1" s="7" t="str">
        <x:v>FCF TTM</x:v>
      </x:c>
      <x:c r="BR1" s="7" t="str">
        <x:v>Assets</x:v>
      </x:c>
      <x:c r="BS1" s="7" t="str">
        <x:v>Assets Prior</x:v>
      </x:c>
      <x:c r="BT1" s="7" t="str">
        <x:v>Equity</x:v>
      </x:c>
      <x:c r="BU1" s="7" t="str">
        <x:v>Cash</x:v>
      </x:c>
      <x:c r="BV1" s="7" t="str">
        <x:v>Debt</x:v>
      </x:c>
      <x:c r="BW1" s="7" t="str">
        <x:v>Debt Prior</x:v>
      </x:c>
      <x:c r="BX1" s="7" t="str">
        <x:v>Shares Outstanding</x:v>
      </x:c>
      <x:c r="BY1" s="7" t="str">
        <x:v>Weighted Share Change</x:v>
      </x:c>
      <x:c r="BZ1" s="7" t="str">
        <x:v>Factor Coverage</x:v>
      </x:c>
      <x:c r="CA1" s="7" t="str">
        <x:v>Data Status</x:v>
      </x:c>
      <x:c r="CB1" s="7" t="str">
        <x:v>Price Source</x:v>
      </x:c>
      <x:c r="CC1" s="7" t="str">
        <x:v>SEC Companyfacts</x:v>
      </x:c>
      <x:c r="CD1" s="7" t="str">
        <x:v>SEC Submissions</x:v>
      </x:c>
      <x:c r="CE1" s="7" t="str">
        <x:v>Nasdaq Source</x:v>
      </x:c>
    </x:row>
    <x:row r="2">
      <x:c r="A2" s="12" t="str">
        <x:v>MUSA</x:v>
      </x:c>
      <x:c r="B2" s="12" t="str">
        <x:v>Murphy USA Inc.</x:v>
      </x:c>
      <x:c r="C2" s="12" t="str">
        <x:v>Long</x:v>
      </x:c>
      <x:c r="D2" s="14" t="n">
        <x:v>0.00406</x:v>
      </x:c>
      <x:c r="E2" s="15" t="n">
        <x:v>-0.10241867773758018</x:v>
      </x:c>
      <x:c r="F2" s="15" t="n">
        <x:v>-0.011647095910803866</x:v>
      </x:c>
      <x:c r="G2" s="12" t="str">
        <x:v>Low Beta</x:v>
      </x:c>
      <x:c r="H2" s="12" t="str">
        <x:v>Low Bad Beta</x:v>
      </x:c>
      <x:c r="I2" s="12" t="str">
        <x:v>Low Beta / Low Bad Beta</x:v>
      </x:c>
      <x:c r="J2" s="15" t="n">
        <x:v>1</x:v>
      </x:c>
      <x:c r="K2" s="18" t="n">
        <x:v>46213</x:v>
      </x:c>
      <x:c r="L2" s="15" t="n">
        <x:v>590.22998046875</x:v>
      </x:c>
      <x:c r="M2" s="19" t="n">
        <x:v>11016470655</x:v>
      </x:c>
      <x:c r="N2" s="12" t="str">
        <x:v>Nasdaq screener</x:v>
      </x:c>
      <x:c r="O2" s="12" t="str">
        <x:v>Consumer Discretionary</x:v>
      </x:c>
      <x:c r="P2" s="12" t="str">
        <x:v>Retail-Auto Dealers and Gas Stations</x:v>
      </x:c>
      <x:c r="Q2" s="12" t="n">
        <x:v>5500</x:v>
      </x:c>
      <x:c r="R2" s="12" t="str">
        <x:v>Retail-Auto Dealers &amp; Gasoline Stations</x:v>
      </x:c>
      <x:c r="S2" s="18" t="n">
        <x:v>46112</x:v>
      </x:c>
      <x:c r="T2" s="18" t="n">
        <x:v>46022</x:v>
      </x:c>
      <x:c r="U2" s="15" t="n">
        <x:v>1.7961844204634108</x:v>
      </x:c>
      <x:c r="V2" s="16" t="n">
        <x:v>1</x:v>
      </x:c>
      <x:c r="W2" s="17" t="n">
        <x:v>0.8880513231756215</x:v>
      </x:c>
      <x:c r="X2" s="15" t="n">
        <x:v>3.960476274945493</x:v>
      </x:c>
      <x:c r="Y2" s="17" t="n">
        <x:v>-0.04283833653451885</x:v>
      </x:c>
      <x:c r="Z2" s="15" t="n">
        <x:v>0.7494887911135356</x:v>
      </x:c>
      <x:c r="AA2" s="17" t="n">
        <x:v>0</x:v>
      </x:c>
      <x:c r="AB2" s="15" t="n">
        <x:v>0.6785881953312037</x:v>
      </x:c>
      <x:c r="AC2" s="13" t="b">
        <x:v>0</x:v>
      </x:c>
      <x:c r="AD2" s="15" t="n">
        <x:v>2.7118767744125276</x:v>
      </x:c>
      <x:c r="AE2" s="16" t="n">
        <x:v>0.9636363636363636</x:v>
      </x:c>
      <x:c r="AF2" s="15" t="n">
        <x:v>4.69</x:v>
      </x:c>
      <x:c r="AG2" s="12" t="n">
        <x:v>8</x:v>
      </x:c>
      <x:c r="AH2" s="12" t="n">
        <x:v>51</x:v>
      </x:c>
      <x:c r="AI2" s="17" t="n">
        <x:v>0.1321129751021517</x:v>
      </x:c>
      <x:c r="AJ2" s="16" t="n">
        <x:v>0.991304347826087</x:v>
      </x:c>
      <x:c r="AK2" s="18" t="n">
        <x:v>46141</x:v>
      </x:c>
      <x:c r="AL2" s="18" t="n">
        <x:v>46141</x:v>
      </x:c>
      <x:c r="AM2" s="12" t="str">
        <x:v>2026-04-28 to 2026-04-29 to 2026-04-30</x:v>
      </x:c>
      <x:c r="AN2" s="12" t="str">
        <x:v>8-K Item 2.02 filing date</x:v>
      </x:c>
      <x:c r="AO2" s="12" t="str">
        <x:v>SUE + CAR3</x:v>
      </x:c>
      <x:c r="AP2" s="17" t="n">
        <x:v>0.050261106060196736</x:v>
      </x:c>
      <x:c r="AQ2" s="16" t="n">
        <x:v>0.5431034482758621</x:v>
      </x:c>
      <x:c r="AR2" s="17" t="n">
        <x:v>0.050406343137488256</x:v>
      </x:c>
      <x:c r="AS2" s="16" t="n">
        <x:v>0.51</x:v>
      </x:c>
      <x:c r="AT2" s="17" t="n">
        <x:v>0.05659707355703931</x:v>
      </x:c>
      <x:c r="AU2" s="16" t="n">
        <x:v>0.10344827586206896</x:v>
      </x:c>
      <x:c r="AV2" s="17" t="n">
        <x:v>1.245869121557881</x:v>
      </x:c>
      <x:c r="AW2" s="16" t="n">
        <x:v>0.8956521739130435</x:v>
      </x:c>
      <x:c r="AX2" s="17" t="n">
        <x:v>0.04055839351770296</x:v>
      </x:c>
      <x:c r="AY2" s="16" t="n">
        <x:v>0.7155172413793103</x:v>
      </x:c>
      <x:c r="AZ2" s="17" t="n">
        <x:v>0.09713619785484602</x:v>
      </x:c>
      <x:c r="BA2" s="16" t="n">
        <x:v>0.06000000000000005</x:v>
      </x:c>
      <x:c r="BB2" s="17" t="n">
        <x:v>0.06270783281090672</x:v>
      </x:c>
      <x:c r="BC2" s="16" t="n">
        <x:v>0.8017241379310345</x:v>
      </x:c>
      <x:c r="BD2" s="17" t="n">
        <x:v>0.003767086692248807</x:v>
      </x:c>
      <x:c r="BE2" s="17" t="n">
        <x:v>0.05894074611865791</x:v>
      </x:c>
      <x:c r="BF2" s="17" t="n">
        <x:v>0.06314173303905579</x:v>
      </x:c>
      <x:c r="BG2" s="17" t="n">
        <x:v>0.05894074611865791</x:v>
      </x:c>
      <x:c r="BH2" s="12" t="str">
        <x:v>cash repurchases less issuance</x:v>
      </x:c>
      <x:c r="BI2" s="17"/>
      <x:c r="BJ2" s="19" t="n">
        <x:v>41500000</x:v>
      </x:c>
      <x:c r="BK2" s="19" t="n">
        <x:v>649900000</x:v>
      </x:c>
      <x:c r="BL2" s="19" t="n">
        <x:v>581000</x:v>
      </x:c>
      <x:c r="BM2" s="19" t="n">
        <x:v>13689075000</x:v>
      </x:c>
      <x:c r="BN2" s="19" t="n">
        <x:v>553700000</x:v>
      </x:c>
      <x:c r="BO2" s="19" t="n">
        <x:v>1005400000</x:v>
      </x:c>
      <x:c r="BP2" s="19" t="n">
        <x:v>450100000</x:v>
      </x:c>
      <x:c r="BQ2" s="19" t="n">
        <x:v>555300000</x:v>
      </x:c>
      <x:c r="BR2" s="19" t="n">
        <x:v>4725800000</x:v>
      </x:c>
      <x:c r="BS2" s="19" t="n">
        <x:v>4541600000</x:v>
      </x:c>
      <x:c r="BT2" s="19" t="n">
        <x:v>623500000</x:v>
      </x:c>
      <x:c r="BU2" s="19" t="n">
        <x:v>28900000</x:v>
      </x:c>
      <x:c r="BV2" s="19"/>
      <x:c r="BW2" s="19"/>
      <x:c r="BX2" s="12" t="n">
        <x:v>18470685</x:v>
      </x:c>
      <x:c r="BY2" s="17" t="n">
        <x:v>-0.06314173303905579</x:v>
      </x:c>
      <x:c r="BZ2" s="12" t="n">
        <x:v>5</x:v>
      </x:c>
      <x:c r="CA2" s="12" t="str">
        <x:v>OK</x:v>
      </x:c>
      <x:c r="CB2" s="20" t="str">
        <x:v>https://query1.finance.yahoo.com/v8/finance/chart/MUSA?period1=1704067200&amp;period2=1783728000&amp;interval=1d&amp;events=div%2Csplits</x:v>
      </x:c>
      <x:c r="CC2" s="20" t="str">
        <x:v>https://data.sec.gov/api/xbrl/companyfacts/CIK0001573516.json</x:v>
      </x:c>
      <x:c r="CD2" s="20" t="str">
        <x:v>https://data.sec.gov/submissions/CIK0001573516.json</x:v>
      </x:c>
      <x:c r="CE2" s="20" t="str">
        <x:v>https://api.nasdaq.com/api/screener/stocks?tableonly=true&amp;limit=25000&amp;download=true</x:v>
      </x:c>
    </x:row>
    <x:row r="3">
      <x:c r="A3" s="12" t="str">
        <x:v>RRC</x:v>
      </x:c>
      <x:c r="B3" s="12" t="str">
        <x:v>Range Resources Corp.</x:v>
      </x:c>
      <x:c r="C3" s="12" t="str">
        <x:v>Long</x:v>
      </x:c>
      <x:c r="D3" s="14" t="n">
        <x:v>0.003479</x:v>
      </x:c>
      <x:c r="E3" s="15" t="n">
        <x:v>-0.21338788091285485</x:v>
      </x:c>
      <x:c r="F3" s="15" t="n">
        <x:v>-0.20767088610862813</x:v>
      </x:c>
      <x:c r="G3" s="12" t="str">
        <x:v>Low Beta</x:v>
      </x:c>
      <x:c r="H3" s="12" t="str">
        <x:v>Low Bad Beta</x:v>
      </x:c>
      <x:c r="I3" s="12" t="str">
        <x:v>Low Beta / Low Bad Beta</x:v>
      </x:c>
      <x:c r="J3" s="15" t="n">
        <x:v>1</x:v>
      </x:c>
      <x:c r="K3" s="18" t="n">
        <x:v>46213</x:v>
      </x:c>
      <x:c r="L3" s="15" t="n">
        <x:v>35.4900016784668</x:v>
      </x:c>
      <x:c r="M3" s="19" t="n">
        <x:v>8392864545</x:v>
      </x:c>
      <x:c r="N3" s="12" t="str">
        <x:v>Nasdaq screener</x:v>
      </x:c>
      <x:c r="O3" s="12" t="str">
        <x:v>Energy</x:v>
      </x:c>
      <x:c r="P3" s="12" t="str">
        <x:v>Oil &amp; Gas Production</x:v>
      </x:c>
      <x:c r="Q3" s="12" t="n">
        <x:v>1311</x:v>
      </x:c>
      <x:c r="R3" s="12" t="str">
        <x:v>Crude Petroleum &amp; Natural Gas</x:v>
      </x:c>
      <x:c r="S3" s="18" t="n">
        <x:v>46112</x:v>
      </x:c>
      <x:c r="T3" s="18" t="n">
        <x:v>46022</x:v>
      </x:c>
      <x:c r="U3" s="15" t="n">
        <x:v>0.1519904059409553</x:v>
      </x:c>
      <x:c r="V3" s="16" t="n">
        <x:v>0.6724137931034483</x:v>
      </x:c>
      <x:c r="W3" s="17" t="n">
        <x:v>0.20899946071497294</x:v>
      </x:c>
      <x:c r="X3" s="15" t="n">
        <x:v>0.015436010315360427</x:v>
      </x:c>
      <x:c r="Y3" s="17" t="n">
        <x:v>0.02528988045260194</x:v>
      </x:c>
      <x:c r="Z3" s="15" t="n">
        <x:v>0.07079808945514425</x:v>
      </x:c>
      <x:c r="AA3" s="17" t="n">
        <x:v>0.2774768499919304</x:v>
      </x:c>
      <x:c r="AB3" s="15" t="n">
        <x:v>0.36973711805236126</x:v>
      </x:c>
      <x:c r="AC3" s="13" t="b">
        <x:v>0</x:v>
      </x:c>
      <x:c r="AD3" s="15" t="n">
        <x:v>1.7234632604258548</x:v>
      </x:c>
      <x:c r="AE3" s="16" t="n">
        <x:v>0.8181818181818182</x:v>
      </x:c>
      <x:c r="AF3" s="15" t="n">
        <x:v>1.0499999999999998</x:v>
      </x:c>
      <x:c r="AG3" s="12" t="n">
        <x:v>8</x:v>
      </x:c>
      <x:c r="AH3" s="12" t="n">
        <x:v>67</x:v>
      </x:c>
      <x:c r="AI3" s="17"/>
      <x:c r="AJ3" s="16"/>
      <x:c r="AK3" s="18" t="n">
        <x:v>46213</x:v>
      </x:c>
      <x:c r="AL3" s="18" t="n">
        <x:v>46213</x:v>
      </x:c>
      <x:c r="AM3" s="12" t="str"/>
      <x:c r="AN3" s="12" t="str">
        <x:v>8-K Item 2.02 filing date</x:v>
      </x:c>
      <x:c r="AO3" s="12" t="str">
        <x:v>SUE only</x:v>
      </x:c>
      <x:c r="AP3" s="17" t="n">
        <x:v>0.10754397323589833</x:v>
      </x:c>
      <x:c r="AQ3" s="16" t="n">
        <x:v>0.8706896551724138</x:v>
      </x:c>
      <x:c r="AR3" s="17" t="n">
        <x:v>0.17396515720843198</x:v>
      </x:c>
      <x:c r="AS3" s="16" t="n">
        <x:v>0.97</x:v>
      </x:c>
      <x:c r="AT3" s="17" t="n">
        <x:v>0.5145657929833777</x:v>
      </x:c>
      <x:c r="AU3" s="16" t="n">
        <x:v>0.6982758620689655</x:v>
      </x:c>
      <x:c r="AV3" s="17" t="n">
        <x:v>0.3346177484453986</x:v>
      </x:c>
      <x:c r="AW3" s="16" t="n">
        <x:v>0.5391304347826087</x:v>
      </x:c>
      <x:c r="AX3" s="17" t="n">
        <x:v>0.010108367612884361</x:v>
      </x:c>
      <x:c r="AY3" s="16" t="n">
        <x:v>0.8362068965517242</x:v>
      </x:c>
      <x:c r="AZ3" s="17" t="n">
        <x:v>0.000042113464913762525</x:v>
      </x:c>
      <x:c r="BA3" s="16" t="n">
        <x:v>1</x:v>
      </x:c>
      <x:c r="BB3" s="17" t="n">
        <x:v>0.06972935126763684</x:v>
      </x:c>
      <x:c r="BC3" s="16" t="n">
        <x:v>0.8448275862068966</x:v>
      </x:c>
      <x:c r="BD3" s="17" t="n">
        <x:v>0.010208671847449672</x:v>
      </x:c>
      <x:c r="BE3" s="17" t="n">
        <x:v>0</x:v>
      </x:c>
      <x:c r="BF3" s="17" t="n">
        <x:v>0.012177387793775307</x:v>
      </x:c>
      <x:c r="BG3" s="17" t="n">
        <x:v>0</x:v>
      </x:c>
      <x:c r="BH3" s="12" t="str">
        <x:v>cash repurchases less issuance</x:v>
      </x:c>
      <x:c r="BI3" s="17" t="n">
        <x:v>0.05952067942018716</x:v>
      </x:c>
      <x:c r="BJ3" s="19" t="n">
        <x:v>85680000</x:v>
      </x:c>
      <x:c r="BK3" s="19" t="n">
        <x:v>0</x:v>
      </x:c>
      <x:c r="BL3" s="19" t="n">
        <x:v>0</x:v>
      </x:c>
      <x:c r="BM3" s="19" t="n">
        <x:v>3209317000</x:v>
      </x:c>
      <x:c r="BN3" s="19" t="n">
        <x:v>902602000</x:v>
      </x:c>
      <x:c r="BO3" s="19" t="n">
        <x:v>1460377000</x:v>
      </x:c>
      <x:c r="BP3" s="19" t="n">
        <x:v>311000</x:v>
      </x:c>
      <x:c r="BQ3" s="19" t="n">
        <x:v>1460066000</x:v>
      </x:c>
      <x:c r="BR3" s="19" t="n">
        <x:v>7421948000</x:v>
      </x:c>
      <x:c r="BS3" s="19" t="n">
        <x:v>7347675000</x:v>
      </x:c>
      <x:c r="BT3" s="19" t="n">
        <x:v>4318681000</x:v>
      </x:c>
      <x:c r="BU3" s="19" t="n">
        <x:v>204000</x:v>
      </x:c>
      <x:c r="BV3" s="19" t="n">
        <x:v>1198334000</x:v>
      </x:c>
      <x:c r="BW3" s="19" t="n">
        <x:v>1697883000</x:v>
      </x:c>
      <x:c r="BX3" s="12" t="n">
        <x:v>235622250</x:v>
      </x:c>
      <x:c r="BY3" s="17" t="n">
        <x:v>-0.012177387793775307</x:v>
      </x:c>
      <x:c r="BZ3" s="12" t="n">
        <x:v>5</x:v>
      </x:c>
      <x:c r="CA3" s="12" t="str">
        <x:v>OK</x:v>
      </x:c>
      <x:c r="CB3" s="20" t="str">
        <x:v>https://query1.finance.yahoo.com/v8/finance/chart/RRC?period1=1704067200&amp;period2=1783728000&amp;interval=1d&amp;events=div%2Csplits</x:v>
      </x:c>
      <x:c r="CC3" s="20" t="str">
        <x:v>https://data.sec.gov/api/xbrl/companyfacts/CIK0000315852.json</x:v>
      </x:c>
      <x:c r="CD3" s="20" t="str">
        <x:v>https://data.sec.gov/submissions/CIK0000315852.json</x:v>
      </x:c>
      <x:c r="CE3" s="20" t="str">
        <x:v>https://api.nasdaq.com/api/screener/stocks?tableonly=true&amp;limit=25000&amp;download=true</x:v>
      </x:c>
    </x:row>
    <x:row r="4">
      <x:c r="A4" s="12" t="str">
        <x:v>ALL</x:v>
      </x:c>
      <x:c r="B4" s="12" t="str">
        <x:v>The Allstate Corp.</x:v>
      </x:c>
      <x:c r="C4" s="12" t="str">
        <x:v>Long</x:v>
      </x:c>
      <x:c r="D4" s="14" t="n">
        <x:v>0.004759</x:v>
      </x:c>
      <x:c r="E4" s="15" t="n">
        <x:v>0.09241455785349885</x:v>
      </x:c>
      <x:c r="F4" s="15" t="n">
        <x:v>-0.06648622060810297</x:v>
      </x:c>
      <x:c r="G4" s="12" t="str">
        <x:v>Low Beta</x:v>
      </x:c>
      <x:c r="H4" s="12" t="str">
        <x:v>Low Bad Beta</x:v>
      </x:c>
      <x:c r="I4" s="12" t="str">
        <x:v>Low Beta / Low Bad Beta</x:v>
      </x:c>
      <x:c r="J4" s="15" t="n">
        <x:v>1</x:v>
      </x:c>
      <x:c r="K4" s="18" t="n">
        <x:v>46213</x:v>
      </x:c>
      <x:c r="L4" s="15" t="n">
        <x:v>251.61000061035156</x:v>
      </x:c>
      <x:c r="M4" s="19" t="n">
        <x:v>62056463595</x:v>
      </x:c>
      <x:c r="N4" s="12" t="str">
        <x:v>Nasdaq screener</x:v>
      </x:c>
      <x:c r="O4" s="12" t="str">
        <x:v>Finance</x:v>
      </x:c>
      <x:c r="P4" s="12" t="str">
        <x:v>Property-Casualty Insurers</x:v>
      </x:c>
      <x:c r="Q4" s="12" t="n">
        <x:v>6331</x:v>
      </x:c>
      <x:c r="R4" s="12" t="str">
        <x:v>Fire, Marine &amp; Casualty Insurance</x:v>
      </x:c>
      <x:c r="S4" s="18" t="n">
        <x:v>46112</x:v>
      </x:c>
      <x:c r="T4" s="18" t="n">
        <x:v>46022</x:v>
      </x:c>
      <x:c r="U4" s="15" t="n">
        <x:v>0.7561643780562172</x:v>
      </x:c>
      <x:c r="V4" s="16" t="n">
        <x:v>0.9655172413793104</x:v>
      </x:c>
      <x:c r="W4" s="17" t="n">
        <x:v>0.3967330937602091</x:v>
      </x:c>
      <x:c r="X4" s="15" t="n">
        <x:v>1.1060990102002535</x:v>
      </x:c>
      <x:c r="Y4" s="17"/>
      <x:c r="Z4" s="15"/>
      <x:c r="AA4" s="17" t="n">
        <x:v>0.24469127736033977</x:v>
      </x:c>
      <x:c r="AB4" s="15" t="n">
        <x:v>0.40622974591218086</x:v>
      </x:c>
      <x:c r="AC4" s="13" t="b">
        <x:v>1</x:v>
      </x:c>
      <x:c r="AD4" s="15" t="n">
        <x:v>1.878577157116062</x:v>
      </x:c>
      <x:c r="AE4" s="16" t="n">
        <x:v>0.8454545454545455</x:v>
      </x:c>
      <x:c r="AF4" s="15" t="n">
        <x:v>7.2299999999999995</x:v>
      </x:c>
      <x:c r="AG4" s="12" t="n">
        <x:v>8</x:v>
      </x:c>
      <x:c r="AH4" s="12" t="n">
        <x:v>68</x:v>
      </x:c>
      <x:c r="AI4" s="17" t="n">
        <x:v>0.00993297808465754</x:v>
      </x:c>
      <x:c r="AJ4" s="16" t="n">
        <x:v>0.7043478260869566</x:v>
      </x:c>
      <x:c r="AK4" s="18" t="n">
        <x:v>46141</x:v>
      </x:c>
      <x:c r="AL4" s="18" t="n">
        <x:v>46141</x:v>
      </x:c>
      <x:c r="AM4" s="12" t="str">
        <x:v>2026-04-28 to 2026-04-29 to 2026-04-30</x:v>
      </x:c>
      <x:c r="AN4" s="12" t="str">
        <x:v>8-K Item 2.02 filing date</x:v>
      </x:c>
      <x:c r="AO4" s="12" t="str">
        <x:v>SUE + CAR3</x:v>
      </x:c>
      <x:c r="AP4" s="17" t="n">
        <x:v>0.19569274973926268</x:v>
      </x:c>
      <x:c r="AQ4" s="16" t="n">
        <x:v>0.9827586206896551</x:v>
      </x:c>
      <x:c r="AR4" s="17" t="n">
        <x:v>0.18583076333935913</x:v>
      </x:c>
      <x:c r="AS4" s="16"/>
      <x:c r="AT4" s="17" t="n">
        <x:v>0.49326046356380354</x:v>
      </x:c>
      <x:c r="AU4" s="16" t="n">
        <x:v>0.6637931034482759</x:v>
      </x:c>
      <x:c r="AV4" s="17" t="n">
        <x:v>0.9802655156847015</x:v>
      </x:c>
      <x:c r="AW4" s="16"/>
      <x:c r="AX4" s="17" t="n">
        <x:v>0.07293691821138348</x:v>
      </x:c>
      <x:c r="AY4" s="16" t="n">
        <x:v>0.4482758620689655</x:v>
      </x:c>
      <x:c r="AZ4" s="17" t="n">
        <x:v>0.0015213398163155052</x:v>
      </x:c>
      <x:c r="BA4" s="16"/>
      <x:c r="BB4" s="17" t="n">
        <x:v>0.03530655588592922</x:v>
      </x:c>
      <x:c r="BC4" s="16" t="n">
        <x:v>0.5172413793103449</x:v>
      </x:c>
      <x:c r="BD4" s="17" t="n">
        <x:v>0.016694473709640657</x:v>
      </x:c>
      <x:c r="BE4" s="17" t="n">
        <x:v>0.01861208217628857</x:v>
      </x:c>
      <x:c r="BF4" s="17" t="n">
        <x:v>0.002613890963405474</x:v>
      </x:c>
      <x:c r="BG4" s="17" t="n">
        <x:v>0.01861208217628857</x:v>
      </x:c>
      <x:c r="BH4" s="12" t="str">
        <x:v>cash repurchases less issuance</x:v>
      </x:c>
      <x:c r="BI4" s="17"/>
      <x:c r="BJ4" s="19" t="n">
        <x:v>1036000000</x:v>
      </x:c>
      <x:c r="BK4" s="19" t="n">
        <x:v>1233000000</x:v>
      </x:c>
      <x:c r="BL4" s="19" t="n">
        <x:v>78000000</x:v>
      </x:c>
      <x:c r="BM4" s="19" t="n">
        <x:v>68174000000</x:v>
      </x:c>
      <x:c r="BN4" s="19" t="n">
        <x:v>12144000000</x:v>
      </x:c>
      <x:c r="BO4" s="19" t="n">
        <x:v>11708000000</x:v>
      </x:c>
      <x:c r="BP4" s="19" t="n">
        <x:v>176000000</x:v>
      </x:c>
      <x:c r="BQ4" s="19" t="n">
        <x:v>11532000000</x:v>
      </x:c>
      <x:c r="BR4" s="19" t="n">
        <x:v>119758000000</x:v>
      </x:c>
      <x:c r="BS4" s="19" t="n">
        <x:v>111617000000</x:v>
      </x:c>
      <x:c r="BT4" s="19" t="n">
        <x:v>30610000000</x:v>
      </x:c>
      <x:c r="BU4" s="19"/>
      <x:c r="BV4" s="19" t="n">
        <x:v>7490000000</x:v>
      </x:c>
      <x:c r="BW4" s="19" t="n">
        <x:v>8085000000</x:v>
      </x:c>
      <x:c r="BX4" s="12" t="n">
        <x:v>257420930</x:v>
      </x:c>
      <x:c r="BY4" s="17" t="n">
        <x:v>-0.002613890963405474</x:v>
      </x:c>
      <x:c r="BZ4" s="12" t="n">
        <x:v>5</x:v>
      </x:c>
      <x:c r="CA4" s="12" t="str">
        <x:v>OK</x:v>
      </x:c>
      <x:c r="CB4" s="20" t="str">
        <x:v>https://query1.finance.yahoo.com/v8/finance/chart/ALL?period1=1704067200&amp;period2=1783728000&amp;interval=1d&amp;events=div%2Csplits</x:v>
      </x:c>
      <x:c r="CC4" s="20" t="str">
        <x:v>https://data.sec.gov/api/xbrl/companyfacts/CIK0000899051.json</x:v>
      </x:c>
      <x:c r="CD4" s="20" t="str">
        <x:v>https://data.sec.gov/submissions/CIK0000899051.json</x:v>
      </x:c>
      <x:c r="CE4" s="20" t="str">
        <x:v>https://api.nasdaq.com/api/screener/stocks?tableonly=true&amp;limit=25000&amp;download=true</x:v>
      </x:c>
    </x:row>
    <x:row r="5">
      <x:c r="A5" s="12" t="str">
        <x:v>APA</x:v>
      </x:c>
      <x:c r="B5" s="12" t="str">
        <x:v>APA Corp.</x:v>
      </x:c>
      <x:c r="C5" s="12" t="str">
        <x:v>Long</x:v>
      </x:c>
      <x:c r="D5" s="14" t="n">
        <x:v>0.003508</x:v>
      </x:c>
      <x:c r="E5" s="15" t="n">
        <x:v>-0.22899850532026103</x:v>
      </x:c>
      <x:c r="F5" s="15" t="n">
        <x:v>-0.38476295014005296</x:v>
      </x:c>
      <x:c r="G5" s="12" t="str">
        <x:v>Low Beta</x:v>
      </x:c>
      <x:c r="H5" s="12" t="str">
        <x:v>Low Bad Beta</x:v>
      </x:c>
      <x:c r="I5" s="12" t="str">
        <x:v>Low Beta / Low Bad Beta</x:v>
      </x:c>
      <x:c r="J5" s="15" t="n">
        <x:v>1</x:v>
      </x:c>
      <x:c r="K5" s="18" t="n">
        <x:v>46213</x:v>
      </x:c>
      <x:c r="L5" s="15" t="n">
        <x:v>33.439998626708984</x:v>
      </x:c>
      <x:c r="M5" s="19" t="n">
        <x:v>11899575192</x:v>
      </x:c>
      <x:c r="N5" s="12" t="str">
        <x:v>Nasdaq screener</x:v>
      </x:c>
      <x:c r="O5" s="12" t="str">
        <x:v>Energy</x:v>
      </x:c>
      <x:c r="P5" s="12" t="str">
        <x:v>Oil &amp; Gas Production</x:v>
      </x:c>
      <x:c r="Q5" s="12" t="n">
        <x:v>1311</x:v>
      </x:c>
      <x:c r="R5" s="12" t="str">
        <x:v>Crude Petroleum &amp; Natural Gas</x:v>
      </x:c>
      <x:c r="S5" s="18" t="n">
        <x:v>46112</x:v>
      </x:c>
      <x:c r="T5" s="18" t="n">
        <x:v>46022</x:v>
      </x:c>
      <x:c r="U5" s="15" t="n">
        <x:v>0.47075936649360506</x:v>
      </x:c>
      <x:c r="V5" s="16" t="n">
        <x:v>0.9051724137931034</x:v>
      </x:c>
      <x:c r="W5" s="17" t="n">
        <x:v>0.2516001969473166</x:v>
      </x:c>
      <x:c r="X5" s="15" t="n">
        <x:v>0.26293053765600644</x:v>
      </x:c>
      <x:c r="Y5" s="17"/>
      <x:c r="Z5" s="15"/>
      <x:c r="AA5" s="17" t="n">
        <x:v>0</x:v>
      </x:c>
      <x:c r="AB5" s="15" t="n">
        <x:v>0.6785881953312037</x:v>
      </x:c>
      <x:c r="AC5" s="13" t="b">
        <x:v>0</x:v>
      </x:c>
      <x:c r="AD5" s="15" t="n">
        <x:v>0.15452777091510062</x:v>
      </x:c>
      <x:c r="AE5" s="16" t="n">
        <x:v>0.39090909090909093</x:v>
      </x:c>
      <x:c r="AF5" s="15" t="n">
        <x:v>0.30000000000000004</x:v>
      </x:c>
      <x:c r="AG5" s="12" t="n">
        <x:v>8</x:v>
      </x:c>
      <x:c r="AH5" s="12" t="n">
        <x:v>21</x:v>
      </x:c>
      <x:c r="AI5" s="17" t="n">
        <x:v>0.02866701236873015</x:v>
      </x:c>
      <x:c r="AJ5" s="16" t="n">
        <x:v>0.8260869565217391</x:v>
      </x:c>
      <x:c r="AK5" s="18" t="n">
        <x:v>46211</x:v>
      </x:c>
      <x:c r="AL5" s="18" t="n">
        <x:v>46211</x:v>
      </x:c>
      <x:c r="AM5" s="12" t="str">
        <x:v>2026-07-07 to 2026-07-08 to 2026-07-09</x:v>
      </x:c>
      <x:c r="AN5" s="12" t="str">
        <x:v>8-K Item 2.02 filing date</x:v>
      </x:c>
      <x:c r="AO5" s="12" t="str">
        <x:v>SUE + CAR3</x:v>
      </x:c>
      <x:c r="AP5" s="17" t="n">
        <x:v>0.1288281283377767</x:v>
      </x:c>
      <x:c r="AQ5" s="16" t="n">
        <x:v>0.9224137931034483</x:v>
      </x:c>
      <x:c r="AR5" s="17"/>
      <x:c r="AS5" s="16"/>
      <x:c r="AT5" s="17" t="n">
        <x:v>0.5120350854286194</x:v>
      </x:c>
      <x:c r="AU5" s="16" t="n">
        <x:v>0.6896551724137931</x:v>
      </x:c>
      <x:c r="AV5" s="17"/>
      <x:c r="AW5" s="16"/>
      <x:c r="AX5" s="17" t="n">
        <x:v>-0.08401237751418256</x:v>
      </x:c>
      <x:c r="AY5" s="16" t="n">
        <x:v>1</x:v>
      </x:c>
      <x:c r="AZ5" s="17"/>
      <x:c r="BA5" s="16"/>
      <x:c r="BB5" s="17" t="n">
        <x:v>0.030253180822961263</x:v>
      </x:c>
      <x:c r="BC5" s="16" t="n">
        <x:v>0.45689655172413796</x:v>
      </x:c>
      <x:c r="BD5" s="17" t="n">
        <x:v>0.030253180822961263</x:v>
      </x:c>
      <x:c r="BE5" s="17" t="n">
        <x:v>0</x:v>
      </x:c>
      <x:c r="BF5" s="17" t="n">
        <x:v>-0.016997167138810276</x:v>
      </x:c>
      <x:c r="BG5" s="17" t="n">
        <x:v>0</x:v>
      </x:c>
      <x:c r="BH5" s="12" t="str">
        <x:v>cash repurchases less issuance</x:v>
      </x:c>
      <x:c r="BI5" s="17"/>
      <x:c r="BJ5" s="19" t="n">
        <x:v>360000000</x:v>
      </x:c>
      <x:c r="BK5" s="19" t="n">
        <x:v>0</x:v>
      </x:c>
      <x:c r="BL5" s="19" t="n">
        <x:v>0</x:v>
      </x:c>
      <x:c r="BM5" s="19"/>
      <x:c r="BN5" s="19" t="n">
        <x:v>1533000000</x:v>
      </x:c>
      <x:c r="BO5" s="19" t="n">
        <x:v>4003000000</x:v>
      </x:c>
      <x:c r="BP5" s="19"/>
      <x:c r="BQ5" s="19"/>
      <x:c r="BR5" s="19" t="n">
        <x:v>17761000000</x:v>
      </x:c>
      <x:c r="BS5" s="19" t="n">
        <x:v>19390000000</x:v>
      </x:c>
      <x:c r="BT5" s="19" t="n">
        <x:v>6093000000</x:v>
      </x:c>
      <x:c r="BU5" s="19" t="n">
        <x:v>516000000</x:v>
      </x:c>
      <x:c r="BV5" s="19"/>
      <x:c r="BW5" s="19"/>
      <x:c r="BX5" s="12" t="n">
        <x:v>353470227</x:v>
      </x:c>
      <x:c r="BY5" s="17" t="n">
        <x:v>0.016997167138810276</x:v>
      </x:c>
      <x:c r="BZ5" s="12" t="n">
        <x:v>5</x:v>
      </x:c>
      <x:c r="CA5" s="12" t="str">
        <x:v>OK</x:v>
      </x:c>
      <x:c r="CB5" s="20" t="str">
        <x:v>https://query1.finance.yahoo.com/v8/finance/chart/APA?period1=1704067200&amp;period2=1783728000&amp;interval=1d&amp;events=div%2Csplits</x:v>
      </x:c>
      <x:c r="CC5" s="20" t="str">
        <x:v>https://data.sec.gov/api/xbrl/companyfacts/CIK0001841666.json</x:v>
      </x:c>
      <x:c r="CD5" s="20" t="str">
        <x:v>https://data.sec.gov/submissions/CIK0001841666.json</x:v>
      </x:c>
      <x:c r="CE5" s="20" t="str">
        <x:v>https://api.nasdaq.com/api/screener/stocks?tableonly=true&amp;limit=25000&amp;download=true</x:v>
      </x:c>
    </x:row>
    <x:row r="6">
      <x:c r="A6" s="12" t="str">
        <x:v>AXS</x:v>
      </x:c>
      <x:c r="B6" s="12" t="str">
        <x:v>Axis Capital Holdings Ltd.</x:v>
      </x:c>
      <x:c r="C6" s="12" t="str">
        <x:v>Long</x:v>
      </x:c>
      <x:c r="D6" s="14" t="n">
        <x:v>0.004472</x:v>
      </x:c>
      <x:c r="E6" s="15" t="n">
        <x:v>0.2108012748123158</x:v>
      </x:c>
      <x:c r="F6" s="15" t="n">
        <x:v>-0.032398004123842576</x:v>
      </x:c>
      <x:c r="G6" s="12" t="str">
        <x:v>Low Beta</x:v>
      </x:c>
      <x:c r="H6" s="12" t="str">
        <x:v>Low Bad Beta</x:v>
      </x:c>
      <x:c r="I6" s="12" t="str">
        <x:v>Low Beta / Low Bad Beta</x:v>
      </x:c>
      <x:c r="J6" s="15" t="n">
        <x:v>1</x:v>
      </x:c>
      <x:c r="K6" s="18" t="n">
        <x:v>46213</x:v>
      </x:c>
      <x:c r="L6" s="15" t="n">
        <x:v>113.05999755859375</x:v>
      </x:c>
      <x:c r="M6" s="19" t="n">
        <x:v>8251104573</x:v>
      </x:c>
      <x:c r="N6" s="12" t="str">
        <x:v>Nasdaq screener</x:v>
      </x:c>
      <x:c r="O6" s="12" t="str">
        <x:v>Finance</x:v>
      </x:c>
      <x:c r="P6" s="12" t="str">
        <x:v>Property-Casualty Insurers</x:v>
      </x:c>
      <x:c r="Q6" s="12" t="n">
        <x:v>6331</x:v>
      </x:c>
      <x:c r="R6" s="12" t="str">
        <x:v>Fire, Marine &amp; Casualty Insurance</x:v>
      </x:c>
      <x:c r="S6" s="18" t="n">
        <x:v>46112</x:v>
      </x:c>
      <x:c r="T6" s="18" t="n">
        <x:v>46022</x:v>
      </x:c>
      <x:c r="U6" s="15" t="n">
        <x:v>0.22870086052799726</x:v>
      </x:c>
      <x:c r="V6" s="16" t="n">
        <x:v>0.7672413793103449</x:v>
      </x:c>
      <x:c r="W6" s="17" t="n">
        <x:v>0.16827010737937223</x:v>
      </x:c>
      <x:c r="X6" s="15" t="n">
        <x:v>-0.22118647427520918</x:v>
      </x:c>
      <x:c r="Y6" s="17"/>
      <x:c r="Z6" s="15"/>
      <x:c r="AA6" s="17" t="n">
        <x:v>0</x:v>
      </x:c>
      <x:c r="AB6" s="15" t="n">
        <x:v>0.6785881953312037</x:v>
      </x:c>
      <x:c r="AC6" s="13" t="b">
        <x:v>1</x:v>
      </x:c>
      <x:c r="AD6" s="15" t="n">
        <x:v>0.4957990372814416</x:v>
      </x:c>
      <x:c r="AE6" s="16" t="n">
        <x:v>0.5363636363636364</x:v>
      </x:c>
      <x:c r="AF6" s="15" t="n">
        <x:v>1.04</x:v>
      </x:c>
      <x:c r="AG6" s="12" t="n">
        <x:v>8</x:v>
      </x:c>
      <x:c r="AH6" s="12" t="n">
        <x:v>64</x:v>
      </x:c>
      <x:c r="AI6" s="17" t="n">
        <x:v>0.00488634844329594</x:v>
      </x:c>
      <x:c r="AJ6" s="16" t="n">
        <x:v>0.6608695652173913</x:v>
      </x:c>
      <x:c r="AK6" s="18" t="n">
        <x:v>46141</x:v>
      </x:c>
      <x:c r="AL6" s="18" t="n">
        <x:v>46141</x:v>
      </x:c>
      <x:c r="AM6" s="12" t="str">
        <x:v>2026-04-28 to 2026-04-29 to 2026-04-30</x:v>
      </x:c>
      <x:c r="AN6" s="12" t="str">
        <x:v>8-K Item 2.02 filing date</x:v>
      </x:c>
      <x:c r="AO6" s="12" t="str">
        <x:v>SUE + CAR3</x:v>
      </x:c>
      <x:c r="AP6" s="17" t="n">
        <x:v>0.12963088645125576</x:v>
      </x:c>
      <x:c r="AQ6" s="16" t="n">
        <x:v>0.9396551724137931</x:v>
      </x:c>
      <x:c r="AR6" s="17"/>
      <x:c r="AS6" s="16"/>
      <x:c r="AT6" s="17" t="n">
        <x:v>0.7703738261662679</x:v>
      </x:c>
      <x:c r="AU6" s="16" t="n">
        <x:v>0.9051724137931034</x:v>
      </x:c>
      <x:c r="AV6" s="17" t="n">
        <x:v>0.8996554479213728</x:v>
      </x:c>
      <x:c r="AW6" s="16"/>
      <x:c r="AX6" s="17" t="n">
        <x:v>0.05448426193699896</x:v>
      </x:c>
      <x:c r="AY6" s="16" t="n">
        <x:v>0.603448275862069</x:v>
      </x:c>
      <x:c r="AZ6" s="17"/>
      <x:c r="BA6" s="16"/>
      <x:c r="BB6" s="17" t="n">
        <x:v>0.12488618837433318</x:v>
      </x:c>
      <x:c r="BC6" s="16" t="n">
        <x:v>0.9310344827586207</x:v>
      </x:c>
      <x:c r="BD6" s="17" t="n">
        <x:v>0.01729853242522951</x:v>
      </x:c>
      <x:c r="BE6" s="17" t="n">
        <x:v>0.10758765594910367</x:v>
      </x:c>
      <x:c r="BF6" s="17" t="n">
        <x:v>0.06938574246266549</x:v>
      </x:c>
      <x:c r="BG6" s="17" t="n">
        <x:v>0.10758765594910367</x:v>
      </x:c>
      <x:c r="BH6" s="12" t="str">
        <x:v>cash repurchases less issuance</x:v>
      </x:c>
      <x:c r="BI6" s="17"/>
      <x:c r="BJ6" s="19" t="n">
        <x:v>142732000</x:v>
      </x:c>
      <x:c r="BK6" s="19" t="n">
        <x:v>887717000</x:v>
      </x:c>
      <x:c r="BL6" s="19" t="n">
        <x:v>0</x:v>
      </x:c>
      <x:c r="BM6" s="19" t="n">
        <x:v>6685207000</x:v>
      </x:c>
      <x:c r="BN6" s="19" t="n">
        <x:v>1069598000</x:v>
      </x:c>
      <x:c r="BO6" s="19" t="n">
        <x:v>169392000</x:v>
      </x:c>
      <x:c r="BP6" s="19"/>
      <x:c r="BQ6" s="19"/>
      <x:c r="BR6" s="19" t="n">
        <x:v>34461926000</x:v>
      </x:c>
      <x:c r="BS6" s="19" t="n">
        <x:v>32681309000</x:v>
      </x:c>
      <x:c r="BT6" s="19" t="n">
        <x:v>6356435000</x:v>
      </x:c>
      <x:c r="BU6" s="19" t="n">
        <x:v>820252000</x:v>
      </x:c>
      <x:c r="BV6" s="19"/>
      <x:c r="BW6" s="19"/>
      <x:c r="BX6" s="12" t="n">
        <x:v>73723236</x:v>
      </x:c>
      <x:c r="BY6" s="17" t="n">
        <x:v>-0.06938574246266549</x:v>
      </x:c>
      <x:c r="BZ6" s="12" t="n">
        <x:v>5</x:v>
      </x:c>
      <x:c r="CA6" s="12" t="str">
        <x:v>OK</x:v>
      </x:c>
      <x:c r="CB6" s="20" t="str">
        <x:v>https://query1.finance.yahoo.com/v8/finance/chart/AXS?period1=1704067200&amp;period2=1783728000&amp;interval=1d&amp;events=div%2Csplits</x:v>
      </x:c>
      <x:c r="CC6" s="20" t="str">
        <x:v>https://data.sec.gov/api/xbrl/companyfacts/CIK0001214816.json</x:v>
      </x:c>
      <x:c r="CD6" s="20" t="str">
        <x:v>https://data.sec.gov/submissions/CIK0001214816.json</x:v>
      </x:c>
      <x:c r="CE6" s="20" t="str">
        <x:v>https://api.nasdaq.com/api/screener/stocks?tableonly=true&amp;limit=25000&amp;download=true</x:v>
      </x:c>
    </x:row>
    <x:row r="7">
      <x:c r="A7" s="12" t="str">
        <x:v>RNR</x:v>
      </x:c>
      <x:c r="B7" s="12" t="str">
        <x:v>RenaissanceRe Holdings Ltd.</x:v>
      </x:c>
      <x:c r="C7" s="12" t="str">
        <x:v>Long</x:v>
      </x:c>
      <x:c r="D7" s="14" t="n">
        <x:v>0.004333</x:v>
      </x:c>
      <x:c r="E7" s="15" t="n">
        <x:v>-0.11603347691244012</x:v>
      </x:c>
      <x:c r="F7" s="15" t="n">
        <x:v>-0.10951693535765034</x:v>
      </x:c>
      <x:c r="G7" s="12" t="str">
        <x:v>Low Beta</x:v>
      </x:c>
      <x:c r="H7" s="12" t="str">
        <x:v>Low Bad Beta</x:v>
      </x:c>
      <x:c r="I7" s="12" t="str">
        <x:v>Low Beta / Low Bad Beta</x:v>
      </x:c>
      <x:c r="J7" s="15" t="n">
        <x:v>1</x:v>
      </x:c>
      <x:c r="K7" s="18" t="n">
        <x:v>46213</x:v>
      </x:c>
      <x:c r="L7" s="15" t="n">
        <x:v>314.989990234375</x:v>
      </x:c>
      <x:c r="M7" s="19" t="n">
        <x:v>13327088617</x:v>
      </x:c>
      <x:c r="N7" s="12" t="str">
        <x:v>Nasdaq screener</x:v>
      </x:c>
      <x:c r="O7" s="12" t="str">
        <x:v>Finance</x:v>
      </x:c>
      <x:c r="P7" s="12" t="str">
        <x:v>Property-Casualty Insurers</x:v>
      </x:c>
      <x:c r="Q7" s="12" t="n">
        <x:v>6331</x:v>
      </x:c>
      <x:c r="R7" s="12" t="str">
        <x:v>Fire, Marine &amp; Casualty Insurance</x:v>
      </x:c>
      <x:c r="S7" s="18" t="n">
        <x:v>46112</x:v>
      </x:c>
      <x:c r="T7" s="18" t="n">
        <x:v>46022</x:v>
      </x:c>
      <x:c r="U7" s="15" t="n">
        <x:v>0.33031343069083885</x:v>
      </x:c>
      <x:c r="V7" s="16" t="n">
        <x:v>0.853448275862069</x:v>
      </x:c>
      <x:c r="W7" s="17" t="n">
        <x:v>0.24169221297519602</x:v>
      </x:c>
      <x:c r="X7" s="15" t="n">
        <x:v>0.20536881391713535</x:v>
      </x:c>
      <x:c r="Y7" s="17"/>
      <x:c r="Z7" s="15"/>
      <x:c r="AA7" s="17" t="n">
        <x:v>0.20064345083156476</x:v>
      </x:c>
      <x:c r="AB7" s="15" t="n">
        <x:v>0.45525804746454235</x:v>
      </x:c>
      <x:c r="AC7" s="13" t="b">
        <x:v>1</x:v>
      </x:c>
      <x:c r="AD7" s="15" t="n">
        <x:v>0.18855197441787488</x:v>
      </x:c>
      <x:c r="AE7" s="16" t="n">
        <x:v>0.4090909090909091</x:v>
      </x:c>
      <x:c r="AF7" s="15" t="n">
        <x:v>3.3099999999999996</x:v>
      </x:c>
      <x:c r="AG7" s="12" t="n">
        <x:v>8</x:v>
      </x:c>
      <x:c r="AH7" s="12" t="n">
        <x:v>64</x:v>
      </x:c>
      <x:c r="AI7" s="17" t="n">
        <x:v>-0.012879479104107472</x:v>
      </x:c>
      <x:c r="AJ7" s="16" t="n">
        <x:v>0.5565217391304348</x:v>
      </x:c>
      <x:c r="AK7" s="18" t="n">
        <x:v>46140</x:v>
      </x:c>
      <x:c r="AL7" s="18" t="n">
        <x:v>46140</x:v>
      </x:c>
      <x:c r="AM7" s="12" t="str">
        <x:v>2026-04-27 to 2026-04-28 to 2026-04-29</x:v>
      </x:c>
      <x:c r="AN7" s="12" t="str">
        <x:v>8-K Item 2.02 filing date</x:v>
      </x:c>
      <x:c r="AO7" s="12" t="str">
        <x:v>SUE + CAR3</x:v>
      </x:c>
      <x:c r="AP7" s="17" t="n">
        <x:v>0.21052775145661057</x:v>
      </x:c>
      <x:c r="AQ7" s="16" t="n">
        <x:v>0.9913793103448276</x:v>
      </x:c>
      <x:c r="AR7" s="17"/>
      <x:c r="AS7" s="16"/>
      <x:c r="AT7" s="17" t="n">
        <x:v>0.8710572379020597</x:v>
      </x:c>
      <x:c r="AU7" s="16" t="n">
        <x:v>0.9482758620689655</x:v>
      </x:c>
      <x:c r="AV7" s="17" t="n">
        <x:v>0.8310529072550358</x:v>
      </x:c>
      <x:c r="AW7" s="16"/>
      <x:c r="AX7" s="17" t="n">
        <x:v>0.06099367845616688</x:v>
      </x:c>
      <x:c r="AY7" s="16" t="n">
        <x:v>0.5431034482758621</x:v>
      </x:c>
      <x:c r="AZ7" s="17"/>
      <x:c r="BA7" s="16"/>
      <x:c r="BB7" s="17" t="n">
        <x:v>0.1256480727429082</x:v>
      </x:c>
      <x:c r="BC7" s="16" t="n">
        <x:v>0.9396551724137931</x:v>
      </x:c>
      <x:c r="BD7" s="17" t="n">
        <x:v>0.005615855206705121</x:v>
      </x:c>
      <x:c r="BE7" s="17" t="n">
        <x:v>0.12003221753620309</x:v>
      </x:c>
      <x:c r="BF7" s="17" t="n">
        <x:v>0.09458696117961007</x:v>
      </x:c>
      <x:c r="BG7" s="17" t="n">
        <x:v>0.12003221753620309</x:v>
      </x:c>
      <x:c r="BH7" s="12" t="str">
        <x:v>cash repurchases less issuance</x:v>
      </x:c>
      <x:c r="BI7" s="17"/>
      <x:c r="BJ7" s="19" t="n">
        <x:v>74843000</x:v>
      </x:c>
      <x:c r="BK7" s="19" t="n">
        <x:v>1599680000</x:v>
      </x:c>
      <x:c r="BL7" s="19" t="n">
        <x:v>0</x:v>
      </x:c>
      <x:c r="BM7" s="19" t="n">
        <x:v>11572502000</x:v>
      </x:c>
      <x:c r="BN7" s="19" t="n">
        <x:v>2805722000</x:v>
      </x:c>
      <x:c r="BO7" s="19" t="n">
        <x:v>4222902000</x:v>
      </x:c>
      <x:c r="BP7" s="19"/>
      <x:c r="BQ7" s="19"/>
      <x:c r="BR7" s="19" t="n">
        <x:v>53800390000</x:v>
      </x:c>
      <x:c r="BS7" s="19" t="n">
        <x:v>50707550000</x:v>
      </x:c>
      <x:c r="BT7" s="19" t="n">
        <x:v>11608657000</x:v>
      </x:c>
      <x:c r="BU7" s="19" t="n">
        <x:v>1731181000</x:v>
      </x:c>
      <x:c r="BV7" s="19" t="n">
        <x:v>2329201000</x:v>
      </x:c>
      <x:c r="BW7" s="19" t="n">
        <x:v>1886689000</x:v>
      </x:c>
      <x:c r="BX7" s="12" t="n">
        <x:v>42633041</x:v>
      </x:c>
      <x:c r="BY7" s="17" t="n">
        <x:v>-0.09458696117961007</x:v>
      </x:c>
      <x:c r="BZ7" s="12" t="n">
        <x:v>5</x:v>
      </x:c>
      <x:c r="CA7" s="12" t="str">
        <x:v>OK</x:v>
      </x:c>
      <x:c r="CB7" s="20" t="str">
        <x:v>https://query1.finance.yahoo.com/v8/finance/chart/RNR?period1=1704067200&amp;period2=1783728000&amp;interval=1d&amp;events=div%2Csplits</x:v>
      </x:c>
      <x:c r="CC7" s="20" t="str">
        <x:v>https://data.sec.gov/api/xbrl/companyfacts/CIK0000913144.json</x:v>
      </x:c>
      <x:c r="CD7" s="20" t="str">
        <x:v>https://data.sec.gov/submissions/CIK0000913144.json</x:v>
      </x:c>
      <x:c r="CE7" s="20" t="str">
        <x:v>https://api.nasdaq.com/api/screener/stocks?tableonly=true&amp;limit=25000&amp;download=true</x:v>
      </x:c>
    </x:row>
    <x:row r="8">
      <x:c r="A8" s="12" t="str">
        <x:v>TRV</x:v>
      </x:c>
      <x:c r="B8" s="12" t="str">
        <x:v>The Travelers Cos. Inc.</x:v>
      </x:c>
      <x:c r="C8" s="12" t="str">
        <x:v>Long</x:v>
      </x:c>
      <x:c r="D8" s="14" t="n">
        <x:v>0.004662</x:v>
      </x:c>
      <x:c r="E8" s="15" t="n">
        <x:v>0.3653732834408291</x:v>
      </x:c>
      <x:c r="F8" s="15" t="n">
        <x:v>0.07620243007834783</x:v>
      </x:c>
      <x:c r="G8" s="12" t="str">
        <x:v>Low Beta</x:v>
      </x:c>
      <x:c r="H8" s="12" t="str">
        <x:v>Low Bad Beta</x:v>
      </x:c>
      <x:c r="I8" s="12" t="str">
        <x:v>Low Beta / Low Bad Beta</x:v>
      </x:c>
      <x:c r="J8" s="15" t="n">
        <x:v>1</x:v>
      </x:c>
      <x:c r="K8" s="18" t="n">
        <x:v>46213</x:v>
      </x:c>
      <x:c r="L8" s="15" t="n">
        <x:v>338.9200134277344</x:v>
      </x:c>
      <x:c r="M8" s="19" t="n">
        <x:v>70374761148</x:v>
      </x:c>
      <x:c r="N8" s="12" t="str">
        <x:v>Nasdaq screener</x:v>
      </x:c>
      <x:c r="O8" s="12" t="str">
        <x:v>Finance</x:v>
      </x:c>
      <x:c r="P8" s="12" t="str">
        <x:v>Property-Casualty Insurers</x:v>
      </x:c>
      <x:c r="Q8" s="12" t="n">
        <x:v>6331</x:v>
      </x:c>
      <x:c r="R8" s="12" t="str">
        <x:v>Fire, Marine &amp; Casualty Insurance</x:v>
      </x:c>
      <x:c r="S8" s="18" t="n">
        <x:v>46112</x:v>
      </x:c>
      <x:c r="T8" s="18" t="n">
        <x:v>46022</x:v>
      </x:c>
      <x:c r="U8" s="15" t="n">
        <x:v>0.4114040621260864</x:v>
      </x:c>
      <x:c r="V8" s="16" t="n">
        <x:v>0.8793103448275862</x:v>
      </x:c>
      <x:c r="W8" s="17" t="n">
        <x:v>0.23116677813583025</x:v>
      </x:c>
      <x:c r="X8" s="15" t="n">
        <x:v>0.14421992892096902</x:v>
      </x:c>
      <x:c r="Y8" s="17"/>
      <x:c r="Z8" s="15"/>
      <x:c r="AA8" s="17" t="n">
        <x:v>0</x:v>
      </x:c>
      <x:c r="AB8" s="15" t="n">
        <x:v>0.6785881953312037</x:v>
      </x:c>
      <x:c r="AC8" s="13" t="b">
        <x:v>1</x:v>
      </x:c>
      <x:c r="AD8" s="15" t="n">
        <x:v>2.291748410433896</x:v>
      </x:c>
      <x:c r="AE8" s="16" t="n">
        <x:v>0.9181818181818182</x:v>
      </x:c>
      <x:c r="AF8" s="15" t="n">
        <x:v>6.16</x:v>
      </x:c>
      <x:c r="AG8" s="12" t="n">
        <x:v>8</x:v>
      </x:c>
      <x:c r="AH8" s="12" t="n">
        <x:v>65</x:v>
      </x:c>
      <x:c r="AI8" s="17" t="n">
        <x:v>-0.018764267697488957</x:v>
      </x:c>
      <x:c r="AJ8" s="16" t="n">
        <x:v>0.4956521739130435</x:v>
      </x:c>
      <x:c r="AK8" s="18" t="n">
        <x:v>46128</x:v>
      </x:c>
      <x:c r="AL8" s="18" t="n">
        <x:v>46128</x:v>
      </x:c>
      <x:c r="AM8" s="12" t="str">
        <x:v>2026-04-15 to 2026-04-16 to 2026-04-17</x:v>
      </x:c>
      <x:c r="AN8" s="12" t="str">
        <x:v>8-K Item 2.02 filing date</x:v>
      </x:c>
      <x:c r="AO8" s="12" t="str">
        <x:v>SUE + CAR3</x:v>
      </x:c>
      <x:c r="AP8" s="17" t="n">
        <x:v>0.10805010029104874</x:v>
      </x:c>
      <x:c r="AQ8" s="16" t="n">
        <x:v>0.8793103448275862</x:v>
      </x:c>
      <x:c r="AR8" s="17"/>
      <x:c r="AS8" s="16"/>
      <x:c r="AT8" s="17" t="n">
        <x:v>0.4674118883447866</x:v>
      </x:c>
      <x:c r="AU8" s="16" t="n">
        <x:v>0.6206896551724138</x:v>
      </x:c>
      <x:c r="AV8" s="17" t="n">
        <x:v>0.6954481862762372</x:v>
      </x:c>
      <x:c r="AW8" s="16"/>
      <x:c r="AX8" s="17" t="n">
        <x:v>0.0789779936781565</x:v>
      </x:c>
      <x:c r="AY8" s="16" t="n">
        <x:v>0.39655172413793105</x:v>
      </x:c>
      <x:c r="AZ8" s="17"/>
      <x:c r="BA8" s="16"/>
      <x:c r="BB8" s="17" t="n">
        <x:v>0.053556132035371205</x:v>
      </x:c>
      <x:c r="BC8" s="16" t="n">
        <x:v>0.7155172413793104</x:v>
      </x:c>
      <x:c r="BD8" s="17" t="n">
        <x:v>0.013911237267877</x:v>
      </x:c>
      <x:c r="BE8" s="17" t="n">
        <x:v>0.03964489476749421</x:v>
      </x:c>
      <x:c r="BF8" s="17" t="n">
        <x:v>0.015144958892254423</x:v>
      </x:c>
      <x:c r="BG8" s="17" t="n">
        <x:v>0.03964489476749421</x:v>
      </x:c>
      <x:c r="BH8" s="12" t="str">
        <x:v>cash repurchases less issuance</x:v>
      </x:c>
      <x:c r="BI8" s="17"/>
      <x:c r="BJ8" s="19" t="n">
        <x:v>979000000</x:v>
      </x:c>
      <x:c r="BK8" s="19" t="n">
        <x:v>3004000000</x:v>
      </x:c>
      <x:c r="BL8" s="19" t="n">
        <x:v>214000000</x:v>
      </x:c>
      <x:c r="BM8" s="19" t="n">
        <x:v>48942000000</x:v>
      </x:c>
      <x:c r="BN8" s="19" t="n">
        <x:v>7604000000</x:v>
      </x:c>
      <x:c r="BO8" s="19" t="n">
        <x:v>11444000000</x:v>
      </x:c>
      <x:c r="BP8" s="19"/>
      <x:c r="BQ8" s="19"/>
      <x:c r="BR8" s="19" t="n">
        <x:v>143708000000</x:v>
      </x:c>
      <x:c r="BS8" s="19" t="n">
        <x:v>133189000000</x:v>
      </x:c>
      <x:c r="BT8" s="19" t="n">
        <x:v>32894000000</x:v>
      </x:c>
      <x:c r="BU8" s="19"/>
      <x:c r="BV8" s="19"/>
      <x:c r="BW8" s="19"/>
      <x:c r="BX8" s="12" t="n">
        <x:v>212644693</x:v>
      </x:c>
      <x:c r="BY8" s="17" t="n">
        <x:v>-0.015144958892254423</x:v>
      </x:c>
      <x:c r="BZ8" s="12" t="n">
        <x:v>5</x:v>
      </x:c>
      <x:c r="CA8" s="12" t="str">
        <x:v>OK</x:v>
      </x:c>
      <x:c r="CB8" s="20" t="str">
        <x:v>https://query1.finance.yahoo.com/v8/finance/chart/TRV?period1=1704067200&amp;period2=1783728000&amp;interval=1d&amp;events=div%2Csplits</x:v>
      </x:c>
      <x:c r="CC8" s="20" t="str">
        <x:v>https://data.sec.gov/api/xbrl/companyfacts/CIK0000086312.json</x:v>
      </x:c>
      <x:c r="CD8" s="20" t="str">
        <x:v>https://data.sec.gov/submissions/CIK0000086312.json</x:v>
      </x:c>
      <x:c r="CE8" s="20" t="str">
        <x:v>https://api.nasdaq.com/api/screener/stocks?tableonly=true&amp;limit=25000&amp;download=true</x:v>
      </x:c>
    </x:row>
    <x:row r="9">
      <x:c r="A9" s="12" t="str">
        <x:v>CF</x:v>
      </x:c>
      <x:c r="B9" s="12" t="str">
        <x:v>CF Industries Holdings Inc.</x:v>
      </x:c>
      <x:c r="C9" s="12" t="str">
        <x:v>Long</x:v>
      </x:c>
      <x:c r="D9" s="14" t="n">
        <x:v>0.00382</x:v>
      </x:c>
      <x:c r="E9" s="15" t="n">
        <x:v>0.06281880491654097</x:v>
      </x:c>
      <x:c r="F9" s="15" t="n">
        <x:v>-0.08195653959004089</x:v>
      </x:c>
      <x:c r="G9" s="12" t="str">
        <x:v>Low Beta</x:v>
      </x:c>
      <x:c r="H9" s="12" t="str">
        <x:v>Low Bad Beta</x:v>
      </x:c>
      <x:c r="I9" s="12" t="str">
        <x:v>Low Beta / Low Bad Beta</x:v>
      </x:c>
      <x:c r="J9" s="15" t="n">
        <x:v>1</x:v>
      </x:c>
      <x:c r="K9" s="18" t="n">
        <x:v>46213</x:v>
      </x:c>
      <x:c r="L9" s="15" t="n">
        <x:v>116.91999816894531</x:v>
      </x:c>
      <x:c r="M9" s="19" t="n">
        <x:v>17596697044</x:v>
      </x:c>
      <x:c r="N9" s="12" t="str">
        <x:v>Nasdaq screener</x:v>
      </x:c>
      <x:c r="O9" s="12" t="str">
        <x:v>Industrials</x:v>
      </x:c>
      <x:c r="P9" s="12" t="str">
        <x:v>Agricultural Chemicals</x:v>
      </x:c>
      <x:c r="Q9" s="12" t="n">
        <x:v>2870</x:v>
      </x:c>
      <x:c r="R9" s="12" t="str">
        <x:v>Agricultural Chemicals</x:v>
      </x:c>
      <x:c r="S9" s="18" t="n">
        <x:v>46112</x:v>
      </x:c>
      <x:c r="T9" s="18" t="n">
        <x:v>46022</x:v>
      </x:c>
      <x:c r="U9" s="15" t="n">
        <x:v>0.6447570330290568</x:v>
      </x:c>
      <x:c r="V9" s="16" t="n">
        <x:v>0.9396551724137931</x:v>
      </x:c>
      <x:c r="W9" s="17" t="n">
        <x:v>0.43881769326167835</x:v>
      </x:c>
      <x:c r="X9" s="15" t="n">
        <x:v>1.3505949739584717</x:v>
      </x:c>
      <x:c r="Y9" s="17"/>
      <x:c r="Z9" s="15"/>
      <x:c r="AA9" s="17" t="n">
        <x:v>0.6645307978503514</x:v>
      </x:c>
      <x:c r="AB9" s="15" t="n">
        <x:v>-0.06108090790035794</x:v>
      </x:c>
      <x:c r="AC9" s="13" t="b">
        <x:v>0</x:v>
      </x:c>
      <x:c r="AD9" s="15" t="n">
        <x:v>2.9195226462718407</x:v>
      </x:c>
      <x:c r="AE9" s="16" t="n">
        <x:v>0.9727272727272728</x:v>
      </x:c>
      <x:c r="AF9" s="15" t="n">
        <x:v>2.14</x:v>
      </x:c>
      <x:c r="AG9" s="12" t="n">
        <x:v>8</x:v>
      </x:c>
      <x:c r="AH9" s="12" t="n">
        <x:v>68</x:v>
      </x:c>
      <x:c r="AI9" s="17" t="n">
        <x:v>-0.07416465619448143</x:v>
      </x:c>
      <x:c r="AJ9" s="16" t="n">
        <x:v>0.17391304347826086</x:v>
      </x:c>
      <x:c r="AK9" s="18" t="n">
        <x:v>46148</x:v>
      </x:c>
      <x:c r="AL9" s="18" t="n">
        <x:v>46148</x:v>
      </x:c>
      <x:c r="AM9" s="12" t="str">
        <x:v>2026-05-05 to 2026-05-06 to 2026-05-07</x:v>
      </x:c>
      <x:c r="AN9" s="12" t="str">
        <x:v>8-K Item 2.02 filing date</x:v>
      </x:c>
      <x:c r="AO9" s="12" t="str">
        <x:v>SUE + CAR3</x:v>
      </x:c>
      <x:c r="AP9" s="17" t="n">
        <x:v>0.12064764169613784</x:v>
      </x:c>
      <x:c r="AQ9" s="16" t="n">
        <x:v>0.9137931034482759</x:v>
      </x:c>
      <x:c r="AR9" s="17" t="n">
        <x:v>0.0921195606167873</x:v>
      </x:c>
      <x:c r="AS9" s="16" t="n">
        <x:v>0.82</x:v>
      </x:c>
      <x:c r="AT9" s="17" t="n">
        <x:v>0.27493796068107157</x:v>
      </x:c>
      <x:c r="AU9" s="16" t="n">
        <x:v>0.39655172413793105</x:v>
      </x:c>
      <x:c r="AV9" s="17" t="n">
        <x:v>0.35590562289755384</x:v>
      </x:c>
      <x:c r="AW9" s="16" t="n">
        <x:v>0.6086956521739131</x:v>
      </x:c>
      <x:c r="AX9" s="17" t="n">
        <x:v>0.046190405465617035</x:v>
      </x:c>
      <x:c r="AY9" s="16" t="n">
        <x:v>0.6810344827586207</x:v>
      </x:c>
      <x:c r="AZ9" s="17" t="n">
        <x:v>0.07556071713725775</x:v>
      </x:c>
      <x:c r="BA9" s="16" t="n">
        <x:v>0.18999999999999995</x:v>
      </x:c>
      <x:c r="BB9" s="17" t="n">
        <x:v>0.08217451243175475</x:v>
      </x:c>
      <x:c r="BC9" s="16" t="n">
        <x:v>0.8793103448275862</x:v>
      </x:c>
      <x:c r="BD9" s="17" t="n">
        <x:v>0.018526204047546367</x:v>
      </x:c>
      <x:c r="BE9" s="17" t="n">
        <x:v>0.07751454699648234</x:v>
      </x:c>
      <x:c r="BF9" s="17" t="n">
        <x:v>0.10237963475373546</x:v>
      </x:c>
      <x:c r="BG9" s="17" t="n">
        <x:v>0.07751454699648234</x:v>
      </x:c>
      <x:c r="BH9" s="12" t="str">
        <x:v>cash repurchases less issuance</x:v>
      </x:c>
      <x:c r="BI9" s="17" t="n">
        <x:v>-0.013866238612273969</x:v>
      </x:c>
      <x:c r="BJ9" s="19" t="n">
        <x:v>326000000</x:v>
      </x:c>
      <x:c r="BK9" s="19" t="n">
        <x:v>1365000000</x:v>
      </x:c>
      <x:c r="BL9" s="19" t="n">
        <x:v>1000000</x:v>
      </x:c>
      <x:c r="BM9" s="19" t="n">
        <x:v>7407000000</x:v>
      </x:c>
      <x:c r="BN9" s="19" t="n">
        <x:v>2123000000</x:v>
      </x:c>
      <x:c r="BO9" s="19" t="n">
        <x:v>2662000000</x:v>
      </x:c>
      <x:c r="BP9" s="19" t="n">
        <x:v>1041000000</x:v>
      </x:c>
      <x:c r="BQ9" s="19" t="n">
        <x:v>1621000000</x:v>
      </x:c>
      <x:c r="BR9" s="19" t="n">
        <x:v>14088000000</x:v>
      </x:c>
      <x:c r="BS9" s="19" t="n">
        <x:v>13466000000</x:v>
      </x:c>
      <x:c r="BT9" s="19" t="n">
        <x:v>4838000000</x:v>
      </x:c>
      <x:c r="BU9" s="19"/>
      <x:c r="BV9" s="19" t="n">
        <x:v>3215000000</x:v>
      </x:c>
      <x:c r="BW9" s="19" t="n">
        <x:v>2971000000</x:v>
      </x:c>
      <x:c r="BX9" s="12" t="n">
        <x:v>153629274</x:v>
      </x:c>
      <x:c r="BY9" s="17" t="n">
        <x:v>-0.10237963475373546</x:v>
      </x:c>
      <x:c r="BZ9" s="12" t="n">
        <x:v>5</x:v>
      </x:c>
      <x:c r="CA9" s="12" t="str">
        <x:v>OK</x:v>
      </x:c>
      <x:c r="CB9" s="20" t="str">
        <x:v>https://query1.finance.yahoo.com/v8/finance/chart/CF?period1=1704067200&amp;period2=1783728000&amp;interval=1d&amp;events=div%2Csplits</x:v>
      </x:c>
      <x:c r="CC9" s="20" t="str">
        <x:v>https://data.sec.gov/api/xbrl/companyfacts/CIK0001324404.json</x:v>
      </x:c>
      <x:c r="CD9" s="20" t="str">
        <x:v>https://data.sec.gov/submissions/CIK0001324404.json</x:v>
      </x:c>
      <x:c r="CE9" s="20" t="str">
        <x:v>https://api.nasdaq.com/api/screener/stocks?tableonly=true&amp;limit=25000&amp;download=true</x:v>
      </x:c>
    </x:row>
    <x:row r="10">
      <x:c r="A10" s="12" t="str">
        <x:v>AFL</x:v>
      </x:c>
      <x:c r="B10" s="12" t="str">
        <x:v>Aflac Inc.</x:v>
      </x:c>
      <x:c r="C10" s="12" t="str">
        <x:v>Long</x:v>
      </x:c>
      <x:c r="D10" s="14" t="n">
        <x:v>0.004193</x:v>
      </x:c>
      <x:c r="E10" s="15" t="n">
        <x:v>0.328714212645773</x:v>
      </x:c>
      <x:c r="F10" s="15" t="n">
        <x:v>0.16481188672578836</x:v>
      </x:c>
      <x:c r="G10" s="12" t="str">
        <x:v>Low Beta</x:v>
      </x:c>
      <x:c r="H10" s="12" t="str">
        <x:v>Low Bad Beta</x:v>
      </x:c>
      <x:c r="I10" s="12" t="str">
        <x:v>Low Beta / Low Bad Beta</x:v>
      </x:c>
      <x:c r="J10" s="15" t="n">
        <x:v>1</x:v>
      </x:c>
      <x:c r="K10" s="18" t="n">
        <x:v>46213</x:v>
      </x:c>
      <x:c r="L10" s="15" t="n">
        <x:v>121.91000366210938</x:v>
      </x:c>
      <x:c r="M10" s="19" t="n">
        <x:v>62144511854</x:v>
      </x:c>
      <x:c r="N10" s="12" t="str">
        <x:v>Nasdaq screener</x:v>
      </x:c>
      <x:c r="O10" s="12" t="str">
        <x:v>Finance</x:v>
      </x:c>
      <x:c r="P10" s="12" t="str">
        <x:v>Accident &amp;Health Insurance</x:v>
      </x:c>
      <x:c r="Q10" s="12" t="n">
        <x:v>6321</x:v>
      </x:c>
      <x:c r="R10" s="12" t="str">
        <x:v>Accident &amp; Health Insurance</x:v>
      </x:c>
      <x:c r="S10" s="18" t="n">
        <x:v>46112</x:v>
      </x:c>
      <x:c r="T10" s="18" t="n">
        <x:v>46022</x:v>
      </x:c>
      <x:c r="U10" s="15" t="n">
        <x:v>0.19656118728069563</x:v>
      </x:c>
      <x:c r="V10" s="16" t="n">
        <x:v>0.7068965517241379</x:v>
      </x:c>
      <x:c r="W10" s="17" t="n">
        <x:v>0.15720583248558834</x:v>
      </x:c>
      <x:c r="X10" s="15" t="n">
        <x:v>-0.2854658207698125</x:v>
      </x:c>
      <x:c r="Y10" s="17"/>
      <x:c r="Z10" s="15"/>
      <x:c r="AA10" s="17" t="n">
        <x:v>0</x:v>
      </x:c>
      <x:c r="AB10" s="15" t="n">
        <x:v>0.6785881953312037</x:v>
      </x:c>
      <x:c r="AC10" s="13" t="b">
        <x:v>1</x:v>
      </x:c>
      <x:c r="AD10" s="15" t="n">
        <x:v>0.7569664940270584</x:v>
      </x:c>
      <x:c r="AE10" s="16" t="n">
        <x:v>0.5909090909090909</x:v>
      </x:c>
      <x:c r="AF10" s="15" t="n">
        <x:v>1.94</x:v>
      </x:c>
      <x:c r="AG10" s="12" t="n">
        <x:v>8</x:v>
      </x:c>
      <x:c r="AH10" s="12" t="n">
        <x:v>68</x:v>
      </x:c>
      <x:c r="AI10" s="17" t="n">
        <x:v>-0.013254459332687096</x:v>
      </x:c>
      <x:c r="AJ10" s="16" t="n">
        <x:v>0.5478260869565217</x:v>
      </x:c>
      <x:c r="AK10" s="18" t="n">
        <x:v>46141</x:v>
      </x:c>
      <x:c r="AL10" s="18" t="n">
        <x:v>46141</x:v>
      </x:c>
      <x:c r="AM10" s="12" t="str">
        <x:v>2026-04-28 to 2026-04-29 to 2026-04-30</x:v>
      </x:c>
      <x:c r="AN10" s="12" t="str">
        <x:v>8-K Item 2.02 filing date</x:v>
      </x:c>
      <x:c r="AO10" s="12" t="str">
        <x:v>SUE + CAR3</x:v>
      </x:c>
      <x:c r="AP10" s="17" t="n">
        <x:v>0.07460031242809737</x:v>
      </x:c>
      <x:c r="AQ10" s="16" t="n">
        <x:v>0.7586206896551724</x:v>
      </x:c>
      <x:c r="AR10" s="17"/>
      <x:c r="AS10" s="16"/>
      <x:c r="AT10" s="17" t="n">
        <x:v>0.47453908833144764</x:v>
      </x:c>
      <x:c r="AU10" s="16" t="n">
        <x:v>0.6379310344827587</x:v>
      </x:c>
      <x:c r="AV10" s="17" t="n">
        <x:v>0.32400998504790984</x:v>
      </x:c>
      <x:c r="AW10" s="16"/>
      <x:c r="AX10" s="17" t="n">
        <x:v>-0.009322423149550008</x:v>
      </x:c>
      <x:c r="AY10" s="16" t="n">
        <x:v>0.9137931034482758</x:v>
      </x:c>
      <x:c r="AZ10" s="17"/>
      <x:c r="BA10" s="16"/>
      <x:c r="BB10" s="17" t="n">
        <x:v>0.07593590904835881</x:v>
      </x:c>
      <x:c r="BC10" s="16" t="n">
        <x:v>0.853448275862069</x:v>
      </x:c>
      <x:c r="BD10" s="17" t="n">
        <x:v>0.01927764760329177</x:v>
      </x:c>
      <x:c r="BE10" s="17" t="n">
        <x:v>0.05665826144506704</x:v>
      </x:c>
      <x:c r="BF10" s="17" t="n">
        <x:v>0.0533384069449484</x:v>
      </x:c>
      <x:c r="BG10" s="17" t="n">
        <x:v>0.05665826144506704</x:v>
      </x:c>
      <x:c r="BH10" s="12" t="str">
        <x:v>cash repurchases less issuance</x:v>
      </x:c>
      <x:c r="BI10" s="17"/>
      <x:c r="BJ10" s="19" t="n">
        <x:v>1198000000</x:v>
      </x:c>
      <x:c r="BK10" s="19" t="n">
        <x:v>3530000000</x:v>
      </x:c>
      <x:c r="BL10" s="19" t="n">
        <x:v>9000000</x:v>
      </x:c>
      <x:c r="BM10" s="19" t="n">
        <x:v>18112000000</x:v>
      </x:c>
      <x:c r="BN10" s="19" t="n">
        <x:v>4636000000</x:v>
      </x:c>
      <x:c r="BO10" s="19" t="n">
        <x:v>2934000000</x:v>
      </x:c>
      <x:c r="BP10" s="19"/>
      <x:c r="BQ10" s="19"/>
      <x:c r="BR10" s="19" t="n">
        <x:v>116470000000</x:v>
      </x:c>
      <x:c r="BS10" s="19" t="n">
        <x:v>117566000000</x:v>
      </x:c>
      <x:c r="BT10" s="19" t="n">
        <x:v>29490000000</x:v>
      </x:c>
      <x:c r="BU10" s="19" t="n">
        <x:v>6245000000</x:v>
      </x:c>
      <x:c r="BV10" s="19"/>
      <x:c r="BW10" s="19"/>
      <x:c r="BX10" s="12" t="n">
        <x:v>508984904</x:v>
      </x:c>
      <x:c r="BY10" s="17" t="n">
        <x:v>-0.0533384069449484</x:v>
      </x:c>
      <x:c r="BZ10" s="12" t="n">
        <x:v>5</x:v>
      </x:c>
      <x:c r="CA10" s="12" t="str">
        <x:v>OK</x:v>
      </x:c>
      <x:c r="CB10" s="20" t="str">
        <x:v>https://query1.finance.yahoo.com/v8/finance/chart/AFL?period1=1704067200&amp;period2=1783728000&amp;interval=1d&amp;events=div%2Csplits</x:v>
      </x:c>
      <x:c r="CC10" s="20" t="str">
        <x:v>https://data.sec.gov/api/xbrl/companyfacts/CIK0000004977.json</x:v>
      </x:c>
      <x:c r="CD10" s="20" t="str">
        <x:v>https://data.sec.gov/submissions/CIK0000004977.json</x:v>
      </x:c>
      <x:c r="CE10" s="20" t="str">
        <x:v>https://api.nasdaq.com/api/screener/stocks?tableonly=true&amp;limit=25000&amp;download=true</x:v>
      </x:c>
    </x:row>
    <x:row r="11">
      <x:c r="A11" s="12" t="str">
        <x:v>MKTX</x:v>
      </x:c>
      <x:c r="B11" s="12" t="str">
        <x:v>MarketAxess Holdings Inc.</x:v>
      </x:c>
      <x:c r="C11" s="12" t="str">
        <x:v>Long</x:v>
      </x:c>
      <x:c r="D11" s="14" t="n">
        <x:v>0.003328</x:v>
      </x:c>
      <x:c r="E11" s="15" t="n">
        <x:v>0.2501981189783589</x:v>
      </x:c>
      <x:c r="F11" s="15" t="n">
        <x:v>0.0022505783818832096</x:v>
      </x:c>
      <x:c r="G11" s="12" t="str">
        <x:v>Low Beta</x:v>
      </x:c>
      <x:c r="H11" s="12" t="str">
        <x:v>Low Bad Beta</x:v>
      </x:c>
      <x:c r="I11" s="12" t="str">
        <x:v>Low Beta / Low Bad Beta</x:v>
      </x:c>
      <x:c r="J11" s="15" t="n">
        <x:v>1</x:v>
      </x:c>
      <x:c r="K11" s="18" t="n">
        <x:v>46213</x:v>
      </x:c>
      <x:c r="L11" s="15" t="n">
        <x:v>113.86000061035156</x:v>
      </x:c>
      <x:c r="M11" s="19" t="n">
        <x:v>4127018980</x:v>
      </x:c>
      <x:c r="N11" s="12" t="str">
        <x:v>Nasdaq screener</x:v>
      </x:c>
      <x:c r="O11" s="12" t="str">
        <x:v>Finance</x:v>
      </x:c>
      <x:c r="P11" s="12" t="str">
        <x:v>Investment Bankers/Brokers/Service</x:v>
      </x:c>
      <x:c r="Q11" s="12" t="n">
        <x:v>6211</x:v>
      </x:c>
      <x:c r="R11" s="12" t="str">
        <x:v>Security Brokers, Dealers &amp; Flotation Companies</x:v>
      </x:c>
      <x:c r="S11" s="18" t="n">
        <x:v>46112</x:v>
      </x:c>
      <x:c r="T11" s="18" t="n">
        <x:v>46022</x:v>
      </x:c>
      <x:c r="U11" s="15" t="n">
        <x:v>0.417626003535969</x:v>
      </x:c>
      <x:c r="V11" s="16" t="n">
        <x:v>0.8879310344827588</x:v>
      </x:c>
      <x:c r="W11" s="17" t="n">
        <x:v>0.2700994267967917</x:v>
      </x:c>
      <x:c r="X11" s="15" t="n">
        <x:v>0.37040422362215925</x:v>
      </x:c>
      <x:c r="Y11" s="17"/>
      <x:c r="Z11" s="15"/>
      <x:c r="AA11" s="17" t="n">
        <x:v>0.19202787546468564</x:v>
      </x:c>
      <x:c r="AB11" s="15" t="n">
        <x:v>0.46484778344977884</x:v>
      </x:c>
      <x:c r="AC11" s="13" t="b">
        <x:v>1</x:v>
      </x:c>
      <x:c r="AD11" s="15" t="n">
        <x:v>1.9401732778926166</x:v>
      </x:c>
      <x:c r="AE11" s="16" t="n">
        <x:v>0.8636363636363636</x:v>
      </x:c>
      <x:c r="AF11" s="15" t="n">
        <x:v>1.81</x:v>
      </x:c>
      <x:c r="AG11" s="12" t="n">
        <x:v>8</x:v>
      </x:c>
      <x:c r="AH11" s="12" t="n">
        <x:v>60</x:v>
      </x:c>
      <x:c r="AI11" s="17" t="n">
        <x:v>-0.040599912433980645</x:v>
      </x:c>
      <x:c r="AJ11" s="16" t="n">
        <x:v>0.3391304347826087</x:v>
      </x:c>
      <x:c r="AK11" s="18" t="n">
        <x:v>46149</x:v>
      </x:c>
      <x:c r="AL11" s="18" t="n">
        <x:v>46149</x:v>
      </x:c>
      <x:c r="AM11" s="12" t="str">
        <x:v>2026-05-06 to 2026-05-07 to 2026-05-08</x:v>
      </x:c>
      <x:c r="AN11" s="12" t="str">
        <x:v>8-K Item 2.02 filing date</x:v>
      </x:c>
      <x:c r="AO11" s="12" t="str">
        <x:v>SUE + CAR3</x:v>
      </x:c>
      <x:c r="AP11" s="17" t="n">
        <x:v>0.07498002832058698</x:v>
      </x:c>
      <x:c r="AQ11" s="16" t="n">
        <x:v>0.7758620689655172</x:v>
      </x:c>
      <x:c r="AR11" s="17" t="n">
        <x:v>0.0655795384784007</x:v>
      </x:c>
      <x:c r="AS11" s="16"/>
      <x:c r="AT11" s="17" t="n">
        <x:v>0.2776015825350045</x:v>
      </x:c>
      <x:c r="AU11" s="16" t="n">
        <x:v>0.41379310344827586</x:v>
      </x:c>
      <x:c r="AV11" s="17" t="n">
        <x:v>0.22759528087192504</x:v>
      </x:c>
      <x:c r="AW11" s="16"/>
      <x:c r="AX11" s="17" t="n">
        <x:v>0.08141554736823275</x:v>
      </x:c>
      <x:c r="AY11" s="16" t="n">
        <x:v>0.3620689655172413</x:v>
      </x:c>
      <x:c r="AZ11" s="17" t="n">
        <x:v>0.0035084968134599967</x:v>
      </x:c>
      <x:c r="BA11" s="16"/>
      <x:c r="BB11" s="17" t="n">
        <x:v>0.12968537401783406</x:v>
      </x:c>
      <x:c r="BC11" s="16" t="n">
        <x:v>0.9482758620689655</x:v>
      </x:c>
      <x:c r="BD11" s="17" t="n">
        <x:v>0.027913368113465762</x:v>
      </x:c>
      <x:c r="BE11" s="17" t="n">
        <x:v>0.10177200590436829</x:v>
      </x:c>
      <x:c r="BF11" s="17" t="n">
        <x:v>0.014201528987046075</x:v>
      </x:c>
      <x:c r="BG11" s="17" t="n">
        <x:v>0.10177200590436829</x:v>
      </x:c>
      <x:c r="BH11" s="12" t="str">
        <x:v>cash repurchases less issuance</x:v>
      </x:c>
      <x:c r="BI11" s="17"/>
      <x:c r="BJ11" s="19" t="n">
        <x:v>115199000</x:v>
      </x:c>
      <x:c r="BK11" s="19" t="n">
        <x:v>420015000</x:v>
      </x:c>
      <x:c r="BL11" s="19" t="n">
        <x:v>0</x:v>
      </x:c>
      <x:c r="BM11" s="19" t="n">
        <x:v>871072000</x:v>
      </x:c>
      <x:c r="BN11" s="19" t="n">
        <x:v>309444000</x:v>
      </x:c>
      <x:c r="BO11" s="19" t="n">
        <x:v>277181000</x:v>
      </x:c>
      <x:c r="BP11" s="19" t="n">
        <x:v>6533000</x:v>
      </x:c>
      <x:c r="BQ11" s="19" t="n">
        <x:v>270648000</x:v>
      </x:c>
      <x:c r="BR11" s="19" t="n">
        <x:v>1934886000</x:v>
      </x:c>
      <x:c r="BS11" s="19" t="n">
        <x:v>1789216000</x:v>
      </x:c>
      <x:c r="BT11" s="19" t="n">
        <x:v>1145667000</x:v>
      </x:c>
      <x:c r="BU11" s="19" t="n">
        <x:v>519734000</x:v>
      </x:c>
      <x:c r="BV11" s="19" t="n">
        <x:v>220000000</x:v>
      </x:c>
      <x:c r="BW11" s="19" t="n">
        <x:v>0</x:v>
      </x:c>
      <x:c r="BX11" s="12" t="n">
        <x:v>35539453</x:v>
      </x:c>
      <x:c r="BY11" s="17" t="n">
        <x:v>-0.014201528987046075</x:v>
      </x:c>
      <x:c r="BZ11" s="12" t="n">
        <x:v>5</x:v>
      </x:c>
      <x:c r="CA11" s="12" t="str">
        <x:v>OK</x:v>
      </x:c>
      <x:c r="CB11" s="20" t="str">
        <x:v>https://query1.finance.yahoo.com/v8/finance/chart/MKTX?period1=1704067200&amp;period2=1783728000&amp;interval=1d&amp;events=div%2Csplits</x:v>
      </x:c>
      <x:c r="CC11" s="20" t="str">
        <x:v>https://data.sec.gov/api/xbrl/companyfacts/CIK0001278021.json</x:v>
      </x:c>
      <x:c r="CD11" s="20" t="str">
        <x:v>https://data.sec.gov/submissions/CIK0001278021.json</x:v>
      </x:c>
      <x:c r="CE11" s="20" t="str">
        <x:v>https://api.nasdaq.com/api/screener/stocks?tableonly=true&amp;limit=25000&amp;download=true</x:v>
      </x:c>
    </x:row>
    <x:row r="12">
      <x:c r="A12" s="12" t="str">
        <x:v>FTI</x:v>
      </x:c>
      <x:c r="B12" s="12" t="str">
        <x:v>TechnipFMC PLC</x:v>
      </x:c>
      <x:c r="C12" s="12" t="str">
        <x:v>Short</x:v>
      </x:c>
      <x:c r="D12" s="14" t="n">
        <x:v>-0.003583</x:v>
      </x:c>
      <x:c r="E12" s="15" t="n">
        <x:v>0.34049164933344184</x:v>
      </x:c>
      <x:c r="F12" s="15" t="n">
        <x:v>-0.08781656685977221</x:v>
      </x:c>
      <x:c r="G12" s="12" t="str">
        <x:v>Low Beta</x:v>
      </x:c>
      <x:c r="H12" s="12" t="str">
        <x:v>Low Bad Beta</x:v>
      </x:c>
      <x:c r="I12" s="12" t="str">
        <x:v>Low Beta / Low Bad Beta</x:v>
      </x:c>
      <x:c r="J12" s="15" t="n">
        <x:v>1</x:v>
      </x:c>
      <x:c r="K12" s="18" t="n">
        <x:v>46213</x:v>
      </x:c>
      <x:c r="L12" s="15" t="n">
        <x:v>71.8499984741211</x:v>
      </x:c>
      <x:c r="M12" s="19" t="n">
        <x:v>28415484199</x:v>
      </x:c>
      <x:c r="N12" s="12" t="str">
        <x:v>Nasdaq screener</x:v>
      </x:c>
      <x:c r="O12" s="12" t="str">
        <x:v>Consumer Discretionary</x:v>
      </x:c>
      <x:c r="P12" s="12" t="str">
        <x:v>Oil and Gas Field Machinery</x:v>
      </x:c>
      <x:c r="Q12" s="12" t="n">
        <x:v>3533</x:v>
      </x:c>
      <x:c r="R12" s="12" t="str">
        <x:v>Oil &amp; Gas Field Machinery &amp; Equipment</x:v>
      </x:c>
      <x:c r="S12" s="18" t="n">
        <x:v>46112</x:v>
      </x:c>
      <x:c r="T12" s="18" t="n">
        <x:v>46022</x:v>
      </x:c>
      <x:c r="U12" s="15" t="n">
        <x:v>0.5306607367241327</x:v>
      </x:c>
      <x:c r="V12" s="16" t="n">
        <x:v>0.913793103448276</x:v>
      </x:c>
      <x:c r="W12" s="17" t="n">
        <x:v>0.32177894048397643</x:v>
      </x:c>
      <x:c r="X12" s="15" t="n">
        <x:v>0.6706430914071108</x:v>
      </x:c>
      <x:c r="Y12" s="17" t="n">
        <x:v>-0.006253939982188779</x:v>
      </x:c>
      <x:c r="Z12" s="15" t="n">
        <x:v>0.3850364266762924</x:v>
      </x:c>
      <x:c r="AA12" s="17" t="n">
        <x:v>0.12783161900231882</x:v>
      </x:c>
      <x:c r="AB12" s="15" t="n">
        <x:v>0.5363026920889948</x:v>
      </x:c>
      <x:c r="AC12" s="13" t="b">
        <x:v>0</x:v>
      </x:c>
      <x:c r="AD12" s="15" t="n">
        <x:v>1.452419148501166</x:v>
      </x:c>
      <x:c r="AE12" s="16" t="n">
        <x:v>0.7636363636363637</x:v>
      </x:c>
      <x:c r="AF12" s="15" t="n">
        <x:v>0.31</x:v>
      </x:c>
      <x:c r="AG12" s="12" t="n">
        <x:v>8</x:v>
      </x:c>
      <x:c r="AH12" s="12" t="n">
        <x:v>37</x:v>
      </x:c>
      <x:c r="AI12" s="17" t="n">
        <x:v>-0.008394009962877869</x:v>
      </x:c>
      <x:c r="AJ12" s="16" t="n">
        <x:v>0.5652173913043478</x:v>
      </x:c>
      <x:c r="AK12" s="18" t="n">
        <x:v>46142</x:v>
      </x:c>
      <x:c r="AL12" s="18" t="n">
        <x:v>46142</x:v>
      </x:c>
      <x:c r="AM12" s="12" t="str">
        <x:v>2026-04-29 to 2026-04-30 to 2026-05-01</x:v>
      </x:c>
      <x:c r="AN12" s="12" t="str">
        <x:v>8-K Item 2.02 filing date</x:v>
      </x:c>
      <x:c r="AO12" s="12" t="str">
        <x:v>SUE + CAR3</x:v>
      </x:c>
      <x:c r="AP12" s="17" t="n">
        <x:v>0.03809190765216987</x:v>
      </x:c>
      <x:c r="AQ12" s="16" t="n">
        <x:v>0.3275862068965517</x:v>
      </x:c>
      <x:c r="AR12" s="17" t="n">
        <x:v>0.0473122326751452</x:v>
      </x:c>
      <x:c r="AS12" s="16" t="n">
        <x:v>0.43</x:v>
      </x:c>
      <x:c r="AT12" s="17" t="n">
        <x:v>0.11837911951253602</x:v>
      </x:c>
      <x:c r="AU12" s="16" t="n">
        <x:v>0.14655172413793102</x:v>
      </x:c>
      <x:c r="AV12" s="17" t="n">
        <x:v>0.3664288617777794</x:v>
      </x:c>
      <x:c r="AW12" s="16" t="n">
        <x:v>0.6260869565217392</x:v>
      </x:c>
      <x:c r="AX12" s="17" t="n">
        <x:v>0.025230008511328172</x:v>
      </x:c>
      <x:c r="AY12" s="16" t="n">
        <x:v>0.7672413793103449</x:v>
      </x:c>
      <x:c r="AZ12" s="17" t="n">
        <x:v>0.031119605351371364</x:v>
      </x:c>
      <x:c r="BA12" s="16" t="n">
        <x:v>0.44999999999999996</x:v>
      </x:c>
      <x:c r="BB12" s="17" t="n">
        <x:v>0.051102419717032395</x:v>
      </x:c>
      <x:c r="BC12" s="16" t="n">
        <x:v>0.6896551724137931</x:v>
      </x:c>
      <x:c r="BD12" s="17" t="n">
        <x:v>0.0028963082037819473</x:v>
      </x:c>
      <x:c r="BE12" s="17" t="n">
        <x:v>0.032186676587836804</x:v>
      </x:c>
      <x:c r="BF12" s="17" t="n">
        <x:v>0.04721906923950059</x:v>
      </x:c>
      <x:c r="BG12" s="17" t="n">
        <x:v>0.032186676587836804</x:v>
      </x:c>
      <x:c r="BH12" s="12" t="str">
        <x:v>cash repurchases less issuance</x:v>
      </x:c>
      <x:c r="BI12" s="17" t="n">
        <x:v>0.01601943492541364</x:v>
      </x:c>
      <x:c r="BJ12" s="19" t="n">
        <x:v>82300000</x:v>
      </x:c>
      <x:c r="BK12" s="19" t="n">
        <x:v>918300000</x:v>
      </x:c>
      <x:c r="BL12" s="19" t="n">
        <x:v>3700000</x:v>
      </x:c>
      <x:c r="BM12" s="19" t="n">
        <x:v>10191700000</x:v>
      </x:c>
      <x:c r="BN12" s="19" t="n">
        <x:v>1082400000</x:v>
      </x:c>
      <x:c r="BO12" s="19" t="n">
        <x:v>1655400000</x:v>
      </x:c>
      <x:c r="BP12" s="19" t="n">
        <x:v>311000000</x:v>
      </x:c>
      <x:c r="BQ12" s="19" t="n">
        <x:v>1344400000</x:v>
      </x:c>
      <x:c r="BR12" s="19" t="n">
        <x:v>10118200000</x:v>
      </x:c>
      <x:c r="BS12" s="19" t="n">
        <x:v>9869200000</x:v>
      </x:c>
      <x:c r="BT12" s="19" t="n">
        <x:v>3363800000</x:v>
      </x:c>
      <x:c r="BU12" s="19" t="n">
        <x:v>1031900000</x:v>
      </x:c>
      <x:c r="BV12" s="19" t="n">
        <x:v>430000000</x:v>
      </x:c>
      <x:c r="BW12" s="19" t="n">
        <x:v>885200000</x:v>
      </x:c>
      <x:c r="BX12" s="12" t="n">
        <x:v>398701897</x:v>
      </x:c>
      <x:c r="BY12" s="17" t="n">
        <x:v>-0.04721906923950059</x:v>
      </x:c>
      <x:c r="BZ12" s="12" t="n">
        <x:v>5</x:v>
      </x:c>
      <x:c r="CA12" s="12" t="str">
        <x:v>OK</x:v>
      </x:c>
      <x:c r="CB12" s="20" t="str">
        <x:v>https://query1.finance.yahoo.com/v8/finance/chart/FTI?period1=1704067200&amp;period2=1783728000&amp;interval=1d&amp;events=div%2Csplits</x:v>
      </x:c>
      <x:c r="CC12" s="20" t="str">
        <x:v>https://data.sec.gov/api/xbrl/companyfacts/CIK0001681459.json</x:v>
      </x:c>
      <x:c r="CD12" s="20" t="str">
        <x:v>https://data.sec.gov/submissions/CIK0001681459.json</x:v>
      </x:c>
      <x:c r="CE12" s="20" t="str">
        <x:v>https://api.nasdaq.com/api/screener/stocks?tableonly=true&amp;limit=25000&amp;download=true</x:v>
      </x:c>
    </x:row>
    <x:row r="13">
      <x:c r="A13" s="12" t="str">
        <x:v>PPC</x:v>
      </x:c>
      <x:c r="B13" s="12" t="str">
        <x:v>Pilgrim's Pride Corp.</x:v>
      </x:c>
      <x:c r="C13" s="12" t="str">
        <x:v>Long</x:v>
      </x:c>
      <x:c r="D13" s="14" t="n">
        <x:v>0.003886</x:v>
      </x:c>
      <x:c r="E13" s="15" t="n">
        <x:v>-0.2612609556854732</x:v>
      </x:c>
      <x:c r="F13" s="15" t="n">
        <x:v>-0.1242459558289768</x:v>
      </x:c>
      <x:c r="G13" s="12" t="str">
        <x:v>Low Beta</x:v>
      </x:c>
      <x:c r="H13" s="12" t="str">
        <x:v>Low Bad Beta</x:v>
      </x:c>
      <x:c r="I13" s="12" t="str">
        <x:v>Low Beta / Low Bad Beta</x:v>
      </x:c>
      <x:c r="J13" s="15" t="n">
        <x:v>1</x:v>
      </x:c>
      <x:c r="K13" s="18" t="n">
        <x:v>46213</x:v>
      </x:c>
      <x:c r="L13" s="15" t="n">
        <x:v>28.25</x:v>
      </x:c>
      <x:c r="M13" s="19" t="n">
        <x:v>6854531120</x:v>
      </x:c>
      <x:c r="N13" s="12" t="str">
        <x:v>Nasdaq screener</x:v>
      </x:c>
      <x:c r="O13" s="12" t="str">
        <x:v>Consumer Staples</x:v>
      </x:c>
      <x:c r="P13" s="12" t="str">
        <x:v>Meat/Poultry/Fish</x:v>
      </x:c>
      <x:c r="Q13" s="12" t="n">
        <x:v>2015</x:v>
      </x:c>
      <x:c r="R13" s="12" t="str">
        <x:v>Poultry Slaughtering and Processing</x:v>
      </x:c>
      <x:c r="S13" s="18" t="n">
        <x:v>46110</x:v>
      </x:c>
      <x:c r="T13" s="18" t="n">
        <x:v>46019</x:v>
      </x:c>
      <x:c r="U13" s="15" t="n">
        <x:v>1.143903201175218</x:v>
      </x:c>
      <x:c r="V13" s="16" t="n">
        <x:v>0.9913793103448276</x:v>
      </x:c>
      <x:c r="W13" s="17" t="n">
        <x:v>0.24123286368391733</x:v>
      </x:c>
      <x:c r="X13" s="15" t="n">
        <x:v>0.20270016436353994</x:v>
      </x:c>
      <x:c r="Y13" s="17" t="n">
        <x:v>-0.2253120947374468</x:v>
      </x:c>
      <x:c r="Z13" s="15" t="n">
        <x:v>2.550700717319892</x:v>
      </x:c>
      <x:c r="AA13" s="17" t="n">
        <x:v>0.0002510835450605291</x:v>
      </x:c>
      <x:c r="AB13" s="15" t="n">
        <x:v>0.6783087218422219</x:v>
      </x:c>
      <x:c r="AC13" s="13" t="b">
        <x:v>0</x:v>
      </x:c>
      <x:c r="AD13" s="15" t="n">
        <x:v>-1.1835416337935336</x:v>
      </x:c>
      <x:c r="AE13" s="16" t="n">
        <x:v>0.08181818181818182</x:v>
      </x:c>
      <x:c r="AF13" s="15" t="n">
        <x:v>-0.8200000000000001</x:v>
      </x:c>
      <x:c r="AG13" s="12" t="n">
        <x:v>8</x:v>
      </x:c>
      <x:c r="AH13" s="12" t="n">
        <x:v>60</x:v>
      </x:c>
      <x:c r="AI13" s="17" t="n">
        <x:v>-0.0395689048526191</x:v>
      </x:c>
      <x:c r="AJ13" s="16" t="n">
        <x:v>0.34782608695652173</x:v>
      </x:c>
      <x:c r="AK13" s="18" t="n">
        <x:v>46142</x:v>
      </x:c>
      <x:c r="AL13" s="18" t="n">
        <x:v>46142</x:v>
      </x:c>
      <x:c r="AM13" s="12" t="str">
        <x:v>2026-04-29 to 2026-04-30 to 2026-05-01</x:v>
      </x:c>
      <x:c r="AN13" s="12" t="str">
        <x:v>8-K Item 2.02 filing date</x:v>
      </x:c>
      <x:c r="AO13" s="12" t="str">
        <x:v>SUE + CAR3</x:v>
      </x:c>
      <x:c r="AP13" s="17" t="n">
        <x:v>0.1295127244239574</x:v>
      </x:c>
      <x:c r="AQ13" s="16" t="n">
        <x:v>0.9310344827586207</x:v>
      </x:c>
      <x:c r="AR13" s="17" t="n">
        <x:v>0.07727399449023145</x:v>
      </x:c>
      <x:c r="AS13" s="16" t="n">
        <x:v>0.75</x:v>
      </x:c>
      <x:c r="AT13" s="17" t="n">
        <x:v>0.5368784437001725</x:v>
      </x:c>
      <x:c r="AU13" s="16" t="n">
        <x:v>0.7155172413793104</x:v>
      </x:c>
      <x:c r="AV13" s="17" t="n">
        <x:v>2.9873723925324143</x:v>
      </x:c>
      <x:c r="AW13" s="16" t="n">
        <x:v>0.9652173913043478</x:v>
      </x:c>
      <x:c r="AX13" s="17" t="n">
        <x:v>-0.028829051123619998</x:v>
      </x:c>
      <x:c r="AY13" s="16" t="n">
        <x:v>0.9482758620689655</x:v>
      </x:c>
      <x:c r="AZ13" s="17" t="n">
        <x:v>0.0815371704801338</x:v>
      </x:c>
      <x:c r="BA13" s="16" t="n">
        <x:v>0.14</x:v>
      </x:c>
      <x:c r="BB13" s="17" t="n">
        <x:v>0.7731083143729311</x:v>
      </x:c>
      <x:c r="BC13" s="16" t="n">
        <x:v>1</x:v>
      </x:c>
      <x:c r="BD13" s="17" t="n">
        <x:v>0.29095308856078256</x:v>
      </x:c>
      <x:c r="BE13" s="17" t="n">
        <x:v>0.014428558025133017</x:v>
      </x:c>
      <x:c r="BF13" s="17" t="n">
        <x:v>-0.0027291841883936296</x:v>
      </x:c>
      <x:c r="BG13" s="17" t="n">
        <x:v>0.014428558025133017</x:v>
      </x:c>
      <x:c r="BH13" s="12" t="str">
        <x:v>cash repurchases less issuance</x:v>
      </x:c>
      <x:c r="BI13" s="17" t="n">
        <x:v>0.4677266677870156</x:v>
      </x:c>
      <x:c r="BJ13" s="19" t="n">
        <x:v>1994347000</x:v>
      </x:c>
      <x:c r="BK13" s="19" t="n">
        <x:v>99233000</x:v>
      </x:c>
      <x:c r="BL13" s="19" t="n">
        <x:v>332000</x:v>
      </x:c>
      <x:c r="BM13" s="19" t="n">
        <x:v>18567177000</x:v>
      </x:c>
      <x:c r="BN13" s="19" t="n">
        <x:v>887749000</x:v>
      </x:c>
      <x:c r="BO13" s="19" t="n">
        <x:v>1385577000</x:v>
      </x:c>
      <x:c r="BP13" s="19" t="n">
        <x:v>855900000</x:v>
      </x:c>
      <x:c r="BQ13" s="19" t="n">
        <x:v>529677000</x:v>
      </x:c>
      <x:c r="BR13" s="19" t="n">
        <x:v>10343530000</x:v>
      </x:c>
      <x:c r="BS13" s="19" t="n">
        <x:v>10650576000</x:v>
      </x:c>
      <x:c r="BT13" s="19" t="n">
        <x:v>3680050000</x:v>
      </x:c>
      <x:c r="BU13" s="19" t="n">
        <x:v>640235000</x:v>
      </x:c>
      <x:c r="BV13" s="19" t="n">
        <x:v>924000</x:v>
      </x:c>
      <x:c r="BW13" s="19" t="n">
        <x:v>3206971000</x:v>
      </x:c>
      <x:c r="BX13" s="12" t="n">
        <x:v>237921941</x:v>
      </x:c>
      <x:c r="BY13" s="17" t="n">
        <x:v>0.0027291841883936296</x:v>
      </x:c>
      <x:c r="BZ13" s="12" t="n">
        <x:v>5</x:v>
      </x:c>
      <x:c r="CA13" s="12" t="str">
        <x:v>OK</x:v>
      </x:c>
      <x:c r="CB13" s="20" t="str">
        <x:v>https://query1.finance.yahoo.com/v8/finance/chart/PPC?period1=1704067200&amp;period2=1783728000&amp;interval=1d&amp;events=div%2Csplits</x:v>
      </x:c>
      <x:c r="CC13" s="20" t="str">
        <x:v>https://data.sec.gov/api/xbrl/companyfacts/CIK0000802481.json</x:v>
      </x:c>
      <x:c r="CD13" s="20" t="str">
        <x:v>https://data.sec.gov/submissions/CIK0000802481.json</x:v>
      </x:c>
      <x:c r="CE13" s="20" t="str">
        <x:v>https://api.nasdaq.com/api/screener/stocks?tableonly=true&amp;limit=25000&amp;download=true</x:v>
      </x:c>
    </x:row>
    <x:row r="14">
      <x:c r="A14" s="12" t="str">
        <x:v>NYT</x:v>
      </x:c>
      <x:c r="B14" s="12" t="str">
        <x:v>The New York Times Co.</x:v>
      </x:c>
      <x:c r="C14" s="12" t="str">
        <x:v>Long</x:v>
      </x:c>
      <x:c r="D14" s="14" t="n">
        <x:v>0.003996</x:v>
      </x:c>
      <x:c r="E14" s="15" t="n">
        <x:v>0.13647740685504287</x:v>
      </x:c>
      <x:c r="F14" s="15" t="n">
        <x:v>-0.0835871115874492</x:v>
      </x:c>
      <x:c r="G14" s="12" t="str">
        <x:v>Low Beta</x:v>
      </x:c>
      <x:c r="H14" s="12" t="str">
        <x:v>Low Bad Beta</x:v>
      </x:c>
      <x:c r="I14" s="12" t="str">
        <x:v>Low Beta / Low Bad Beta</x:v>
      </x:c>
      <x:c r="J14" s="15" t="n">
        <x:v>1</x:v>
      </x:c>
      <x:c r="K14" s="18" t="n">
        <x:v>46213</x:v>
      </x:c>
      <x:c r="L14" s="15" t="n">
        <x:v>74.95999908447266</x:v>
      </x:c>
      <x:c r="M14" s="19" t="n">
        <x:v>12189879862</x:v>
      </x:c>
      <x:c r="N14" s="12" t="str">
        <x:v>Nasdaq screener</x:v>
      </x:c>
      <x:c r="O14" s="12" t="str">
        <x:v>Consumer Discretionary</x:v>
      </x:c>
      <x:c r="P14" s="12" t="str">
        <x:v>Newspapers/Magazines</x:v>
      </x:c>
      <x:c r="Q14" s="12" t="n">
        <x:v>2711</x:v>
      </x:c>
      <x:c r="R14" s="12" t="str">
        <x:v>Newspapers: Publishing or  Publishing &amp; Printing</x:v>
      </x:c>
      <x:c r="S14" s="18" t="n">
        <x:v>46112</x:v>
      </x:c>
      <x:c r="T14" s="18" t="n">
        <x:v>46022</x:v>
      </x:c>
      <x:c r="U14" s="15" t="n">
        <x:v>0.28398588313388023</x:v>
      </x:c>
      <x:c r="V14" s="16" t="n">
        <x:v>0.8103448275862069</x:v>
      </x:c>
      <x:c r="W14" s="17" t="n">
        <x:v>0.18730230733093525</x:v>
      </x:c>
      <x:c r="X14" s="15" t="n">
        <x:v>-0.11061642906344323</x:v>
      </x:c>
      <x:c r="Y14" s="17"/>
      <x:c r="Z14" s="15"/>
      <x:c r="AA14" s="17" t="n">
        <x:v>0</x:v>
      </x:c>
      <x:c r="AB14" s="15" t="n">
        <x:v>0.6785881953312037</x:v>
      </x:c>
      <x:c r="AC14" s="13" t="b">
        <x:v>0</x:v>
      </x:c>
      <x:c r="AD14" s="15" t="n">
        <x:v>3.7981258913081577</x:v>
      </x:c>
      <x:c r="AE14" s="16" t="n">
        <x:v>1</x:v>
      </x:c>
      <x:c r="AF14" s="15" t="n">
        <x:v>0.24000000000000005</x:v>
      </x:c>
      <x:c r="AG14" s="12" t="n">
        <x:v>8</x:v>
      </x:c>
      <x:c r="AH14" s="12" t="n">
        <x:v>64</x:v>
      </x:c>
      <x:c r="AI14" s="17" t="n">
        <x:v>0.011313000136030649</x:v>
      </x:c>
      <x:c r="AJ14" s="16" t="n">
        <x:v>0.7217391304347827</x:v>
      </x:c>
      <x:c r="AK14" s="18" t="n">
        <x:v>46148</x:v>
      </x:c>
      <x:c r="AL14" s="18" t="n">
        <x:v>46148</x:v>
      </x:c>
      <x:c r="AM14" s="12" t="str">
        <x:v>2026-05-05 to 2026-05-06 to 2026-05-07</x:v>
      </x:c>
      <x:c r="AN14" s="12" t="str">
        <x:v>8-K Item 2.02 filing date</x:v>
      </x:c>
      <x:c r="AO14" s="12" t="str">
        <x:v>SUE + CAR3</x:v>
      </x:c>
      <x:c r="AP14" s="17" t="n">
        <x:v>0.03136634686547824</x:v>
      </x:c>
      <x:c r="AQ14" s="16" t="n">
        <x:v>0.1810344827586207</x:v>
      </x:c>
      <x:c r="AR14" s="17" t="n">
        <x:v>0.044476812416348654</x:v>
      </x:c>
      <x:c r="AS14" s="16" t="n">
        <x:v>0.4</x:v>
      </x:c>
      <x:c r="AT14" s="17" t="n">
        <x:v>0.16746375051354054</x:v>
      </x:c>
      <x:c r="AU14" s="16" t="n">
        <x:v>0.25</x:v>
      </x:c>
      <x:c r="AV14" s="17" t="n">
        <x:v>0.24309856591850407</x:v>
      </x:c>
      <x:c r="AW14" s="16" t="n">
        <x:v>0.4</x:v>
      </x:c>
      <x:c r="AX14" s="17" t="n">
        <x:v>0.054764085886258584</x:v>
      </x:c>
      <x:c r="AY14" s="16" t="n">
        <x:v>0.5948275862068966</x:v>
      </x:c>
      <x:c r="AZ14" s="17" t="n">
        <x:v>0.0121502374982637</x:v>
      </x:c>
      <x:c r="BA14" s="16" t="n">
        <x:v>0.7</x:v>
      </x:c>
      <x:c r="BB14" s="17" t="n">
        <x:v>0.022617450140707547</x:v>
      </x:c>
      <x:c r="BC14" s="16" t="n">
        <x:v>0.3620689655172414</x:v>
      </x:c>
      <x:c r="BD14" s="17" t="n">
        <x:v>0.009053657726688431</x:v>
      </x:c>
      <x:c r="BE14" s="17" t="n">
        <x:v>0.013563792414019117</x:v>
      </x:c>
      <x:c r="BF14" s="17" t="n">
        <x:v>0.005180878397124333</x:v>
      </x:c>
      <x:c r="BG14" s="17" t="n">
        <x:v>0.013563792414019117</x:v>
      </x:c>
      <x:c r="BH14" s="12" t="str">
        <x:v>cash repurchases less issuance</x:v>
      </x:c>
      <x:c r="BI14" s="17"/>
      <x:c r="BJ14" s="19" t="n">
        <x:v>110363000</x:v>
      </x:c>
      <x:c r="BK14" s="19" t="n">
        <x:v>165341000</x:v>
      </x:c>
      <x:c r="BL14" s="19" t="n">
        <x:v>0</x:v>
      </x:c>
      <x:c r="BM14" s="19" t="n">
        <x:v>2901244000</x:v>
      </x:c>
      <x:c r="BN14" s="19" t="n">
        <x:v>382352000</x:v>
      </x:c>
      <x:c r="BO14" s="19" t="n">
        <x:v>577637000</x:v>
      </x:c>
      <x:c r="BP14" s="19" t="n">
        <x:v>35470000</x:v>
      </x:c>
      <x:c r="BQ14" s="19" t="n">
        <x:v>542167000</x:v>
      </x:c>
      <x:c r="BR14" s="19" t="n">
        <x:v>2997090000</x:v>
      </x:c>
      <x:c r="BS14" s="19" t="n">
        <x:v>2841479000</x:v>
      </x:c>
      <x:c r="BT14" s="19" t="n">
        <x:v>2041363000</x:v>
      </x:c>
      <x:c r="BU14" s="19" t="n">
        <x:v>255445000</x:v>
      </x:c>
      <x:c r="BV14" s="19"/>
      <x:c r="BW14" s="19"/>
      <x:c r="BX14" s="12"/>
      <x:c r="BY14" s="17" t="n">
        <x:v>-0.005180878397124333</x:v>
      </x:c>
      <x:c r="BZ14" s="12" t="n">
        <x:v>5</x:v>
      </x:c>
      <x:c r="CA14" s="12" t="str">
        <x:v>OK</x:v>
      </x:c>
      <x:c r="CB14" s="20" t="str">
        <x:v>https://query1.finance.yahoo.com/v8/finance/chart/NYT?period1=1704067200&amp;period2=1783728000&amp;interval=1d&amp;events=div%2Csplits</x:v>
      </x:c>
      <x:c r="CC14" s="20" t="str">
        <x:v>https://data.sec.gov/api/xbrl/companyfacts/CIK0000071691.json</x:v>
      </x:c>
      <x:c r="CD14" s="20" t="str">
        <x:v>https://data.sec.gov/submissions/CIK0000071691.json</x:v>
      </x:c>
      <x:c r="CE14" s="20" t="str">
        <x:v>https://api.nasdaq.com/api/screener/stocks?tableonly=true&amp;limit=25000&amp;download=true</x:v>
      </x:c>
    </x:row>
    <x:row r="15">
      <x:c r="A15" s="12" t="str">
        <x:v>EG</x:v>
      </x:c>
      <x:c r="B15" s="12" t="str">
        <x:v>Everest Group Ltd.</x:v>
      </x:c>
      <x:c r="C15" s="12" t="str">
        <x:v>Long</x:v>
      </x:c>
      <x:c r="D15" s="14" t="n">
        <x:v>0.003823</x:v>
      </x:c>
      <x:c r="E15" s="15" t="n">
        <x:v>0.04222716363000919</x:v>
      </x:c>
      <x:c r="F15" s="15" t="n">
        <x:v>-0.07710932241574243</x:v>
      </x:c>
      <x:c r="G15" s="12" t="str">
        <x:v>Low Beta</x:v>
      </x:c>
      <x:c r="H15" s="12" t="str">
        <x:v>Low Bad Beta</x:v>
      </x:c>
      <x:c r="I15" s="12" t="str">
        <x:v>Low Beta / Low Bad Beta</x:v>
      </x:c>
      <x:c r="J15" s="15" t="n">
        <x:v>1</x:v>
      </x:c>
      <x:c r="K15" s="18" t="n">
        <x:v>46213</x:v>
      </x:c>
      <x:c r="L15" s="15" t="n">
        <x:v>370.5799865722656</x:v>
      </x:c>
      <x:c r="M15" s="19" t="n">
        <x:v>14455506211</x:v>
      </x:c>
      <x:c r="N15" s="12" t="str">
        <x:v>Nasdaq screener</x:v>
      </x:c>
      <x:c r="O15" s="12" t="str">
        <x:v>Finance</x:v>
      </x:c>
      <x:c r="P15" s="12" t="str">
        <x:v>Property-Casualty Insurers</x:v>
      </x:c>
      <x:c r="Q15" s="12" t="n">
        <x:v>6331</x:v>
      </x:c>
      <x:c r="R15" s="12" t="str">
        <x:v>Fire, Marine &amp; Casualty Insurance</x:v>
      </x:c>
      <x:c r="S15" s="18" t="n">
        <x:v>46112</x:v>
      </x:c>
      <x:c r="T15" s="18" t="n">
        <x:v>46022</x:v>
      </x:c>
      <x:c r="U15" s="15" t="n">
        <x:v>0.12205554855737233</x:v>
      </x:c>
      <x:c r="V15" s="16" t="n">
        <x:v>0.6293103448275862</x:v>
      </x:c>
      <x:c r="W15" s="17" t="n">
        <x:v>0.13155682038677963</x:v>
      </x:c>
      <x:c r="X15" s="15" t="n">
        <x:v>-0.4344770982164591</x:v>
      </x:c>
      <x:c r="Y15" s="17"/>
      <x:c r="Z15" s="15"/>
      <x:c r="AA15" s="17" t="n">
        <x:v>0</x:v>
      </x:c>
      <x:c r="AB15" s="15" t="n">
        <x:v>0.6785881953312037</x:v>
      </x:c>
      <x:c r="AC15" s="13" t="b">
        <x:v>1</x:v>
      </x:c>
      <x:c r="AD15" s="15" t="n">
        <x:v>0.6837858584970706</x:v>
      </x:c>
      <x:c r="AE15" s="16" t="n">
        <x:v>0.5636363636363636</x:v>
      </x:c>
      <x:c r="AF15" s="15" t="n">
        <x:v>11.31</x:v>
      </x:c>
      <x:c r="AG15" s="12" t="n">
        <x:v>8</x:v>
      </x:c>
      <x:c r="AH15" s="12" t="n">
        <x:v>64</x:v>
      </x:c>
      <x:c r="AI15" s="17" t="n">
        <x:v>0.03383191257818785</x:v>
      </x:c>
      <x:c r="AJ15" s="16" t="n">
        <x:v>0.8347826086956521</x:v>
      </x:c>
      <x:c r="AK15" s="18" t="n">
        <x:v>46141</x:v>
      </x:c>
      <x:c r="AL15" s="18" t="n">
        <x:v>46141</x:v>
      </x:c>
      <x:c r="AM15" s="12" t="str">
        <x:v>2026-04-28 to 2026-04-29 to 2026-04-30</x:v>
      </x:c>
      <x:c r="AN15" s="12" t="str">
        <x:v>8-K Item 2.02 filing date</x:v>
      </x:c>
      <x:c r="AO15" s="12" t="str">
        <x:v>SUE + CAR3</x:v>
      </x:c>
      <x:c r="AP15" s="17" t="n">
        <x:v>0.14070762865794462</x:v>
      </x:c>
      <x:c r="AQ15" s="16" t="n">
        <x:v>0.9568965517241379</x:v>
      </x:c>
      <x:c r="AR15" s="17"/>
      <x:c r="AS15" s="16"/>
      <x:c r="AT15" s="17" t="n">
        <x:v>1.0695578400592338</x:v>
      </x:c>
      <x:c r="AU15" s="16" t="n">
        <x:v>0.9827586206896551</x:v>
      </x:c>
      <x:c r="AV15" s="17" t="n">
        <x:v>1.196844977094936</x:v>
      </x:c>
      <x:c r="AW15" s="16"/>
      <x:c r="AX15" s="17" t="n">
        <x:v>0.10956497044780877</x:v>
      </x:c>
      <x:c r="AY15" s="16" t="n">
        <x:v>0.25</x:v>
      </x:c>
      <x:c r="AZ15" s="17"/>
      <x:c r="BA15" s="16"/>
      <x:c r="BB15" s="17" t="n">
        <x:v>0.0783092603937037</x:v>
      </x:c>
      <x:c r="BC15" s="16" t="n">
        <x:v>0.8620689655172413</x:v>
      </x:c>
      <x:c r="BD15" s="17" t="n">
        <x:v>0.023174560275521852</x:v>
      </x:c>
      <x:c r="BE15" s="17" t="n">
        <x:v>0.05513470011818184</x:v>
      </x:c>
      <x:c r="BF15" s="17" t="n">
        <x:v>0.025761124121779888</x:v>
      </x:c>
      <x:c r="BG15" s="17" t="n">
        <x:v>0.05513470011818184</x:v>
      </x:c>
      <x:c r="BH15" s="12" t="str">
        <x:v>cash repurchases less issuance</x:v>
      </x:c>
      <x:c r="BI15" s="17"/>
      <x:c r="BJ15" s="19" t="n">
        <x:v>335000000</x:v>
      </x:c>
      <x:c r="BK15" s="19" t="n">
        <x:v>797000000</x:v>
      </x:c>
      <x:c r="BL15" s="19" t="n">
        <x:v>0</x:v>
      </x:c>
      <x:c r="BM15" s="19" t="n">
        <x:v>17301000000</x:v>
      </x:c>
      <x:c r="BN15" s="19" t="n">
        <x:v>2034000000</x:v>
      </x:c>
      <x:c r="BO15" s="19" t="n">
        <x:v>2789000000</x:v>
      </x:c>
      <x:c r="BP15" s="19"/>
      <x:c r="BQ15" s="19"/>
      <x:c r="BR15" s="19" t="n">
        <x:v>62514000000</x:v>
      </x:c>
      <x:c r="BS15" s="19" t="n">
        <x:v>56341000000</x:v>
      </x:c>
      <x:c r="BT15" s="19" t="n">
        <x:v>15461000000</x:v>
      </x:c>
      <x:c r="BU15" s="19"/>
      <x:c r="BV15" s="19"/>
      <x:c r="BW15" s="19"/>
      <x:c r="BX15" s="12" t="n">
        <x:v>39571602</x:v>
      </x:c>
      <x:c r="BY15" s="17" t="n">
        <x:v>-0.025761124121779888</x:v>
      </x:c>
      <x:c r="BZ15" s="12" t="n">
        <x:v>5</x:v>
      </x:c>
      <x:c r="CA15" s="12" t="str">
        <x:v>OK</x:v>
      </x:c>
      <x:c r="CB15" s="20" t="str">
        <x:v>https://query1.finance.yahoo.com/v8/finance/chart/EG?period1=1704067200&amp;period2=1783728000&amp;interval=1d&amp;events=div%2Csplits</x:v>
      </x:c>
      <x:c r="CC15" s="20" t="str">
        <x:v>https://data.sec.gov/api/xbrl/companyfacts/CIK0001095073.json</x:v>
      </x:c>
      <x:c r="CD15" s="20" t="str">
        <x:v>https://data.sec.gov/submissions/CIK0001095073.json</x:v>
      </x:c>
      <x:c r="CE15" s="20" t="str">
        <x:v>https://api.nasdaq.com/api/screener/stocks?tableonly=true&amp;limit=25000&amp;download=true</x:v>
      </x:c>
    </x:row>
    <x:row r="16">
      <x:c r="A16" s="12" t="str">
        <x:v>HIG</x:v>
      </x:c>
      <x:c r="B16" s="12" t="str">
        <x:v>The Hartford Insurance Group Inc.</x:v>
      </x:c>
      <x:c r="C16" s="12" t="str">
        <x:v>Long</x:v>
      </x:c>
      <x:c r="D16" s="14" t="n">
        <x:v>0.004057</x:v>
      </x:c>
      <x:c r="E16" s="15" t="n">
        <x:v>0.33558431649839665</x:v>
      </x:c>
      <x:c r="F16" s="15" t="n">
        <x:v>0.06299913447400146</x:v>
      </x:c>
      <x:c r="G16" s="12" t="str">
        <x:v>Low Beta</x:v>
      </x:c>
      <x:c r="H16" s="12" t="str">
        <x:v>Low Bad Beta</x:v>
      </x:c>
      <x:c r="I16" s="12" t="str">
        <x:v>Low Beta / Low Bad Beta</x:v>
      </x:c>
      <x:c r="J16" s="15" t="n">
        <x:v>1</x:v>
      </x:c>
      <x:c r="K16" s="18" t="n">
        <x:v>46213</x:v>
      </x:c>
      <x:c r="L16" s="15" t="n">
        <x:v>138.77999877929688</x:v>
      </x:c>
      <x:c r="M16" s="19" t="n">
        <x:v>37147467418</x:v>
      </x:c>
      <x:c r="N16" s="12" t="str">
        <x:v>Nasdaq screener</x:v>
      </x:c>
      <x:c r="O16" s="12" t="str">
        <x:v>Finance</x:v>
      </x:c>
      <x:c r="P16" s="12" t="str">
        <x:v>Property-Casualty Insurers</x:v>
      </x:c>
      <x:c r="Q16" s="12" t="n">
        <x:v>6331</x:v>
      </x:c>
      <x:c r="R16" s="12" t="str">
        <x:v>Fire, Marine &amp; Casualty Insurance</x:v>
      </x:c>
      <x:c r="S16" s="18" t="n">
        <x:v>46112</x:v>
      </x:c>
      <x:c r="T16" s="18" t="n">
        <x:v>46022</x:v>
      </x:c>
      <x:c r="U16" s="15" t="n">
        <x:v>0.23343937975324447</x:v>
      </x:c>
      <x:c r="V16" s="16" t="n">
        <x:v>0.7758620689655172</x:v>
      </x:c>
      <x:c r="W16" s="17" t="n">
        <x:v>0.21402602876863902</x:v>
      </x:c>
      <x:c r="X16" s="15" t="n">
        <x:v>0.04463851230505988</x:v>
      </x:c>
      <x:c r="Y16" s="17"/>
      <x:c r="Z16" s="15"/>
      <x:c r="AA16" s="17" t="n">
        <x:v>0.2303071816217925</x:v>
      </x:c>
      <x:c r="AB16" s="15" t="n">
        <x:v>0.42224024720142905</x:v>
      </x:c>
      <x:c r="AC16" s="13" t="b">
        <x:v>1</x:v>
      </x:c>
      <x:c r="AD16" s="15" t="n">
        <x:v>1.7817914942319666</x:v>
      </x:c>
      <x:c r="AE16" s="16" t="n">
        <x:v>0.8272727272727273</x:v>
      </x:c>
      <x:c r="AF16" s="15" t="n">
        <x:v>0.8999999999999999</x:v>
      </x:c>
      <x:c r="AG16" s="12" t="n">
        <x:v>8</x:v>
      </x:c>
      <x:c r="AH16" s="12" t="n">
        <x:v>68</x:v>
      </x:c>
      <x:c r="AI16" s="17" t="n">
        <x:v>-0.04567934414659691</x:v>
      </x:c>
      <x:c r="AJ16" s="16" t="n">
        <x:v>0.2956521739130435</x:v>
      </x:c>
      <x:c r="AK16" s="18" t="n">
        <x:v>46135</x:v>
      </x:c>
      <x:c r="AL16" s="18" t="n">
        <x:v>46135</x:v>
      </x:c>
      <x:c r="AM16" s="12" t="str">
        <x:v>2026-04-22 to 2026-04-23 to 2026-04-24</x:v>
      </x:c>
      <x:c r="AN16" s="12" t="str">
        <x:v>8-K Item 2.02 filing date</x:v>
      </x:c>
      <x:c r="AO16" s="12" t="str">
        <x:v>SUE + CAR3</x:v>
      </x:c>
      <x:c r="AP16" s="17" t="n">
        <x:v>0.10934796588667944</x:v>
      </x:c>
      <x:c r="AQ16" s="16" t="n">
        <x:v>0.8879310344827587</x:v>
      </x:c>
      <x:c r="AR16" s="17" t="n">
        <x:v>0.15667286101931913</x:v>
      </x:c>
      <x:c r="AS16" s="16"/>
      <x:c r="AT16" s="17" t="n">
        <x:v>0.5109096613892883</x:v>
      </x:c>
      <x:c r="AU16" s="16" t="n">
        <x:v>0.6810344827586207</x:v>
      </x:c>
      <x:c r="AV16" s="17" t="n">
        <x:v>0.0368992425605723</x:v>
      </x:c>
      <x:c r="AW16" s="16"/>
      <x:c r="AX16" s="17" t="n">
        <x:v>0.06278037989544849</x:v>
      </x:c>
      <x:c r="AY16" s="16" t="n">
        <x:v>0.5172413793103448</x:v>
      </x:c>
      <x:c r="AZ16" s="17" t="n">
        <x:v>0.0019411193788417987</x:v>
      </x:c>
      <x:c r="BA16" s="16"/>
      <x:c r="BB16" s="17" t="n">
        <x:v>0.05844274592318588</x:v>
      </x:c>
      <x:c r="BC16" s="16" t="n">
        <x:v>0.7586206896551724</x:v>
      </x:c>
      <x:c r="BD16" s="17" t="n">
        <x:v>0.015936483457635212</x:v>
      </x:c>
      <x:c r="BE16" s="17" t="n">
        <x:v>0.04250626246555067</x:v>
      </x:c>
      <x:c r="BF16" s="17" t="n">
        <x:v>0.0405224380442063</x:v>
      </x:c>
      <x:c r="BG16" s="17" t="n">
        <x:v>0.04250626246555067</x:v>
      </x:c>
      <x:c r="BH16" s="12" t="str">
        <x:v>cash repurchases less issuance</x:v>
      </x:c>
      <x:c r="BI16" s="17"/>
      <x:c r="BJ16" s="19" t="n">
        <x:v>592000000</x:v>
      </x:c>
      <x:c r="BK16" s="19" t="n">
        <x:v>1615000000</x:v>
      </x:c>
      <x:c r="BL16" s="19" t="n">
        <x:v>36000000</x:v>
      </x:c>
      <x:c r="BM16" s="19" t="n">
        <x:v>1532000000</x:v>
      </x:c>
      <x:c r="BN16" s="19" t="n">
        <x:v>4062000000</x:v>
      </x:c>
      <x:c r="BO16" s="19" t="n">
        <x:v>5982000000</x:v>
      </x:c>
      <x:c r="BP16" s="19" t="n">
        <x:v>162000000</x:v>
      </x:c>
      <x:c r="BQ16" s="19" t="n">
        <x:v>5820000000</x:v>
      </x:c>
      <x:c r="BR16" s="19" t="n">
        <x:v>85997000000</x:v>
      </x:c>
      <x:c r="BS16" s="19" t="n">
        <x:v>80917000000</x:v>
      </x:c>
      <x:c r="BT16" s="19" t="n">
        <x:v>18979000000</x:v>
      </x:c>
      <x:c r="BU16" s="19"/>
      <x:c r="BV16" s="19" t="n">
        <x:v>4371000000</x:v>
      </x:c>
      <x:c r="BW16" s="19" t="n">
        <x:v>4366000000</x:v>
      </x:c>
      <x:c r="BX16" s="12" t="n">
        <x:v>274130820</x:v>
      </x:c>
      <x:c r="BY16" s="17" t="n">
        <x:v>-0.0405224380442063</x:v>
      </x:c>
      <x:c r="BZ16" s="12" t="n">
        <x:v>5</x:v>
      </x:c>
      <x:c r="CA16" s="12" t="str">
        <x:v>OK</x:v>
      </x:c>
      <x:c r="CB16" s="20" t="str">
        <x:v>https://query1.finance.yahoo.com/v8/finance/chart/HIG?period1=1704067200&amp;period2=1783728000&amp;interval=1d&amp;events=div%2Csplits</x:v>
      </x:c>
      <x:c r="CC16" s="20" t="str">
        <x:v>https://data.sec.gov/api/xbrl/companyfacts/CIK0000874766.json</x:v>
      </x:c>
      <x:c r="CD16" s="20" t="str">
        <x:v>https://data.sec.gov/submissions/CIK0000874766.json</x:v>
      </x:c>
      <x:c r="CE16" s="20" t="str">
        <x:v>https://api.nasdaq.com/api/screener/stocks?tableonly=true&amp;limit=25000&amp;download=true</x:v>
      </x:c>
    </x:row>
    <x:row r="17">
      <x:c r="A17" s="12" t="str">
        <x:v>GD</x:v>
      </x:c>
      <x:c r="B17" s="12" t="str">
        <x:v>General Dynamics Corp.</x:v>
      </x:c>
      <x:c r="C17" s="12" t="str">
        <x:v>Long</x:v>
      </x:c>
      <x:c r="D17" s="14" t="n">
        <x:v>0.004515</x:v>
      </x:c>
      <x:c r="E17" s="15" t="n">
        <x:v>0.10481431251629507</x:v>
      </x:c>
      <x:c r="F17" s="15" t="n">
        <x:v>0.034009374445236884</x:v>
      </x:c>
      <x:c r="G17" s="12" t="str">
        <x:v>Low Beta</x:v>
      </x:c>
      <x:c r="H17" s="12" t="str">
        <x:v>Low Bad Beta</x:v>
      </x:c>
      <x:c r="I17" s="12" t="str">
        <x:v>Low Beta / Low Bad Beta</x:v>
      </x:c>
      <x:c r="J17" s="15" t="n">
        <x:v>1</x:v>
      </x:c>
      <x:c r="K17" s="18" t="n">
        <x:v>46213</x:v>
      </x:c>
      <x:c r="L17" s="15" t="n">
        <x:v>375.05999755859375</x:v>
      </x:c>
      <x:c r="M17" s="19" t="n">
        <x:v>99485857194</x:v>
      </x:c>
      <x:c r="N17" s="12" t="str">
        <x:v>Nasdaq screener</x:v>
      </x:c>
      <x:c r="O17" s="12" t="str">
        <x:v>Industrials</x:v>
      </x:c>
      <x:c r="P17" s="12" t="str">
        <x:v>Marine Transportation</x:v>
      </x:c>
      <x:c r="Q17" s="12" t="n">
        <x:v>3730</x:v>
      </x:c>
      <x:c r="R17" s="12" t="str">
        <x:v>Ship &amp; Boat Building &amp; Repairing</x:v>
      </x:c>
      <x:c r="S17" s="18" t="n">
        <x:v>43830</x:v>
      </x:c>
      <x:c r="T17" s="18" t="n">
        <x:v>46022</x:v>
      </x:c>
      <x:c r="U17" s="15" t="n">
        <x:v>0.05667961390855569</x:v>
      </x:c>
      <x:c r="V17" s="16" t="n">
        <x:v>0.5344827586206896</x:v>
      </x:c>
      <x:c r="W17" s="17" t="n">
        <x:v>0.16942471313714777</x:v>
      </x:c>
      <x:c r="X17" s="15" t="n">
        <x:v>-0.21447864169863295</x:v>
      </x:c>
      <x:c r="Y17" s="17"/>
      <x:c r="Z17" s="15"/>
      <x:c r="AA17" s="17" t="n">
        <x:v>0.31511981890562796</x:v>
      </x:c>
      <x:c r="AB17" s="15" t="n">
        <x:v>0.32783786951574434</x:v>
      </x:c>
      <x:c r="AC17" s="13" t="b">
        <x:v>0</x:v>
      </x:c>
      <x:c r="AD17" s="15" t="n">
        <x:v>2.5723900301647205</x:v>
      </x:c>
      <x:c r="AE17" s="16" t="n">
        <x:v>0.9454545454545454</x:v>
      </x:c>
      <x:c r="AF17" s="15" t="n">
        <x:v>1.3999999999999986</x:v>
      </x:c>
      <x:c r="AG17" s="12" t="n">
        <x:v>8</x:v>
      </x:c>
      <x:c r="AH17" s="12" t="n">
        <x:v>39</x:v>
      </x:c>
      <x:c r="AI17" s="17" t="n">
        <x:v>0.09523322401718481</x:v>
      </x:c>
      <x:c r="AJ17" s="16" t="n">
        <x:v>0.9652173913043478</x:v>
      </x:c>
      <x:c r="AK17" s="18" t="n">
        <x:v>46141</x:v>
      </x:c>
      <x:c r="AL17" s="18" t="n">
        <x:v>46141</x:v>
      </x:c>
      <x:c r="AM17" s="12" t="str">
        <x:v>2026-04-28 to 2026-04-29 to 2026-04-30</x:v>
      </x:c>
      <x:c r="AN17" s="12" t="str">
        <x:v>8-K Item 2.02 filing date</x:v>
      </x:c>
      <x:c r="AO17" s="12" t="str">
        <x:v>SUE + CAR3</x:v>
      </x:c>
      <x:c r="AP17" s="17" t="n">
        <x:v>0.04363434283462962</x:v>
      </x:c>
      <x:c r="AQ17" s="16" t="n">
        <x:v>0.4396551724137931</x:v>
      </x:c>
      <x:c r="AR17" s="17" t="n">
        <x:v>0.06233046761518966</x:v>
      </x:c>
      <x:c r="AS17" s="16" t="n">
        <x:v>0.66</x:v>
      </x:c>
      <x:c r="AT17" s="17" t="n">
        <x:v>0.2575441446922092</x:v>
      </x:c>
      <x:c r="AU17" s="16" t="n">
        <x:v>0.3879310344827586</x:v>
      </x:c>
      <x:c r="AV17" s="17" t="n">
        <x:v>0.5113523432596456</x:v>
      </x:c>
      <x:c r="AW17" s="16" t="n">
        <x:v>0.6869565217391305</x:v>
      </x:c>
      <x:c r="AX17" s="17" t="n">
        <x:v>0.024498926270579924</x:v>
      </x:c>
      <x:c r="AY17" s="16" t="n">
        <x:v>0.7758620689655172</x:v>
      </x:c>
      <x:c r="AZ17" s="17" t="n">
        <x:v>0.02160365600332364</x:v>
      </x:c>
      <x:c r="BA17" s="16" t="n">
        <x:v>0.56</x:v>
      </x:c>
      <x:c r="BB17" s="17" t="n">
        <x:v>0.02860708125025476</x:v>
      </x:c>
      <x:c r="BC17" s="16" t="n">
        <x:v>0.4396551724137931</x:v>
      </x:c>
      <x:c r="BD17" s="17" t="n">
        <x:v>0.01601232622335061</x:v>
      </x:c>
      <x:c r="BE17" s="17" t="n">
        <x:v>0.005035891674763751</x:v>
      </x:c>
      <x:c r="BF17" s="17" t="n">
        <x:v>0.018235219921797552</x:v>
      </x:c>
      <x:c r="BG17" s="17" t="n">
        <x:v>0.005035891674763751</x:v>
      </x:c>
      <x:c r="BH17" s="12" t="str">
        <x:v>cash repurchases less issuance</x:v>
      </x:c>
      <x:c r="BI17" s="17" t="n">
        <x:v>0.0075588633521404</x:v>
      </x:c>
      <x:c r="BJ17" s="19" t="n">
        <x:v>1593000000</x:v>
      </x:c>
      <x:c r="BK17" s="19" t="n">
        <x:v>637000000</x:v>
      </x:c>
      <x:c r="BL17" s="19" t="n">
        <x:v>136000000</x:v>
      </x:c>
      <x:c r="BM17" s="19" t="n">
        <x:v>53808000000</x:v>
      </x:c>
      <x:c r="BN17" s="19" t="n">
        <x:v>4341000000</x:v>
      </x:c>
      <x:c r="BO17" s="19" t="n">
        <x:v>7423000000</x:v>
      </x:c>
      <x:c r="BP17" s="19" t="n">
        <x:v>1222000000</x:v>
      </x:c>
      <x:c r="BQ17" s="19" t="n">
        <x:v>6201000000</x:v>
      </x:c>
      <x:c r="BR17" s="19" t="n">
        <x:v>57249000000</x:v>
      </x:c>
      <x:c r="BS17" s="19" t="n">
        <x:v>55880000000</x:v>
      </x:c>
      <x:c r="BT17" s="19" t="n">
        <x:v>25622000000</x:v>
      </x:c>
      <x:c r="BU17" s="19" t="n">
        <x:v>2333000000</x:v>
      </x:c>
      <x:c r="BV17" s="19" t="n">
        <x:v>8074000000</x:v>
      </x:c>
      <x:c r="BW17" s="19" t="n">
        <x:v>8826000000</x:v>
      </x:c>
      <x:c r="BX17" s="12" t="n">
        <x:v>270430187</x:v>
      </x:c>
      <x:c r="BY17" s="17" t="n">
        <x:v>-0.018235219921797552</x:v>
      </x:c>
      <x:c r="BZ17" s="12" t="n">
        <x:v>5</x:v>
      </x:c>
      <x:c r="CA17" s="12" t="str">
        <x:v>OK</x:v>
      </x:c>
      <x:c r="CB17" s="20" t="str">
        <x:v>https://query1.finance.yahoo.com/v8/finance/chart/GD?period1=1704067200&amp;period2=1783728000&amp;interval=1d&amp;events=div%2Csplits</x:v>
      </x:c>
      <x:c r="CC17" s="20" t="str">
        <x:v>https://data.sec.gov/api/xbrl/companyfacts/CIK0000040533.json</x:v>
      </x:c>
      <x:c r="CD17" s="20" t="str">
        <x:v>https://data.sec.gov/submissions/CIK0000040533.json</x:v>
      </x:c>
      <x:c r="CE17" s="20" t="str">
        <x:v>https://api.nasdaq.com/api/screener/stocks?tableonly=true&amp;limit=25000&amp;download=true</x:v>
      </x:c>
    </x:row>
    <x:row r="18">
      <x:c r="A18" s="12" t="str">
        <x:v>SFM</x:v>
      </x:c>
      <x:c r="B18" s="12" t="str">
        <x:v>Sprouts Farmers Market Inc.</x:v>
      </x:c>
      <x:c r="C18" s="12" t="str">
        <x:v>Long</x:v>
      </x:c>
      <x:c r="D18" s="14" t="n">
        <x:v>0.003754</x:v>
      </x:c>
      <x:c r="E18" s="15" t="n">
        <x:v>0.31831153534311635</x:v>
      </x:c>
      <x:c r="F18" s="15" t="n">
        <x:v>0.14842046574174902</x:v>
      </x:c>
      <x:c r="G18" s="12" t="str">
        <x:v>Low Beta</x:v>
      </x:c>
      <x:c r="H18" s="12" t="str">
        <x:v>Low Bad Beta</x:v>
      </x:c>
      <x:c r="I18" s="12" t="str">
        <x:v>Low Beta / Low Bad Beta</x:v>
      </x:c>
      <x:c r="J18" s="15" t="n">
        <x:v>1</x:v>
      </x:c>
      <x:c r="K18" s="18" t="n">
        <x:v>46213</x:v>
      </x:c>
      <x:c r="L18" s="15" t="n">
        <x:v>80.86000061035156</x:v>
      </x:c>
      <x:c r="M18" s="19" t="n">
        <x:v>6967272040</x:v>
      </x:c>
      <x:c r="N18" s="12" t="str">
        <x:v>Nasdaq screener</x:v>
      </x:c>
      <x:c r="O18" s="12" t="str">
        <x:v>Consumer Staples</x:v>
      </x:c>
      <x:c r="P18" s="12" t="str">
        <x:v>Food Chains</x:v>
      </x:c>
      <x:c r="Q18" s="12" t="n">
        <x:v>5411</x:v>
      </x:c>
      <x:c r="R18" s="12" t="str">
        <x:v>Retail-Grocery Stores</x:v>
      </x:c>
      <x:c r="S18" s="18" t="n">
        <x:v>46110</x:v>
      </x:c>
      <x:c r="T18" s="18" t="n">
        <x:v>46019</x:v>
      </x:c>
      <x:c r="U18" s="15" t="n">
        <x:v>0.5586252217671599</x:v>
      </x:c>
      <x:c r="V18" s="16" t="n">
        <x:v>0.9224137931034482</x:v>
      </x:c>
      <x:c r="W18" s="17" t="n">
        <x:v>0.3616117182700271</x:v>
      </x:c>
      <x:c r="X18" s="15" t="n">
        <x:v>0.9020568035330251</x:v>
      </x:c>
      <x:c r="Y18" s="17" t="n">
        <x:v>0.02283729357889916</x:v>
      </x:c>
      <x:c r="Z18" s="15" t="n">
        <x:v>0.09523066643725098</x:v>
      </x:c>
      <x:c r="AA18" s="17" t="n">
        <x:v>0</x:v>
      </x:c>
      <x:c r="AB18" s="15" t="n">
        <x:v>0.6785881953312037</x:v>
      </x:c>
      <x:c r="AC18" s="13" t="b">
        <x:v>0</x:v>
      </x:c>
      <x:c r="AD18" s="15" t="n">
        <x:v>-0.43843868131797886</x:v>
      </x:c>
      <x:c r="AE18" s="16" t="n">
        <x:v>0.13636363636363635</x:v>
      </x:c>
      <x:c r="AF18" s="15" t="n">
        <x:v>-0.10000000000000009</x:v>
      </x:c>
      <x:c r="AG18" s="12" t="n">
        <x:v>8</x:v>
      </x:c>
      <x:c r="AH18" s="12" t="n">
        <x:v>52</x:v>
      </x:c>
      <x:c r="AI18" s="17" t="n">
        <x:v>0.13918740135471142</x:v>
      </x:c>
      <x:c r="AJ18" s="16" t="n">
        <x:v>1</x:v>
      </x:c>
      <x:c r="AK18" s="18" t="n">
        <x:v>46141</x:v>
      </x:c>
      <x:c r="AL18" s="18" t="n">
        <x:v>46141</x:v>
      </x:c>
      <x:c r="AM18" s="12" t="str">
        <x:v>2026-04-28 to 2026-04-29 to 2026-04-30</x:v>
      </x:c>
      <x:c r="AN18" s="12" t="str">
        <x:v>8-K Item 2.02 filing date</x:v>
      </x:c>
      <x:c r="AO18" s="12" t="str">
        <x:v>SUE + CAR3</x:v>
      </x:c>
      <x:c r="AP18" s="17" t="n">
        <x:v>0.07282161469900061</x:v>
      </x:c>
      <x:c r="AQ18" s="16" t="n">
        <x:v>0.7413793103448276</x:v>
      </x:c>
      <x:c r="AR18" s="17" t="n">
        <x:v>0.05199409437728802</x:v>
      </x:c>
      <x:c r="AS18" s="16" t="n">
        <x:v>0.52</x:v>
      </x:c>
      <x:c r="AT18" s="17" t="n">
        <x:v>0.20138068270404438</x:v>
      </x:c>
      <x:c r="AU18" s="16" t="n">
        <x:v>0.29310344827586204</x:v>
      </x:c>
      <x:c r="AV18" s="17" t="n">
        <x:v>1.3262168717019436</x:v>
      </x:c>
      <x:c r="AW18" s="16" t="n">
        <x:v>0.9043478260869565</x:v>
      </x:c>
      <x:c r="AX18" s="17" t="n">
        <x:v>0.14226663615970447</x:v>
      </x:c>
      <x:c r="AY18" s="16" t="n">
        <x:v>0.14655172413793105</x:v>
      </x:c>
      <x:c r="AZ18" s="17" t="n">
        <x:v>0.0743495481930028</x:v>
      </x:c>
      <x:c r="BA18" s="16" t="n">
        <x:v>0.19999999999999996</x:v>
      </x:c>
      <x:c r="BB18" s="17" t="n">
        <x:v>0.0673606538262858</x:v>
      </x:c>
      <x:c r="BC18" s="16" t="n">
        <x:v>0.8362068965517241</x:v>
      </x:c>
      <x:c r="BD18" s="17" t="n">
        <x:v>0</x:v>
      </x:c>
      <x:c r="BE18" s="17" t="n">
        <x:v>0.0673606538262858</x:v>
      </x:c>
      <x:c r="BF18" s="17" t="n">
        <x:v>0.026386135195651916</x:v>
      </x:c>
      <x:c r="BG18" s="17" t="n">
        <x:v>0.0673606538262858</x:v>
      </x:c>
      <x:c r="BH18" s="12" t="str">
        <x:v>cash repurchases less issuance</x:v>
      </x:c>
      <x:c r="BI18" s="17"/>
      <x:c r="BJ18" s="19" t="n">
        <x:v>0</x:v>
      </x:c>
      <x:c r="BK18" s="19" t="n">
        <x:v>471926000</x:v>
      </x:c>
      <x:c r="BL18" s="19" t="n">
        <x:v>2606000</x:v>
      </x:c>
      <x:c r="BM18" s="19" t="n">
        <x:v>8898902000</x:v>
      </x:c>
      <x:c r="BN18" s="19" t="n">
        <x:v>507368000</x:v>
      </x:c>
      <x:c r="BO18" s="19" t="n">
        <x:v>652196000</x:v>
      </x:c>
      <x:c r="BP18" s="19" t="n">
        <x:v>289939000</x:v>
      </x:c>
      <x:c r="BQ18" s="19" t="n">
        <x:v>362257000</x:v>
      </x:c>
      <x:c r="BR18" s="19" t="n">
        <x:v>4158649000</x:v>
      </x:c>
      <x:c r="BS18" s="19" t="n">
        <x:v>3640699000</x:v>
      </x:c>
      <x:c r="BT18" s="19" t="n">
        <x:v>1403074000</x:v>
      </x:c>
      <x:c r="BU18" s="19" t="n">
        <x:v>257282000</x:v>
      </x:c>
      <x:c r="BV18" s="19"/>
      <x:c r="BW18" s="19"/>
      <x:c r="BX18" s="12" t="n">
        <x:v>94044301</x:v>
      </x:c>
      <x:c r="BY18" s="17" t="n">
        <x:v>-0.026386135195651916</x:v>
      </x:c>
      <x:c r="BZ18" s="12" t="n">
        <x:v>5</x:v>
      </x:c>
      <x:c r="CA18" s="12" t="str">
        <x:v>OK</x:v>
      </x:c>
      <x:c r="CB18" s="20" t="str">
        <x:v>https://query1.finance.yahoo.com/v8/finance/chart/SFM?period1=1704067200&amp;period2=1783728000&amp;interval=1d&amp;events=div%2Csplits</x:v>
      </x:c>
      <x:c r="CC18" s="20" t="str">
        <x:v>https://data.sec.gov/api/xbrl/companyfacts/CIK0001575515.json</x:v>
      </x:c>
      <x:c r="CD18" s="20" t="str">
        <x:v>https://data.sec.gov/submissions/CIK0001575515.json</x:v>
      </x:c>
      <x:c r="CE18" s="20" t="str">
        <x:v>https://api.nasdaq.com/api/screener/stocks?tableonly=true&amp;limit=25000&amp;download=true</x:v>
      </x:c>
    </x:row>
    <x:row r="19">
      <x:c r="A19" s="12" t="str">
        <x:v>THG</x:v>
      </x:c>
      <x:c r="B19" s="12" t="str">
        <x:v>The Hanover Insurance Group Inc.</x:v>
      </x:c>
      <x:c r="C19" s="12" t="str">
        <x:v>Long</x:v>
      </x:c>
      <x:c r="D19" s="14" t="n">
        <x:v>0.004416</x:v>
      </x:c>
      <x:c r="E19" s="15" t="n">
        <x:v>0.2606331626106742</x:v>
      </x:c>
      <x:c r="F19" s="15" t="n">
        <x:v>-0.01113446028315607</x:v>
      </x:c>
      <x:c r="G19" s="12" t="str">
        <x:v>Low Beta</x:v>
      </x:c>
      <x:c r="H19" s="12" t="str">
        <x:v>Low Bad Beta</x:v>
      </x:c>
      <x:c r="I19" s="12" t="str">
        <x:v>Low Beta / Low Bad Beta</x:v>
      </x:c>
      <x:c r="J19" s="15" t="n">
        <x:v>1</x:v>
      </x:c>
      <x:c r="K19" s="18" t="n">
        <x:v>46213</x:v>
      </x:c>
      <x:c r="L19" s="15" t="n">
        <x:v>213.99000549316406</x:v>
      </x:c>
      <x:c r="M19" s="19" t="n">
        <x:v>7309264606</x:v>
      </x:c>
      <x:c r="N19" s="12" t="str">
        <x:v>Nasdaq screener</x:v>
      </x:c>
      <x:c r="O19" s="12" t="str">
        <x:v>Finance</x:v>
      </x:c>
      <x:c r="P19" s="12" t="str">
        <x:v>Property-Casualty Insurers</x:v>
      </x:c>
      <x:c r="Q19" s="12" t="n">
        <x:v>6331</x:v>
      </x:c>
      <x:c r="R19" s="12" t="str">
        <x:v>Fire, Marine &amp; Casualty Insurance</x:v>
      </x:c>
      <x:c r="S19" s="18" t="n">
        <x:v>46112</x:v>
      </x:c>
      <x:c r="T19" s="18" t="n">
        <x:v>46022</x:v>
      </x:c>
      <x:c r="U19" s="15" t="n">
        <x:v>0.1949923824166108</x:v>
      </x:c>
      <x:c r="V19" s="16" t="n">
        <x:v>0.6982758620689655</x:v>
      </x:c>
      <x:c r="W19" s="17" t="n">
        <x:v>0.20190396192076157</x:v>
      </x:c>
      <x:c r="X19" s="15" t="n">
        <x:v>-0.02578621436032929</x:v>
      </x:c>
      <x:c r="Y19" s="17"/>
      <x:c r="Z19" s="15"/>
      <x:c r="AA19" s="17" t="n">
        <x:v>0.2361192776144477</x:v>
      </x:c>
      <x:c r="AB19" s="15" t="n">
        <x:v>0.4157709791935509</x:v>
      </x:c>
      <x:c r="AC19" s="13" t="b">
        <x:v>1</x:v>
      </x:c>
      <x:c r="AD19" s="15" t="n">
        <x:v>1.7146290156431587</x:v>
      </x:c>
      <x:c r="AE19" s="16" t="n">
        <x:v>0.8090909090909091</x:v>
      </x:c>
      <x:c r="AF19" s="15" t="n">
        <x:v>1.7399999999999998</x:v>
      </x:c>
      <x:c r="AG19" s="12" t="n">
        <x:v>8</x:v>
      </x:c>
      <x:c r="AH19" s="12" t="n">
        <x:v>64</x:v>
      </x:c>
      <x:c r="AI19" s="17" t="n">
        <x:v>0.04331872716104257</x:v>
      </x:c>
      <x:c r="AJ19" s="16" t="n">
        <x:v>0.8608695652173913</x:v>
      </x:c>
      <x:c r="AK19" s="18" t="n">
        <x:v>46141</x:v>
      </x:c>
      <x:c r="AL19" s="18" t="n">
        <x:v>46141</x:v>
      </x:c>
      <x:c r="AM19" s="12" t="str">
        <x:v>2026-04-28 to 2026-04-29 to 2026-04-30</x:v>
      </x:c>
      <x:c r="AN19" s="12" t="str">
        <x:v>8-K Item 2.02 filing date</x:v>
      </x:c>
      <x:c r="AO19" s="12" t="str">
        <x:v>SUE + CAR3</x:v>
      </x:c>
      <x:c r="AP19" s="17" t="n">
        <x:v>0.09865561569738032</x:v>
      </x:c>
      <x:c r="AQ19" s="16" t="n">
        <x:v>0.853448275862069</x:v>
      </x:c>
      <x:c r="AR19" s="17" t="n">
        <x:v>0.17082429865448492</x:v>
      </x:c>
      <x:c r="AS19" s="16"/>
      <x:c r="AT19" s="17" t="n">
        <x:v>0.4886264477370598</x:v>
      </x:c>
      <x:c r="AU19" s="16" t="n">
        <x:v>0.6551724137931034</x:v>
      </x:c>
      <x:c r="AV19" s="17" t="n">
        <x:v>0.9520240253685478</x:v>
      </x:c>
      <x:c r="AW19" s="16"/>
      <x:c r="AX19" s="17" t="n">
        <x:v>0.10942420373825668</x:v>
      </x:c>
      <x:c r="AY19" s="16" t="n">
        <x:v>0.2586206896551724</x:v>
      </x:c>
      <x:c r="AZ19" s="17" t="n">
        <x:v>0.0005834812727340443</x:v>
      </x:c>
      <x:c r="BA19" s="16"/>
      <x:c r="BB19" s="17" t="n">
        <x:v>0.03343701633121585</x:v>
      </x:c>
      <x:c r="BC19" s="16" t="n">
        <x:v>0.5</x:v>
      </x:c>
      <x:c r="BD19" s="17" t="n">
        <x:v>0.01786773458615708</x:v>
      </x:c>
      <x:c r="BE19" s="17" t="n">
        <x:v>0.015569281745058772</x:v>
      </x:c>
      <x:c r="BF19" s="17" t="n">
        <x:v>-0.0027472527472527375</x:v>
      </x:c>
      <x:c r="BG19" s="17" t="n">
        <x:v>0.015569281745058772</x:v>
      </x:c>
      <x:c r="BH19" s="12" t="str">
        <x:v>cash repurchases less issuance</x:v>
      </x:c>
      <x:c r="BI19" s="17"/>
      <x:c r="BJ19" s="19" t="n">
        <x:v>130600000</x:v>
      </x:c>
      <x:c r="BK19" s="19" t="n">
        <x:v>129200000</x:v>
      </x:c>
      <x:c r="BL19" s="19" t="n">
        <x:v>15400000</x:v>
      </x:c>
      <x:c r="BM19" s="19" t="n">
        <x:v>6692600000</x:v>
      </x:c>
      <x:c r="BN19" s="19" t="n">
        <x:v>721100000</x:v>
      </x:c>
      <x:c r="BO19" s="19" t="n">
        <x:v>1258000000</x:v>
      </x:c>
      <x:c r="BP19" s="19" t="n">
        <x:v>9400000</x:v>
      </x:c>
      <x:c r="BQ19" s="19" t="n">
        <x:v>1248600000</x:v>
      </x:c>
      <x:c r="BR19" s="19" t="n">
        <x:v>16945900000</x:v>
      </x:c>
      <x:c r="BS19" s="19" t="n">
        <x:v>15274500000</x:v>
      </x:c>
      <x:c r="BT19" s="19" t="n">
        <x:v>3571500000</x:v>
      </x:c>
      <x:c r="BU19" s="19" t="n">
        <x:v>1122700000</x:v>
      </x:c>
      <x:c r="BV19" s="19" t="n">
        <x:v>843300000</x:v>
      </x:c>
      <x:c r="BW19" s="19" t="n">
        <x:v>722300000</x:v>
      </x:c>
      <x:c r="BX19" s="12" t="n">
        <x:v>34986787</x:v>
      </x:c>
      <x:c r="BY19" s="17" t="n">
        <x:v>0.0027472527472527375</x:v>
      </x:c>
      <x:c r="BZ19" s="12" t="n">
        <x:v>5</x:v>
      </x:c>
      <x:c r="CA19" s="12" t="str">
        <x:v>OK</x:v>
      </x:c>
      <x:c r="CB19" s="20" t="str">
        <x:v>https://query1.finance.yahoo.com/v8/finance/chart/THG?period1=1704067200&amp;period2=1783728000&amp;interval=1d&amp;events=div%2Csplits</x:v>
      </x:c>
      <x:c r="CC19" s="20" t="str">
        <x:v>https://data.sec.gov/api/xbrl/companyfacts/CIK0000944695.json</x:v>
      </x:c>
      <x:c r="CD19" s="20" t="str">
        <x:v>https://data.sec.gov/submissions/CIK0000944695.json</x:v>
      </x:c>
      <x:c r="CE19" s="20" t="str">
        <x:v>https://api.nasdaq.com/api/screener/stocks?tableonly=true&amp;limit=25000&amp;download=true</x:v>
      </x:c>
    </x:row>
    <x:row r="20">
      <x:c r="A20" s="12" t="str">
        <x:v>AIG</x:v>
      </x:c>
      <x:c r="B20" s="12" t="str">
        <x:v>American International Group Inc.</x:v>
      </x:c>
      <x:c r="C20" s="12" t="str">
        <x:v>Long</x:v>
      </x:c>
      <x:c r="D20" s="14" t="n">
        <x:v>0.004084</x:v>
      </x:c>
      <x:c r="E20" s="15" t="n">
        <x:v>0.12996000382650574</x:v>
      </x:c>
      <x:c r="F20" s="15" t="n">
        <x:v>-0.10806174081467458</x:v>
      </x:c>
      <x:c r="G20" s="12" t="str">
        <x:v>Low Beta</x:v>
      </x:c>
      <x:c r="H20" s="12" t="str">
        <x:v>Low Bad Beta</x:v>
      </x:c>
      <x:c r="I20" s="12" t="str">
        <x:v>Low Beta / Low Bad Beta</x:v>
      </x:c>
      <x:c r="J20" s="15" t="n">
        <x:v>1</x:v>
      </x:c>
      <x:c r="K20" s="18" t="n">
        <x:v>46213</x:v>
      </x:c>
      <x:c r="L20" s="15" t="n">
        <x:v>79.16999816894531</x:v>
      </x:c>
      <x:c r="M20" s="19" t="n">
        <x:v>40931920261</x:v>
      </x:c>
      <x:c r="N20" s="12" t="str">
        <x:v>Nasdaq screener</x:v>
      </x:c>
      <x:c r="O20" s="12" t="str">
        <x:v>Finance</x:v>
      </x:c>
      <x:c r="P20" s="12" t="str">
        <x:v>Life Insurance</x:v>
      </x:c>
      <x:c r="Q20" s="12" t="n">
        <x:v>6331</x:v>
      </x:c>
      <x:c r="R20" s="12" t="str">
        <x:v>Fire, Marine &amp; Casualty Insurance</x:v>
      </x:c>
      <x:c r="S20" s="18" t="n">
        <x:v>46112</x:v>
      </x:c>
      <x:c r="T20" s="18" t="n">
        <x:v>46022</x:v>
      </x:c>
      <x:c r="U20" s="15" t="n">
        <x:v>-0.16123251871410987</x:v>
      </x:c>
      <x:c r="V20" s="16" t="n">
        <x:v>0.3879310344827586</x:v>
      </x:c>
      <x:c r="W20" s="17" t="n">
        <x:v>0.07683706458591603</x:v>
      </x:c>
      <x:c r="X20" s="15" t="n">
        <x:v>-0.7523786486560545</x:v>
      </x:c>
      <x:c r="Y20" s="17"/>
      <x:c r="Z20" s="15"/>
      <x:c r="AA20" s="17" t="n">
        <x:v>0.22341330610855878</x:v>
      </x:c>
      <x:c r="AB20" s="15" t="n">
        <x:v>0.4299136112278348</x:v>
      </x:c>
      <x:c r="AC20" s="13" t="b">
        <x:v>1</x:v>
      </x:c>
      <x:c r="AD20" s="15" t="n">
        <x:v>0.054542961793461894</x:v>
      </x:c>
      <x:c r="AE20" s="16" t="n">
        <x:v>0.33636363636363636</x:v>
      </x:c>
      <x:c r="AF20" s="15" t="n">
        <x:v>0.24</x:v>
      </x:c>
      <x:c r="AG20" s="12" t="n">
        <x:v>8</x:v>
      </x:c>
      <x:c r="AH20" s="12" t="n">
        <x:v>55</x:v>
      </x:c>
      <x:c r="AI20" s="17" t="n">
        <x:v>0.04850081829893138</x:v>
      </x:c>
      <x:c r="AJ20" s="16" t="n">
        <x:v>0.8782608695652174</x:v>
      </x:c>
      <x:c r="AK20" s="18" t="n">
        <x:v>46142</x:v>
      </x:c>
      <x:c r="AL20" s="18" t="n">
        <x:v>46142</x:v>
      </x:c>
      <x:c r="AM20" s="12" t="str">
        <x:v>2026-04-29 to 2026-04-30 to 2026-05-01</x:v>
      </x:c>
      <x:c r="AN20" s="12" t="str">
        <x:v>8-K Item 2.02 filing date</x:v>
      </x:c>
      <x:c r="AO20" s="12" t="str">
        <x:v>SUE + CAR3</x:v>
      </x:c>
      <x:c r="AP20" s="17" t="n">
        <x:v>0.0772257929714528</x:v>
      </x:c>
      <x:c r="AQ20" s="16" t="n">
        <x:v>0.7844827586206896</x:v>
      </x:c>
      <x:c r="AR20" s="17" t="n">
        <x:v>0.0795955816200548</x:v>
      </x:c>
      <x:c r="AS20" s="16"/>
      <x:c r="AT20" s="17" t="n">
        <x:v>1.0050591259261614</x:v>
      </x:c>
      <x:c r="AU20" s="16" t="n">
        <x:v>0.9655172413793104</x:v>
      </x:c>
      <x:c r="AV20" s="17" t="n">
        <x:v>0.5315332758201201</x:v>
      </x:c>
      <x:c r="AW20" s="16"/>
      <x:c r="AX20" s="17" t="n">
        <x:v>-0.00042151721401917364</x:v>
      </x:c>
      <x:c r="AY20" s="16" t="n">
        <x:v>0.8706896551724138</x:v>
      </x:c>
      <x:c r="AZ20" s="17" t="n">
        <x:v>0.0016554238381032687</x:v>
      </x:c>
      <x:c r="BA20" s="16"/>
      <x:c r="BB20" s="17" t="n">
        <x:v>0.1626359075643661</x:v>
      </x:c>
      <x:c r="BC20" s="16" t="n">
        <x:v>0.9741379310344828</x:v>
      </x:c>
      <x:c r="BD20" s="17" t="n">
        <x:v>0.023844471350881975</x:v>
      </x:c>
      <x:c r="BE20" s="17" t="n">
        <x:v>0.13879143621348414</x:v>
      </x:c>
      <x:c r="BF20" s="17" t="n">
        <x:v>0.13226137118741943</x:v>
      </x:c>
      <x:c r="BG20" s="17" t="n">
        <x:v>0.13879143621348414</x:v>
      </x:c>
      <x:c r="BH20" s="12" t="str">
        <x:v>cash repurchases less issuance</x:v>
      </x:c>
      <x:c r="BI20" s="17"/>
      <x:c r="BJ20" s="19" t="n">
        <x:v>976000000</x:v>
      </x:c>
      <x:c r="BK20" s="19" t="n">
        <x:v>5836000000</x:v>
      </x:c>
      <x:c r="BL20" s="19" t="n">
        <x:v>155000000</x:v>
      </x:c>
      <x:c r="BM20" s="19" t="n">
        <x:v>26642000000</x:v>
      </x:c>
      <x:c r="BN20" s="19" t="n">
        <x:v>3161000000</x:v>
      </x:c>
      <x:c r="BO20" s="19" t="n">
        <x:v>3525000000</x:v>
      </x:c>
      <x:c r="BP20" s="19" t="n">
        <x:v>267000000</x:v>
      </x:c>
      <x:c r="BQ20" s="19" t="n">
        <x:v>3258000000</x:v>
      </x:c>
      <x:c r="BR20" s="19" t="n">
        <x:v>161254000000</x:v>
      </x:c>
      <x:c r="BS20" s="19" t="n">
        <x:v>161322000000</x:v>
      </x:c>
      <x:c r="BT20" s="19" t="n">
        <x:v>41139000000</x:v>
      </x:c>
      <x:c r="BU20" s="19"/>
      <x:c r="BV20" s="19" t="n">
        <x:v>9191000000</x:v>
      </x:c>
      <x:c r="BW20" s="19" t="n">
        <x:v>8922000000</x:v>
      </x:c>
      <x:c r="BX20" s="12" t="n">
        <x:v>530206221</x:v>
      </x:c>
      <x:c r="BY20" s="17" t="n">
        <x:v>-0.13226137118741943</x:v>
      </x:c>
      <x:c r="BZ20" s="12" t="n">
        <x:v>5</x:v>
      </x:c>
      <x:c r="CA20" s="12" t="str">
        <x:v>OK</x:v>
      </x:c>
      <x:c r="CB20" s="20" t="str">
        <x:v>https://query1.finance.yahoo.com/v8/finance/chart/AIG?period1=1704067200&amp;period2=1783728000&amp;interval=1d&amp;events=div%2Csplits</x:v>
      </x:c>
      <x:c r="CC20" s="20" t="str">
        <x:v>https://data.sec.gov/api/xbrl/companyfacts/CIK0000005272.json</x:v>
      </x:c>
      <x:c r="CD20" s="20" t="str">
        <x:v>https://data.sec.gov/submissions/CIK0000005272.json</x:v>
      </x:c>
      <x:c r="CE20" s="20" t="str">
        <x:v>https://api.nasdaq.com/api/screener/stocks?tableonly=true&amp;limit=25000&amp;download=true</x:v>
      </x:c>
    </x:row>
    <x:row r="21">
      <x:c r="A21" s="12" t="str">
        <x:v>RTX</x:v>
      </x:c>
      <x:c r="B21" s="12" t="str">
        <x:v>RTX Corp.</x:v>
      </x:c>
      <x:c r="C21" s="12" t="str">
        <x:v>Long</x:v>
      </x:c>
      <x:c r="D21" s="14" t="n">
        <x:v>0.00438</x:v>
      </x:c>
      <x:c r="E21" s="15" t="n">
        <x:v>0.29713149831694907</x:v>
      </x:c>
      <x:c r="F21" s="15" t="n">
        <x:v>0.06182903360399839</x:v>
      </x:c>
      <x:c r="G21" s="12" t="str">
        <x:v>Low Beta</x:v>
      </x:c>
      <x:c r="H21" s="12" t="str">
        <x:v>Low Bad Beta</x:v>
      </x:c>
      <x:c r="I21" s="12" t="str">
        <x:v>Low Beta / Low Bad Beta</x:v>
      </x:c>
      <x:c r="J21" s="15" t="n">
        <x:v>1</x:v>
      </x:c>
      <x:c r="K21" s="18" t="n">
        <x:v>46213</x:v>
      </x:c>
      <x:c r="L21" s="15" t="n">
        <x:v>195.92999267578125</x:v>
      </x:c>
      <x:c r="M21" s="19" t="n">
        <x:v>261337386038</x:v>
      </x:c>
      <x:c r="N21" s="12" t="str">
        <x:v>Nasdaq screener</x:v>
      </x:c>
      <x:c r="O21" s="12" t="str">
        <x:v>Industrials</x:v>
      </x:c>
      <x:c r="P21" s="12" t="str">
        <x:v>Aerospace</x:v>
      </x:c>
      <x:c r="Q21" s="12" t="n">
        <x:v>3724</x:v>
      </x:c>
      <x:c r="R21" s="12" t="str">
        <x:v>Aircraft Engines &amp; Engine Parts</x:v>
      </x:c>
      <x:c r="S21" s="18" t="n">
        <x:v>46112</x:v>
      </x:c>
      <x:c r="T21" s="18" t="n">
        <x:v>46022</x:v>
      </x:c>
      <x:c r="U21" s="15" t="n">
        <x:v>0.8910444407320472</x:v>
      </x:c>
      <x:c r="V21" s="16" t="n">
        <x:v>0.9827586206896552</x:v>
      </x:c>
      <x:c r="W21" s="17" t="n">
        <x:v>0.11121158709479653</x:v>
      </x:c>
      <x:c r="X21" s="15" t="n">
        <x:v>-0.5526753816867707</x:v>
      </x:c>
      <x:c r="Y21" s="17" t="n">
        <x:v>-0.22489668802778942</x:v>
      </x:c>
      <x:c r="Z21" s="15" t="n">
        <x:v>2.550700717319892</x:v>
      </x:c>
      <x:c r="AA21" s="17" t="n">
        <x:v>0.0031266763736684804</x:v>
      </x:c>
      <x:c r="AB21" s="15" t="n">
        <x:v>0.6751079865630204</x:v>
      </x:c>
      <x:c r="AC21" s="13" t="b">
        <x:v>0</x:v>
      </x:c>
      <x:c r="AD21" s="15" t="n">
        <x:v>0.47583517044493073</x:v>
      </x:c>
      <x:c r="AE21" s="16" t="n">
        <x:v>0.5272727272727272</x:v>
      </x:c>
      <x:c r="AF21" s="15" t="n">
        <x:v>0.3800000000000001</x:v>
      </x:c>
      <x:c r="AG21" s="12" t="n">
        <x:v>8</x:v>
      </x:c>
      <x:c r="AH21" s="12" t="n">
        <x:v>68</x:v>
      </x:c>
      <x:c r="AI21" s="17" t="n">
        <x:v>-0.08271647220468847</x:v>
      </x:c>
      <x:c r="AJ21" s="16" t="n">
        <x:v>0.1565217391304348</x:v>
      </x:c>
      <x:c r="AK21" s="18" t="n">
        <x:v>46133</x:v>
      </x:c>
      <x:c r="AL21" s="18" t="n">
        <x:v>46133</x:v>
      </x:c>
      <x:c r="AM21" s="12" t="str">
        <x:v>2026-04-20 to 2026-04-21 to 2026-04-22</x:v>
      </x:c>
      <x:c r="AN21" s="12" t="str">
        <x:v>8-K Item 2.02 filing date</x:v>
      </x:c>
      <x:c r="AO21" s="12" t="str">
        <x:v>SUE + CAR3</x:v>
      </x:c>
      <x:c r="AP21" s="17" t="n">
        <x:v>0.027764875550354416</x:v>
      </x:c>
      <x:c r="AQ21" s="16" t="n">
        <x:v>0.12931034482758622</x:v>
      </x:c>
      <x:c r="AR21" s="17" t="n">
        <x:v>0.03236046754814599</x:v>
      </x:c>
      <x:c r="AS21" s="16" t="n">
        <x:v>0.25</x:v>
      </x:c>
      <x:c r="AT21" s="17" t="n">
        <x:v>0.24965811814813588</x:v>
      </x:c>
      <x:c r="AU21" s="16" t="n">
        <x:v>0.35344827586206895</x:v>
      </x:c>
      <x:c r="AV21" s="17" t="n">
        <x:v>0.3556502510979212</x:v>
      </x:c>
      <x:c r="AW21" s="16" t="n">
        <x:v>0.6</x:v>
      </x:c>
      <x:c r="AX21" s="17" t="n">
        <x:v>0.050460208398573014</x:v>
      </x:c>
      <x:c r="AY21" s="16" t="n">
        <x:v>0.646551724137931</x:v>
      </x:c>
      <x:c r="AZ21" s="17" t="n">
        <x:v>0.01593100556986285</x:v>
      </x:c>
      <x:c r="BA21" s="16" t="n">
        <x:v>0.63</x:v>
      </x:c>
      <x:c r="BB21" s="17" t="n">
        <x:v>0.1701708304128117</x:v>
      </x:c>
      <x:c r="BC21" s="16" t="n">
        <x:v>0.9827586206896551</x:v>
      </x:c>
      <x:c r="BD21" s="17" t="n">
        <x:v>0.013675808326483832</x:v>
      </x:c>
      <x:c r="BE21" s="17" t="n">
        <x:v>0.00009183531053038947</x:v>
      </x:c>
      <x:c r="BF21" s="17" t="n">
        <x:v>-0.009526644834772169</x:v>
      </x:c>
      <x:c r="BG21" s="17" t="n">
        <x:v>0.00009183531053038947</x:v>
      </x:c>
      <x:c r="BH21" s="12" t="str">
        <x:v>cash repurchases less issuance</x:v>
      </x:c>
      <x:c r="BI21" s="17" t="n">
        <x:v>0.15640318677579748</x:v>
      </x:c>
      <x:c r="BJ21" s="19" t="n">
        <x:v>3574000000</x:v>
      </x:c>
      <x:c r="BK21" s="19" t="n">
        <x:v>50000000</x:v>
      </x:c>
      <x:c r="BL21" s="19" t="n">
        <x:v>26000000</x:v>
      </x:c>
      <x:c r="BM21" s="19" t="n">
        <x:v>90373000000</x:v>
      </x:c>
      <x:c r="BN21" s="19" t="n">
        <x:v>7256000000</x:v>
      </x:c>
      <x:c r="BO21" s="19" t="n">
        <x:v>11117000000</x:v>
      </x:c>
      <x:c r="BP21" s="19" t="n">
        <x:v>2660000000</x:v>
      </x:c>
      <x:c r="BQ21" s="19" t="n">
        <x:v>8457000000</x:v>
      </x:c>
      <x:c r="BR21" s="19" t="n">
        <x:v>171079000000</x:v>
      </x:c>
      <x:c r="BS21" s="19" t="n">
        <x:v>162861000000</x:v>
      </x:c>
      <x:c r="BT21" s="19" t="n">
        <x:v>65245000000</x:v>
      </x:c>
      <x:c r="BU21" s="19" t="n">
        <x:v>7435000000</x:v>
      </x:c>
      <x:c r="BV21" s="19" t="n">
        <x:v>204000000</x:v>
      </x:c>
      <x:c r="BW21" s="19" t="n">
        <x:v>41078000000</x:v>
      </x:c>
      <x:c r="BX21" s="12" t="n">
        <x:v>1346683428</x:v>
      </x:c>
      <x:c r="BY21" s="17" t="n">
        <x:v>0.009526644834772169</x:v>
      </x:c>
      <x:c r="BZ21" s="12" t="n">
        <x:v>5</x:v>
      </x:c>
      <x:c r="CA21" s="12" t="str">
        <x:v>OK</x:v>
      </x:c>
      <x:c r="CB21" s="20" t="str">
        <x:v>https://query1.finance.yahoo.com/v8/finance/chart/RTX?period1=1704067200&amp;period2=1783728000&amp;interval=1d&amp;events=div%2Csplits</x:v>
      </x:c>
      <x:c r="CC21" s="20" t="str">
        <x:v>https://data.sec.gov/api/xbrl/companyfacts/CIK0000101829.json</x:v>
      </x:c>
      <x:c r="CD21" s="20" t="str">
        <x:v>https://data.sec.gov/submissions/CIK0000101829.json</x:v>
      </x:c>
      <x:c r="CE21" s="20" t="str">
        <x:v>https://api.nasdaq.com/api/screener/stocks?tableonly=true&amp;limit=25000&amp;download=true</x:v>
      </x:c>
    </x:row>
    <x:row r="22">
      <x:c r="A22" s="12" t="str">
        <x:v>ACGL</x:v>
      </x:c>
      <x:c r="B22" s="12" t="str">
        <x:v>Arch Capital Group Ltd.</x:v>
      </x:c>
      <x:c r="C22" s="12" t="str">
        <x:v>Long</x:v>
      </x:c>
      <x:c r="D22" s="14" t="n">
        <x:v>0.004171</x:v>
      </x:c>
      <x:c r="E22" s="15" t="n">
        <x:v>-0.060329701783588305</x:v>
      </x:c>
      <x:c r="F22" s="15" t="n">
        <x:v>-0.0601623252097205</x:v>
      </x:c>
      <x:c r="G22" s="12" t="str">
        <x:v>Low Beta</x:v>
      </x:c>
      <x:c r="H22" s="12" t="str">
        <x:v>Low Bad Beta</x:v>
      </x:c>
      <x:c r="I22" s="12" t="str">
        <x:v>Low Beta / Low Bad Beta</x:v>
      </x:c>
      <x:c r="J22" s="15" t="n">
        <x:v>1</x:v>
      </x:c>
      <x:c r="K22" s="18" t="n">
        <x:v>46213</x:v>
      </x:c>
      <x:c r="L22" s="15" t="n">
        <x:v>101.05999755859375</x:v>
      </x:c>
      <x:c r="M22" s="19" t="n">
        <x:v>34721883049</x:v>
      </x:c>
      <x:c r="N22" s="12" t="str">
        <x:v>Nasdaq screener</x:v>
      </x:c>
      <x:c r="O22" s="12" t="str">
        <x:v>Finance</x:v>
      </x:c>
      <x:c r="P22" s="12" t="str">
        <x:v>Property-Casualty Insurers</x:v>
      </x:c>
      <x:c r="Q22" s="12" t="n">
        <x:v>6331</x:v>
      </x:c>
      <x:c r="R22" s="12" t="str">
        <x:v>Fire, Marine &amp; Casualty Insurance</x:v>
      </x:c>
      <x:c r="S22" s="18" t="n">
        <x:v>46112</x:v>
      </x:c>
      <x:c r="T22" s="18" t="n">
        <x:v>46022</x:v>
      </x:c>
      <x:c r="U22" s="15" t="n">
        <x:v>0.32456645412798746</x:v>
      </x:c>
      <x:c r="V22" s="16" t="n">
        <x:v>0.8448275862068966</x:v>
      </x:c>
      <x:c r="W22" s="17" t="n">
        <x:v>0.2012724117987276</x:v>
      </x:c>
      <x:c r="X22" s="15" t="n">
        <x:v>-0.029455287075228865</x:v>
      </x:c>
      <x:c r="Y22" s="17"/>
      <x:c r="Z22" s="15"/>
      <x:c r="AA22" s="17" t="n">
        <x:v>0</x:v>
      </x:c>
      <x:c r="AB22" s="15" t="n">
        <x:v>0.6785881953312037</x:v>
      </x:c>
      <x:c r="AC22" s="13" t="b">
        <x:v>1</x:v>
      </x:c>
      <x:c r="AD22" s="15" t="n">
        <x:v>0.7355765766054893</x:v>
      </x:c>
      <x:c r="AE22" s="16" t="n">
        <x:v>0.5818181818181818</x:v>
      </x:c>
      <x:c r="AF22" s="15" t="n">
        <x:v>1.43</x:v>
      </x:c>
      <x:c r="AG22" s="12" t="n">
        <x:v>8</x:v>
      </x:c>
      <x:c r="AH22" s="12" t="n">
        <x:v>61</x:v>
      </x:c>
      <x:c r="AI22" s="17" t="n">
        <x:v>-0.03045828363859171</x:v>
      </x:c>
      <x:c r="AJ22" s="16" t="n">
        <x:v>0.4434782608695652</x:v>
      </x:c>
      <x:c r="AK22" s="18" t="n">
        <x:v>46140</x:v>
      </x:c>
      <x:c r="AL22" s="18" t="n">
        <x:v>46140</x:v>
      </x:c>
      <x:c r="AM22" s="12" t="str">
        <x:v>2026-04-27 to 2026-04-28 to 2026-04-29</x:v>
      </x:c>
      <x:c r="AN22" s="12" t="str">
        <x:v>8-K Item 2.02 filing date</x:v>
      </x:c>
      <x:c r="AO22" s="12" t="str">
        <x:v>SUE + CAR3</x:v>
      </x:c>
      <x:c r="AP22" s="17" t="n">
        <x:v>0.1403149706231245</x:v>
      </x:c>
      <x:c r="AQ22" s="16" t="n">
        <x:v>0.9482758620689655</x:v>
      </x:c>
      <x:c r="AR22" s="17" t="n">
        <x:v>0.16874084829246438</x:v>
      </x:c>
      <x:c r="AS22" s="16"/>
      <x:c r="AT22" s="17" t="n">
        <x:v>0.6971396097913284</x:v>
      </x:c>
      <x:c r="AU22" s="16" t="n">
        <x:v>0.8793103448275862</x:v>
      </x:c>
      <x:c r="AV22" s="17" t="n">
        <x:v>0.5863520583017454</x:v>
      </x:c>
      <x:c r="AW22" s="16"/>
      <x:c r="AX22" s="17" t="n">
        <x:v>0.11754999576904623</x:v>
      </x:c>
      <x:c r="AY22" s="16" t="n">
        <x:v>0.2155172413793104</x:v>
      </x:c>
      <x:c r="AZ22" s="17" t="n">
        <x:v>0.0005727720167569115</x:v>
      </x:c>
      <x:c r="BA22" s="16"/>
      <x:c r="BB22" s="17" t="n">
        <x:v>0.05420117904735012</x:v>
      </x:c>
      <x:c r="BC22" s="16" t="n">
        <x:v>0.7241379310344828</x:v>
      </x:c>
      <x:c r="BD22" s="17" t="n">
        <x:v>0</x:v>
      </x:c>
      <x:c r="BE22" s="17" t="n">
        <x:v>0.05420117904735012</x:v>
      </x:c>
      <x:c r="BF22" s="17" t="n">
        <x:v>0.015453116815086432</x:v>
      </x:c>
      <x:c r="BG22" s="17" t="n">
        <x:v>0.05420117904735012</x:v>
      </x:c>
      <x:c r="BH22" s="12" t="str">
        <x:v>cash repurchases less issuance</x:v>
      </x:c>
      <x:c r="BI22" s="17"/>
      <x:c r="BJ22" s="19" t="n">
        <x:v>0</x:v>
      </x:c>
      <x:c r="BK22" s="19" t="n">
        <x:v>1889000000</x:v>
      </x:c>
      <x:c r="BL22" s="19" t="n">
        <x:v>7033000</x:v>
      </x:c>
      <x:c r="BM22" s="19" t="n">
        <x:v>19777000000</x:v>
      </x:c>
      <x:c r="BN22" s="19" t="n">
        <x:v>4872000000</x:v>
      </x:c>
      <x:c r="BO22" s="19" t="n">
        <x:v>5902000000</x:v>
      </x:c>
      <x:c r="BP22" s="19" t="n">
        <x:v>43000000</x:v>
      </x:c>
      <x:c r="BQ22" s="19" t="n">
        <x:v>5859000000</x:v>
      </x:c>
      <x:c r="BR22" s="19" t="n">
        <x:v>79241000000</x:v>
      </x:c>
      <x:c r="BS22" s="19" t="n">
        <x:v>70906000000</x:v>
      </x:c>
      <x:c r="BT22" s="19" t="n">
        <x:v>24206000000</x:v>
      </x:c>
      <x:c r="BU22" s="19" t="n">
        <x:v>993000000</x:v>
      </x:c>
      <x:c r="BV22" s="19"/>
      <x:c r="BW22" s="19"/>
      <x:c r="BX22" s="12" t="n">
        <x:v>349389588</x:v>
      </x:c>
      <x:c r="BY22" s="17" t="n">
        <x:v>-0.015453116815086432</x:v>
      </x:c>
      <x:c r="BZ22" s="12" t="n">
        <x:v>5</x:v>
      </x:c>
      <x:c r="CA22" s="12" t="str">
        <x:v>OK</x:v>
      </x:c>
      <x:c r="CB22" s="20" t="str">
        <x:v>https://query1.finance.yahoo.com/v8/finance/chart/ACGL?period1=1704067200&amp;period2=1783728000&amp;interval=1d&amp;events=div%2Csplits</x:v>
      </x:c>
      <x:c r="CC22" s="20" t="str">
        <x:v>https://data.sec.gov/api/xbrl/companyfacts/CIK0000947484.json</x:v>
      </x:c>
      <x:c r="CD22" s="20" t="str">
        <x:v>https://data.sec.gov/submissions/CIK0000947484.json</x:v>
      </x:c>
      <x:c r="CE22" s="20" t="str">
        <x:v>https://api.nasdaq.com/api/screener/stocks?tableonly=true&amp;limit=25000&amp;download=true</x:v>
      </x:c>
    </x:row>
    <x:row r="23">
      <x:c r="A23" s="12" t="str">
        <x:v>DOX</x:v>
      </x:c>
      <x:c r="B23" s="12" t="str">
        <x:v>Amdocs Ltd.</x:v>
      </x:c>
      <x:c r="C23" s="12" t="str">
        <x:v>Long</x:v>
      </x:c>
      <x:c r="D23" s="14" t="n">
        <x:v>0.003303</x:v>
      </x:c>
      <x:c r="E23" s="15" t="n">
        <x:v>0.35228648369974686</x:v>
      </x:c>
      <x:c r="F23" s="15" t="n">
        <x:v>0.10773295420929727</x:v>
      </x:c>
      <x:c r="G23" s="12" t="str">
        <x:v>Low Beta</x:v>
      </x:c>
      <x:c r="H23" s="12" t="str">
        <x:v>Low Bad Beta</x:v>
      </x:c>
      <x:c r="I23" s="12" t="str">
        <x:v>Low Beta / Low Bad Beta</x:v>
      </x:c>
      <x:c r="J23" s="15" t="n">
        <x:v>1</x:v>
      </x:c>
      <x:c r="K23" s="18" t="n">
        <x:v>46213</x:v>
      </x:c>
      <x:c r="L23" s="15" t="n">
        <x:v>51.90999984741211</x:v>
      </x:c>
      <x:c r="M23" s="19" t="n">
        <x:v>5677066256</x:v>
      </x:c>
      <x:c r="N23" s="12" t="str">
        <x:v>Nasdaq screener</x:v>
      </x:c>
      <x:c r="O23" s="12" t="str">
        <x:v>Technology</x:v>
      </x:c>
      <x:c r="P23" s="12" t="str">
        <x:v>EDP Services</x:v>
      </x:c>
      <x:c r="Q23" s="12" t="n">
        <x:v>7371</x:v>
      </x:c>
      <x:c r="R23" s="12" t="str">
        <x:v>Services-Computer Programming Services</x:v>
      </x:c>
      <x:c r="S23" s="18"/>
      <x:c r="T23" s="18" t="n">
        <x:v>45565</x:v>
      </x:c>
      <x:c r="U23" s="15" t="n">
        <x:v>0.08572001807498882</x:v>
      </x:c>
      <x:c r="V23" s="16" t="n">
        <x:v>0.5775862068965517</x:v>
      </x:c>
      <x:c r="W23" s="17" t="n">
        <x:v>0.14266717501076084</x:v>
      </x:c>
      <x:c r="X23" s="15" t="n">
        <x:v>-0.36993004552581793</x:v>
      </x:c>
      <x:c r="Y23" s="17" t="n">
        <x:v>0.016677600601633105</x:v>
      </x:c>
      <x:c r="Z23" s="15" t="n">
        <x:v>0.15659329316695486</x:v>
      </x:c>
      <x:c r="AA23" s="17" t="n">
        <x:v>0.18695270085762816</x:v>
      </x:c>
      <x:c r="AB23" s="15" t="n">
        <x:v>0.47049680658382953</x:v>
      </x:c>
      <x:c r="AC23" s="13" t="b">
        <x:v>0</x:v>
      </x:c>
      <x:c r="AD23" s="15"/>
      <x:c r="AE23" s="16"/>
      <x:c r="AF23" s="15"/>
      <x:c r="AG23" s="12" t="n">
        <x:v>0</x:v>
      </x:c>
      <x:c r="AH23" s="12" t="n">
        <x:v>0</x:v>
      </x:c>
      <x:c r="AI23" s="17" t="n">
        <x:v>-0.02883340213227048</x:v>
      </x:c>
      <x:c r="AJ23" s="16" t="n">
        <x:v>0.46956521739130436</x:v>
      </x:c>
      <x:c r="AK23" s="18" t="n">
        <x:v>46168</x:v>
      </x:c>
      <x:c r="AL23" s="18" t="n">
        <x:v>46168</x:v>
      </x:c>
      <x:c r="AM23" s="12" t="str">
        <x:v>2026-05-22 to 2026-05-26 to 2026-05-27</x:v>
      </x:c>
      <x:c r="AN23" s="12" t="str">
        <x:v>latest recent 6-K filing date fallback</x:v>
      </x:c>
      <x:c r="AO23" s="12" t="str">
        <x:v>CAR3 only</x:v>
      </x:c>
      <x:c r="AP23" s="17" t="n">
        <x:v>0.08687532922110043</x:v>
      </x:c>
      <x:c r="AQ23" s="16" t="n">
        <x:v>0.8103448275862069</x:v>
      </x:c>
      <x:c r="AR23" s="17" t="n">
        <x:v>0.10902338850561409</x:v>
      </x:c>
      <x:c r="AS23" s="16" t="n">
        <x:v>0.86</x:v>
      </x:c>
      <x:c r="AT23" s="17" t="n">
        <x:v>0.6089370537725146</x:v>
      </x:c>
      <x:c r="AU23" s="16" t="n">
        <x:v>0.8189655172413793</x:v>
      </x:c>
      <x:c r="AV23" s="17" t="n">
        <x:v>0.8373366287567009</x:v>
      </x:c>
      <x:c r="AW23" s="16" t="n">
        <x:v>0.808695652173913</x:v>
      </x:c>
      <x:c r="AX23" s="17" t="n">
        <x:v>-0.0061489470408688796</x:v>
      </x:c>
      <x:c r="AY23" s="16" t="n">
        <x:v>0.896551724137931</x:v>
      </x:c>
      <x:c r="AZ23" s="17" t="n">
        <x:v>0.01646841835980048</x:v>
      </x:c>
      <x:c r="BA23" s="16" t="n">
        <x:v>0.62</x:v>
      </x:c>
      <x:c r="BB23" s="17" t="n">
        <x:v>0.13167787133185785</x:v>
      </x:c>
      <x:c r="BC23" s="16" t="n">
        <x:v>0.9568965517241379</x:v>
      </x:c>
      <x:c r="BD23" s="17" t="n">
        <x:v>0.03733741873735849</x:v>
      </x:c>
      <x:c r="BE23" s="17" t="n">
        <x:v>0.09444526024922265</x:v>
      </x:c>
      <x:c r="BF23" s="17" t="n">
        <x:v>0.03507482015590668</x:v>
      </x:c>
      <x:c r="BG23" s="17" t="n">
        <x:v>0.09444526024922265</x:v>
      </x:c>
      <x:c r="BH23" s="12" t="str">
        <x:v>cash repurchases less issuance</x:v>
      </x:c>
      <x:c r="BI23" s="17" t="n">
        <x:v>-0.00010480765472327438</x:v>
      </x:c>
      <x:c r="BJ23" s="19" t="n">
        <x:v>211967000</x:v>
      </x:c>
      <x:c r="BK23" s="19" t="n">
        <x:v>563121000</x:v>
      </x:c>
      <x:c r="BL23" s="19" t="n">
        <x:v>26949000</x:v>
      </x:c>
      <x:c r="BM23" s="19" t="n">
        <x:v>5004989000</x:v>
      </x:c>
      <x:c r="BN23" s="19" t="n">
        <x:v>493197000</x:v>
      </x:c>
      <x:c r="BO23" s="19" t="n">
        <x:v>724428000</x:v>
      </x:c>
      <x:c r="BP23" s="19" t="n">
        <x:v>105495000</x:v>
      </x:c>
      <x:c r="BQ23" s="19" t="n">
        <x:v>618933000</x:v>
      </x:c>
      <x:c r="BR23" s="19" t="n">
        <x:v>6386142000</x:v>
      </x:c>
      <x:c r="BS23" s="19" t="n">
        <x:v>6425653000</x:v>
      </x:c>
      <x:c r="BT23" s="19" t="n">
        <x:v>3456976000</x:v>
      </x:c>
      <x:c r="BU23" s="19" t="n">
        <x:v>346085000</x:v>
      </x:c>
      <x:c r="BV23" s="19" t="n">
        <x:v>646291000</x:v>
      </x:c>
      <x:c r="BW23" s="19" t="n">
        <x:v>645696000</x:v>
      </x:c>
      <x:c r="BX23" s="12" t="n">
        <x:v>112890564</x:v>
      </x:c>
      <x:c r="BY23" s="17" t="n">
        <x:v>-0.03507482015590668</x:v>
      </x:c>
      <x:c r="BZ23" s="12" t="n">
        <x:v>5</x:v>
      </x:c>
      <x:c r="CA23" s="12" t="str">
        <x:v>OK</x:v>
      </x:c>
      <x:c r="CB23" s="20" t="str">
        <x:v>https://query1.finance.yahoo.com/v8/finance/chart/DOX?period1=1704067200&amp;period2=1783728000&amp;interval=1d&amp;events=div%2Csplits</x:v>
      </x:c>
      <x:c r="CC23" s="20" t="str">
        <x:v>https://data.sec.gov/api/xbrl/companyfacts/CIK0001062579.json</x:v>
      </x:c>
      <x:c r="CD23" s="20" t="str">
        <x:v>https://data.sec.gov/submissions/CIK0001062579.json</x:v>
      </x:c>
      <x:c r="CE23" s="20" t="str">
        <x:v>https://api.nasdaq.com/api/screener/stocks?tableonly=true&amp;limit=25000&amp;download=true</x:v>
      </x:c>
    </x:row>
    <x:row r="24">
      <x:c r="A24" s="12" t="str">
        <x:v>VZ</x:v>
      </x:c>
      <x:c r="B24" s="12" t="str">
        <x:v>Verizon Communications Inc.</x:v>
      </x:c>
      <x:c r="C24" s="12" t="str">
        <x:v>Long</x:v>
      </x:c>
      <x:c r="D24" s="14" t="n">
        <x:v>0.003477</x:v>
      </x:c>
      <x:c r="E24" s="15" t="n">
        <x:v>0.006982987901506233</x:v>
      </x:c>
      <x:c r="F24" s="15" t="n">
        <x:v>-0.03572572732825695</x:v>
      </x:c>
      <x:c r="G24" s="12" t="str">
        <x:v>Low Beta</x:v>
      </x:c>
      <x:c r="H24" s="12" t="str">
        <x:v>Low Bad Beta</x:v>
      </x:c>
      <x:c r="I24" s="12" t="str">
        <x:v>Low Beta / Low Bad Beta</x:v>
      </x:c>
      <x:c r="J24" s="15" t="n">
        <x:v>1</x:v>
      </x:c>
      <x:c r="K24" s="18" t="n">
        <x:v>46213</x:v>
      </x:c>
      <x:c r="L24" s="15" t="n">
        <x:v>42.119998931884766</x:v>
      </x:c>
      <x:c r="M24" s="19" t="n">
        <x:v>179444644157</x:v>
      </x:c>
      <x:c r="N24" s="12" t="str">
        <x:v>Nasdaq screener</x:v>
      </x:c>
      <x:c r="O24" s="12" t="str">
        <x:v>Telecommunications</x:v>
      </x:c>
      <x:c r="P24" s="12" t="str">
        <x:v>Telecommunications Equipment</x:v>
      </x:c>
      <x:c r="Q24" s="12" t="n">
        <x:v>4813</x:v>
      </x:c>
      <x:c r="R24" s="12" t="str">
        <x:v>Telephone Communications (No Radiotelephone)</x:v>
      </x:c>
      <x:c r="S24" s="18" t="n">
        <x:v>46112</x:v>
      </x:c>
      <x:c r="T24" s="18" t="n">
        <x:v>46022</x:v>
      </x:c>
      <x:c r="U24" s="15" t="n">
        <x:v>0.21393405579363214</x:v>
      </x:c>
      <x:c r="V24" s="16" t="n">
        <x:v>0.7413793103448276</x:v>
      </x:c>
      <x:c r="W24" s="17" t="n">
        <x:v>0.1639855874258802</x:v>
      </x:c>
      <x:c r="X24" s="15" t="n">
        <x:v>-0.2460779511498739</x:v>
      </x:c>
      <x:c r="Y24" s="17"/>
      <x:c r="Z24" s="15"/>
      <x:c r="AA24" s="17" t="n">
        <x:v>0.004170567707890033</x:v>
      </x:c>
      <x:c r="AB24" s="15" t="n">
        <x:v>0.6739460627371382</x:v>
      </x:c>
      <x:c r="AC24" s="13" t="b">
        <x:v>0</x:v>
      </x:c>
      <x:c r="AD24" s="15" t="n">
        <x:v>0.05432005624844739</x:v>
      </x:c>
      <x:c r="AE24" s="16" t="n">
        <x:v>0.32727272727272727</x:v>
      </x:c>
      <x:c r="AF24" s="15" t="n">
        <x:v>0.040000000000000036</x:v>
      </x:c>
      <x:c r="AG24" s="12" t="n">
        <x:v>8</x:v>
      </x:c>
      <x:c r="AH24" s="12" t="n">
        <x:v>68</x:v>
      </x:c>
      <x:c r="AI24" s="17" t="n">
        <x:v>-0.0016987853535996855</x:v>
      </x:c>
      <x:c r="AJ24" s="16" t="n">
        <x:v>0.6434782608695652</x:v>
      </x:c>
      <x:c r="AK24" s="18" t="n">
        <x:v>46139</x:v>
      </x:c>
      <x:c r="AL24" s="18" t="n">
        <x:v>46139</x:v>
      </x:c>
      <x:c r="AM24" s="12" t="str">
        <x:v>2026-04-24 to 2026-04-27 to 2026-04-28</x:v>
      </x:c>
      <x:c r="AN24" s="12" t="str">
        <x:v>8-K Item 2.02 filing date</x:v>
      </x:c>
      <x:c r="AO24" s="12" t="str">
        <x:v>SUE + CAR3</x:v>
      </x:c>
      <x:c r="AP24" s="17" t="n">
        <x:v>0.09663147140144712</x:v>
      </x:c>
      <x:c r="AQ24" s="16" t="n">
        <x:v>0.8362068965517241</x:v>
      </x:c>
      <x:c r="AR24" s="17" t="n">
        <x:v>0.11354476527130825</x:v>
      </x:c>
      <x:c r="AS24" s="16" t="n">
        <x:v>0.87</x:v>
      </x:c>
      <x:c r="AT24" s="17" t="n">
        <x:v>0.589268074824707</x:v>
      </x:c>
      <x:c r="AU24" s="16" t="n">
        <x:v>0.7758620689655172</x:v>
      </x:c>
      <x:c r="AV24" s="17" t="n">
        <x:v>0.8651332884742708</x:v>
      </x:c>
      <x:c r="AW24" s="16" t="n">
        <x:v>0.8173913043478261</x:v>
      </x:c>
      <x:c r="AX24" s="17" t="n">
        <x:v>0.0508095687412109</x:v>
      </x:c>
      <x:c r="AY24" s="16" t="n">
        <x:v>0.6379310344827587</x:v>
      </x:c>
      <x:c r="AZ24" s="17" t="n">
        <x:v>0.04300295702365999</x:v>
      </x:c>
      <x:c r="BA24" s="16" t="n">
        <x:v>0.39</x:v>
      </x:c>
      <x:c r="BB24" s="17" t="n">
        <x:v>0.06186866179347554</x:v>
      </x:c>
      <x:c r="BC24" s="16" t="n">
        <x:v>0.7844827586206896</x:v>
      </x:c>
      <x:c r="BD24" s="17" t="n">
        <x:v>0.06398073374625227</x:v>
      </x:c>
      <x:c r="BE24" s="17" t="n">
        <x:v>-0.00001671824764730919</x:v>
      </x:c>
      <x:c r="BF24" s="17" t="n">
        <x:v>-0.001894387875917669</x:v>
      </x:c>
      <x:c r="BG24" s="17" t="n">
        <x:v>-0.00001671824764730919</x:v>
      </x:c>
      <x:c r="BH24" s="12" t="str">
        <x:v>cash repurchases less issuance</x:v>
      </x:c>
      <x:c r="BI24" s="17" t="n">
        <x:v>-0.0020953537051294183</x:v>
      </x:c>
      <x:c r="BJ24" s="19" t="n">
        <x:v>11481000000</x:v>
      </x:c>
      <x:c r="BK24" s="19" t="n">
        <x:v>0</x:v>
      </x:c>
      <x:c r="BL24" s="19" t="n">
        <x:v>3000000</x:v>
      </x:c>
      <x:c r="BM24" s="19" t="n">
        <x:v>139146000000</x:v>
      </x:c>
      <x:c r="BN24" s="19" t="n">
        <x:v>17340000000</x:v>
      </x:c>
      <x:c r="BO24" s="19" t="n">
        <x:v>37339000000</x:v>
      </x:c>
      <x:c r="BP24" s="19" t="n">
        <x:v>16964000000</x:v>
      </x:c>
      <x:c r="BQ24" s="19" t="n">
        <x:v>20375000000</x:v>
      </x:c>
      <x:c r="BR24" s="19" t="n">
        <x:v>404258000000</x:v>
      </x:c>
      <x:c r="BS24" s="19" t="n">
        <x:v>384711000000</x:v>
      </x:c>
      <x:c r="BT24" s="19" t="n">
        <x:v>105741000000</x:v>
      </x:c>
      <x:c r="BU24" s="19" t="n">
        <x:v>19048000000</x:v>
      </x:c>
      <x:c r="BV24" s="19" t="n">
        <x:v>441000000</x:v>
      </x:c>
      <x:c r="BW24" s="19" t="n">
        <x:v>65000000</x:v>
      </x:c>
      <x:c r="BX24" s="12" t="n">
        <x:v>4175558910</x:v>
      </x:c>
      <x:c r="BY24" s="17" t="n">
        <x:v>0.001894387875917669</x:v>
      </x:c>
      <x:c r="BZ24" s="12" t="n">
        <x:v>5</x:v>
      </x:c>
      <x:c r="CA24" s="12" t="str">
        <x:v>OK</x:v>
      </x:c>
      <x:c r="CB24" s="20" t="str">
        <x:v>https://query1.finance.yahoo.com/v8/finance/chart/VZ?period1=1704067200&amp;period2=1783728000&amp;interval=1d&amp;events=div%2Csplits</x:v>
      </x:c>
      <x:c r="CC24" s="20" t="str">
        <x:v>https://data.sec.gov/api/xbrl/companyfacts/CIK0000732712.json</x:v>
      </x:c>
      <x:c r="CD24" s="20" t="str">
        <x:v>https://data.sec.gov/submissions/CIK0000732712.json</x:v>
      </x:c>
      <x:c r="CE24" s="20" t="str">
        <x:v>https://api.nasdaq.com/api/screener/stocks?tableonly=true&amp;limit=25000&amp;download=true</x:v>
      </x:c>
    </x:row>
    <x:row r="25">
      <x:c r="A25" s="12" t="str">
        <x:v>CMCSA</x:v>
      </x:c>
      <x:c r="B25" s="12" t="str">
        <x:v>Comcast Corp.</x:v>
      </x:c>
      <x:c r="C25" s="12" t="str">
        <x:v>Long</x:v>
      </x:c>
      <x:c r="D25" s="14" t="n">
        <x:v>0.003769</x:v>
      </x:c>
      <x:c r="E25" s="15" t="n">
        <x:v>0.19325854156422623</x:v>
      </x:c>
      <x:c r="F25" s="15" t="n">
        <x:v>-0.14527561962653748</x:v>
      </x:c>
      <x:c r="G25" s="12" t="str">
        <x:v>Low Beta</x:v>
      </x:c>
      <x:c r="H25" s="12" t="str">
        <x:v>Low Bad Beta</x:v>
      </x:c>
      <x:c r="I25" s="12" t="str">
        <x:v>Low Beta / Low Bad Beta</x:v>
      </x:c>
      <x:c r="J25" s="15" t="n">
        <x:v>1</x:v>
      </x:c>
      <x:c r="K25" s="18" t="n">
        <x:v>46213</x:v>
      </x:c>
      <x:c r="L25" s="15" t="n">
        <x:v>23.56999969482422</x:v>
      </x:c>
      <x:c r="M25" s="19" t="n">
        <x:v>84324317585</x:v>
      </x:c>
      <x:c r="N25" s="12" t="str">
        <x:v>Nasdaq screener</x:v>
      </x:c>
      <x:c r="O25" s="12" t="str">
        <x:v>Telecommunications</x:v>
      </x:c>
      <x:c r="P25" s="12" t="str">
        <x:v>Cable &amp; Other Pay Television Services</x:v>
      </x:c>
      <x:c r="Q25" s="12" t="n">
        <x:v>4841</x:v>
      </x:c>
      <x:c r="R25" s="12" t="str">
        <x:v>Cable &amp; Other Pay Television Services</x:v>
      </x:c>
      <x:c r="S25" s="18" t="n">
        <x:v>46112</x:v>
      </x:c>
      <x:c r="T25" s="18" t="n">
        <x:v>46022</x:v>
      </x:c>
      <x:c r="U25" s="15" t="n">
        <x:v>0.3033760334395993</x:v>
      </x:c>
      <x:c r="V25" s="16" t="n">
        <x:v>0.8275862068965516</x:v>
      </x:c>
      <x:c r="W25" s="17" t="n">
        <x:v>0.19397748263727646</x:v>
      </x:c>
      <x:c r="X25" s="15" t="n">
        <x:v>-0.07183612845200517</x:v>
      </x:c>
      <x:c r="Y25" s="17"/>
      <x:c r="Z25" s="15"/>
      <x:c r="AA25" s="17" t="n">
        <x:v>0</x:v>
      </x:c>
      <x:c r="AB25" s="15" t="n">
        <x:v>0.6785881953312037</x:v>
      </x:c>
      <x:c r="AC25" s="13" t="b">
        <x:v>0</x:v>
      </x:c>
      <x:c r="AD25" s="15" t="n">
        <x:v>-0.37908576674008687</x:v>
      </x:c>
      <x:c r="AE25" s="16" t="n">
        <x:v>0.15454545454545454</x:v>
      </x:c>
      <x:c r="AF25" s="15" t="n">
        <x:v>-0.30000000000000004</x:v>
      </x:c>
      <x:c r="AG25" s="12" t="n">
        <x:v>8</x:v>
      </x:c>
      <x:c r="AH25" s="12" t="n">
        <x:v>68</x:v>
      </x:c>
      <x:c r="AI25" s="17" t="n">
        <x:v>-0.0527516914252647</x:v>
      </x:c>
      <x:c r="AJ25" s="16" t="n">
        <x:v>0.24347826086956523</x:v>
      </x:c>
      <x:c r="AK25" s="18" t="n">
        <x:v>46135</x:v>
      </x:c>
      <x:c r="AL25" s="18" t="n">
        <x:v>46135</x:v>
      </x:c>
      <x:c r="AM25" s="12" t="str">
        <x:v>2026-04-22 to 2026-04-23 to 2026-04-24</x:v>
      </x:c>
      <x:c r="AN25" s="12" t="str">
        <x:v>8-K Item 2.02 filing date</x:v>
      </x:c>
      <x:c r="AO25" s="12" t="str">
        <x:v>SUE + CAR3</x:v>
      </x:c>
      <x:c r="AP25" s="17" t="n">
        <x:v>0.22291315884118934</x:v>
      </x:c>
      <x:c r="AQ25" s="16" t="n">
        <x:v>1</x:v>
      </x:c>
      <x:c r="AR25" s="17" t="n">
        <x:v>0.2418163654801666</x:v>
      </x:c>
      <x:c r="AS25" s="16" t="n">
        <x:v>1</x:v>
      </x:c>
      <x:c r="AT25" s="17" t="n">
        <x:v>1.1491702841510758</x:v>
      </x:c>
      <x:c r="AU25" s="16" t="n">
        <x:v>0.9913793103448276</x:v>
      </x:c>
      <x:c r="AV25" s="17" t="n">
        <x:v>1.6738702136997206</x:v>
      </x:c>
      <x:c r="AW25" s="16" t="n">
        <x:v>0.9304347826086956</x:v>
      </x:c>
      <x:c r="AX25" s="17" t="n">
        <x:v>0.024116208571396403</x:v>
      </x:c>
      <x:c r="AY25" s="16" t="n">
        <x:v>0.7844827586206897</x:v>
      </x:c>
      <x:c r="AZ25" s="17" t="n">
        <x:v>0.04397949677270888</x:v>
      </x:c>
      <x:c r="BA25" s="16" t="n">
        <x:v>0.37</x:v>
      </x:c>
      <x:c r="BB25" s="17" t="n">
        <x:v>0.1428887934711651</x:v>
      </x:c>
      <x:c r="BC25" s="16" t="n">
        <x:v>0.9655172413793104</x:v>
      </x:c>
      <x:c r="BD25" s="17" t="n">
        <x:v>0.058037825151289066</x:v>
      </x:c>
      <x:c r="BE25" s="17" t="n">
        <x:v>0.08485096831987603</x:v>
      </x:c>
      <x:c r="BF25" s="17" t="n">
        <x:v>0.050921187308085925</x:v>
      </x:c>
      <x:c r="BG25" s="17" t="n">
        <x:v>0.08485096831987603</x:v>
      </x:c>
      <x:c r="BH25" s="12" t="str">
        <x:v>cash repurchases less issuance</x:v>
      </x:c>
      <x:c r="BI25" s="17"/>
      <x:c r="BJ25" s="19" t="n">
        <x:v>4894000000</x:v>
      </x:c>
      <x:c r="BK25" s="19" t="n">
        <x:v>7155000000</x:v>
      </x:c>
      <x:c r="BL25" s="19" t="n">
        <x:v>0</x:v>
      </x:c>
      <x:c r="BM25" s="19" t="n">
        <x:v>125278000000</x:v>
      </x:c>
      <x:c r="BN25" s="19" t="n">
        <x:v>18797000000</x:v>
      </x:c>
      <x:c r="BO25" s="19" t="n">
        <x:v>32240000000</x:v>
      </x:c>
      <x:c r="BP25" s="19" t="n">
        <x:v>11849000000</x:v>
      </x:c>
      <x:c r="BQ25" s="19" t="n">
        <x:v>20391000000</x:v>
      </x:c>
      <x:c r="BR25" s="19" t="n">
        <x:v>272631000000</x:v>
      </x:c>
      <x:c r="BS25" s="19" t="n">
        <x:v>266211000000</x:v>
      </x:c>
      <x:c r="BT25" s="19" t="n">
        <x:v>96903000000</x:v>
      </x:c>
      <x:c r="BU25" s="19" t="n">
        <x:v>9481000000</x:v>
      </x:c>
      <x:c r="BV25" s="19"/>
      <x:c r="BW25" s="19"/>
      <x:c r="BX25" s="12" t="n">
        <x:v>2063073161</x:v>
      </x:c>
      <x:c r="BY25" s="17" t="n">
        <x:v>-0.050921187308085925</x:v>
      </x:c>
      <x:c r="BZ25" s="12" t="n">
        <x:v>5</x:v>
      </x:c>
      <x:c r="CA25" s="12" t="str">
        <x:v>OK</x:v>
      </x:c>
      <x:c r="CB25" s="20" t="str">
        <x:v>https://query1.finance.yahoo.com/v8/finance/chart/CMCSA?period1=1704067200&amp;period2=1783728000&amp;interval=1d&amp;events=div%2Csplits</x:v>
      </x:c>
      <x:c r="CC25" s="20" t="str">
        <x:v>https://data.sec.gov/api/xbrl/companyfacts/CIK0001166691.json</x:v>
      </x:c>
      <x:c r="CD25" s="20" t="str">
        <x:v>https://data.sec.gov/submissions/CIK0001166691.json</x:v>
      </x:c>
      <x:c r="CE25" s="20" t="str">
        <x:v>https://api.nasdaq.com/api/screener/stocks?tableonly=true&amp;limit=25000&amp;download=true</x:v>
      </x:c>
    </x:row>
    <x:row r="26">
      <x:c r="A26" s="12" t="str">
        <x:v>ORI</x:v>
      </x:c>
      <x:c r="B26" s="12" t="str">
        <x:v>Old Republic International Corp.</x:v>
      </x:c>
      <x:c r="C26" s="12" t="str">
        <x:v>Long</x:v>
      </x:c>
      <x:c r="D26" s="14" t="n">
        <x:v>0.004203</x:v>
      </x:c>
      <x:c r="E26" s="15" t="n">
        <x:v>0.3254570303213067</x:v>
      </x:c>
      <x:c r="F26" s="15" t="n">
        <x:v>0.03553352884452829</x:v>
      </x:c>
      <x:c r="G26" s="12" t="str">
        <x:v>Low Beta</x:v>
      </x:c>
      <x:c r="H26" s="12" t="str">
        <x:v>Low Bad Beta</x:v>
      </x:c>
      <x:c r="I26" s="12" t="str">
        <x:v>Low Beta / Low Bad Beta</x:v>
      </x:c>
      <x:c r="J26" s="15" t="n">
        <x:v>1</x:v>
      </x:c>
      <x:c r="K26" s="18" t="n">
        <x:v>46213</x:v>
      </x:c>
      <x:c r="L26" s="15" t="n">
        <x:v>41.43000030517578</x:v>
      </x:c>
      <x:c r="M26" s="19" t="n">
        <x:v>9887907907</x:v>
      </x:c>
      <x:c r="N26" s="12" t="str">
        <x:v>Nasdaq screener</x:v>
      </x:c>
      <x:c r="O26" s="12" t="str">
        <x:v>Finance</x:v>
      </x:c>
      <x:c r="P26" s="12" t="str">
        <x:v>Property-Casualty Insurers</x:v>
      </x:c>
      <x:c r="Q26" s="12" t="n">
        <x:v>6351</x:v>
      </x:c>
      <x:c r="R26" s="12" t="str">
        <x:v>Surety Insurance</x:v>
      </x:c>
      <x:c r="S26" s="18" t="n">
        <x:v>46112</x:v>
      </x:c>
      <x:c r="T26" s="18" t="n">
        <x:v>46022</x:v>
      </x:c>
      <x:c r="U26" s="15" t="n">
        <x:v>0.24105422542800276</x:v>
      </x:c>
      <x:c r="V26" s="16" t="n">
        <x:v>0.7844827586206896</x:v>
      </x:c>
      <x:c r="W26" s="17" t="n">
        <x:v>0.1725228271897193</x:v>
      </x:c>
      <x:c r="X26" s="15" t="n">
        <x:v>-0.1964797444751982</x:v>
      </x:c>
      <x:c r="Y26" s="17"/>
      <x:c r="Z26" s="15"/>
      <x:c r="AA26" s="17" t="n">
        <x:v>0</x:v>
      </x:c>
      <x:c r="AB26" s="15" t="n">
        <x:v>0.6785881953312037</x:v>
      </x:c>
      <x:c r="AC26" s="13" t="b">
        <x:v>1</x:v>
      </x:c>
      <x:c r="AD26" s="15" t="n">
        <x:v>0.7055477620486408</x:v>
      </x:c>
      <x:c r="AE26" s="16" t="n">
        <x:v>0.5727272727272728</x:v>
      </x:c>
      <x:c r="AF26" s="15" t="n">
        <x:v>0.3500000000000001</x:v>
      </x:c>
      <x:c r="AG26" s="12" t="n">
        <x:v>8</x:v>
      </x:c>
      <x:c r="AH26" s="12" t="n">
        <x:v>64</x:v>
      </x:c>
      <x:c r="AI26" s="17" t="n">
        <x:v>-0.06915085854639935</x:v>
      </x:c>
      <x:c r="AJ26" s="16" t="n">
        <x:v>0.19130434782608696</x:v>
      </x:c>
      <x:c r="AK26" s="18" t="n">
        <x:v>46135</x:v>
      </x:c>
      <x:c r="AL26" s="18" t="n">
        <x:v>46135</x:v>
      </x:c>
      <x:c r="AM26" s="12" t="str">
        <x:v>2026-04-22 to 2026-04-23 to 2026-04-24</x:v>
      </x:c>
      <x:c r="AN26" s="12" t="str">
        <x:v>8-K Item 2.02 filing date</x:v>
      </x:c>
      <x:c r="AO26" s="12" t="str">
        <x:v>SUE + CAR3</x:v>
      </x:c>
      <x:c r="AP26" s="17" t="n">
        <x:v>0.10318664065203252</x:v>
      </x:c>
      <x:c r="AQ26" s="16" t="n">
        <x:v>0.8620689655172413</x:v>
      </x:c>
      <x:c r="AR26" s="17"/>
      <x:c r="AS26" s="16"/>
      <x:c r="AT26" s="17" t="n">
        <x:v>0.5981042760130553</x:v>
      </x:c>
      <x:c r="AU26" s="16" t="n">
        <x:v>0.8017241379310345</x:v>
      </x:c>
      <x:c r="AV26" s="17" t="n">
        <x:v>0.9528405895983433</x:v>
      </x:c>
      <x:c r="AW26" s="16"/>
      <x:c r="AX26" s="17" t="n">
        <x:v>0.07253502663137357</x:v>
      </x:c>
      <x:c r="AY26" s="16" t="n">
        <x:v>0.4655172413793104</x:v>
      </x:c>
      <x:c r="AZ26" s="17"/>
      <x:c r="BA26" s="16"/>
      <x:c r="BB26" s="17" t="n">
        <x:v>0.08698503344586217</x:v>
      </x:c>
      <x:c r="BC26" s="16" t="n">
        <x:v>0.8879310344827587</x:v>
      </x:c>
      <x:c r="BD26" s="17" t="n">
        <x:v>0.07914717727558625</x:v>
      </x:c>
      <x:c r="BE26" s="17" t="n">
        <x:v>0.007837856170275919</x:v>
      </x:c>
      <x:c r="BF26" s="17" t="n">
        <x:v>0.04400008838992786</x:v>
      </x:c>
      <x:c r="BG26" s="17" t="n">
        <x:v>0.007837856170275919</x:v>
      </x:c>
      <x:c r="BH26" s="12" t="str">
        <x:v>cash repurchases less issuance</x:v>
      </x:c>
      <x:c r="BI26" s="17"/>
      <x:c r="BJ26" s="19" t="n">
        <x:v>782600000</x:v>
      </x:c>
      <x:c r="BK26" s="19" t="n">
        <x:v>123800000</x:v>
      </x:c>
      <x:c r="BL26" s="19" t="n">
        <x:v>46300000</x:v>
      </x:c>
      <x:c r="BM26" s="19" t="n">
        <x:v>9421600000</x:v>
      </x:c>
      <x:c r="BN26" s="19" t="n">
        <x:v>1020300000</x:v>
      </x:c>
      <x:c r="BO26" s="19" t="n">
        <x:v>1214000000</x:v>
      </x:c>
      <x:c r="BP26" s="19"/>
      <x:c r="BQ26" s="19"/>
      <x:c r="BR26" s="19" t="n">
        <x:v>29862700000</x:v>
      </x:c>
      <x:c r="BS26" s="19" t="n">
        <x:v>27843100000</x:v>
      </x:c>
      <x:c r="BT26" s="19" t="n">
        <x:v>5914000000</x:v>
      </x:c>
      <x:c r="BU26" s="19"/>
      <x:c r="BV26" s="19"/>
      <x:c r="BW26" s="19"/>
      <x:c r="BX26" s="12" t="n">
        <x:v>242826815</x:v>
      </x:c>
      <x:c r="BY26" s="17" t="n">
        <x:v>-0.04400008838992786</x:v>
      </x:c>
      <x:c r="BZ26" s="12" t="n">
        <x:v>5</x:v>
      </x:c>
      <x:c r="CA26" s="12" t="str">
        <x:v>OK</x:v>
      </x:c>
      <x:c r="CB26" s="20" t="str">
        <x:v>https://query1.finance.yahoo.com/v8/finance/chart/ORI?period1=1704067200&amp;period2=1783728000&amp;interval=1d&amp;events=div%2Csplits</x:v>
      </x:c>
      <x:c r="CC26" s="20" t="str">
        <x:v>https://data.sec.gov/api/xbrl/companyfacts/CIK0000074260.json</x:v>
      </x:c>
      <x:c r="CD26" s="20" t="str">
        <x:v>https://data.sec.gov/submissions/CIK0000074260.json</x:v>
      </x:c>
      <x:c r="CE26" s="20" t="str">
        <x:v>https://api.nasdaq.com/api/screener/stocks?tableonly=true&amp;limit=25000&amp;download=true</x:v>
      </x:c>
    </x:row>
    <x:row r="27">
      <x:c r="A27" s="12" t="str">
        <x:v>WRB</x:v>
      </x:c>
      <x:c r="B27" s="12" t="str">
        <x:v>W. R. Berkley Corp.</x:v>
      </x:c>
      <x:c r="C27" s="12" t="str">
        <x:v>Long</x:v>
      </x:c>
      <x:c r="D27" s="14" t="n">
        <x:v>0.004221</x:v>
      </x:c>
      <x:c r="E27" s="15" t="n">
        <x:v>0.17279496689863422</x:v>
      </x:c>
      <x:c r="F27" s="15" t="n">
        <x:v>0.052246163128573685</x:v>
      </x:c>
      <x:c r="G27" s="12" t="str">
        <x:v>Low Beta</x:v>
      </x:c>
      <x:c r="H27" s="12" t="str">
        <x:v>Low Bad Beta</x:v>
      </x:c>
      <x:c r="I27" s="12" t="str">
        <x:v>Low Beta / Low Bad Beta</x:v>
      </x:c>
      <x:c r="J27" s="15" t="n">
        <x:v>1</x:v>
      </x:c>
      <x:c r="K27" s="18" t="n">
        <x:v>46213</x:v>
      </x:c>
      <x:c r="L27" s="15" t="n">
        <x:v>72.19000244140625</x:v>
      </x:c>
      <x:c r="M27" s="19" t="n">
        <x:v>26411172752</x:v>
      </x:c>
      <x:c r="N27" s="12" t="str">
        <x:v>Nasdaq screener</x:v>
      </x:c>
      <x:c r="O27" s="12" t="str">
        <x:v>Finance</x:v>
      </x:c>
      <x:c r="P27" s="12" t="str">
        <x:v>Property-Casualty Insurers</x:v>
      </x:c>
      <x:c r="Q27" s="12" t="n">
        <x:v>6331</x:v>
      </x:c>
      <x:c r="R27" s="12" t="str">
        <x:v>Fire, Marine &amp; Casualty Insurance</x:v>
      </x:c>
      <x:c r="S27" s="18" t="n">
        <x:v>46112</x:v>
      </x:c>
      <x:c r="T27" s="18" t="n">
        <x:v>46022</x:v>
      </x:c>
      <x:c r="U27" s="15" t="n">
        <x:v>0.3019706840493523</x:v>
      </x:c>
      <x:c r="V27" s="16" t="n">
        <x:v>0.8189655172413792</x:v>
      </x:c>
      <x:c r="W27" s="17" t="n">
        <x:v>0.1934936826976859</x:v>
      </x:c>
      <x:c r="X27" s="15" t="n">
        <x:v>-0.0746468272324992</x:v>
      </x:c>
      <x:c r="Y27" s="17"/>
      <x:c r="Z27" s="15"/>
      <x:c r="AA27" s="17" t="n">
        <x:v>0</x:v>
      </x:c>
      <x:c r="AB27" s="15" t="n">
        <x:v>0.6785881953312037</x:v>
      </x:c>
      <x:c r="AC27" s="13" t="b">
        <x:v>1</x:v>
      </x:c>
      <x:c r="AD27" s="15" t="n">
        <x:v>0.7641925479707952</x:v>
      </x:c>
      <x:c r="AE27" s="16" t="n">
        <x:v>0.6</x:v>
      </x:c>
      <x:c r="AF27" s="15" t="n">
        <x:v>0.26</x:v>
      </x:c>
      <x:c r="AG27" s="12" t="n">
        <x:v>8</x:v>
      </x:c>
      <x:c r="AH27" s="12" t="n">
        <x:v>60</x:v>
      </x:c>
      <x:c r="AI27" s="17" t="n">
        <x:v>0.008561708802055978</x:v>
      </x:c>
      <x:c r="AJ27" s="16" t="n">
        <x:v>0.6869565217391305</x:v>
      </x:c>
      <x:c r="AK27" s="18" t="n">
        <x:v>46133</x:v>
      </x:c>
      <x:c r="AL27" s="18" t="n">
        <x:v>46133</x:v>
      </x:c>
      <x:c r="AM27" s="12" t="str">
        <x:v>2026-04-20 to 2026-04-21 to 2026-04-22</x:v>
      </x:c>
      <x:c r="AN27" s="12" t="str">
        <x:v>8-K Item 2.02 filing date</x:v>
      </x:c>
      <x:c r="AO27" s="12" t="str">
        <x:v>SUE + CAR3</x:v>
      </x:c>
      <x:c r="AP27" s="17" t="n">
        <x:v>0.07107018751592012</x:v>
      </x:c>
      <x:c r="AQ27" s="16" t="n">
        <x:v>0.7327586206896551</x:v>
      </x:c>
      <x:c r="AR27" s="17" t="n">
        <x:v>0.1304826193202282</x:v>
      </x:c>
      <x:c r="AS27" s="16"/>
      <x:c r="AT27" s="17" t="n">
        <x:v>0.36729978222059073</x:v>
      </x:c>
      <x:c r="AU27" s="16" t="n">
        <x:v>0.5517241379310345</x:v>
      </x:c>
      <x:c r="AV27" s="17" t="n">
        <x:v>0.6221207723138729</x:v>
      </x:c>
      <x:c r="AW27" s="16"/>
      <x:c r="AX27" s="17" t="n">
        <x:v>0.08637019875235374</x:v>
      </x:c>
      <x:c r="AY27" s="16" t="n">
        <x:v>0.3362068965517241</x:v>
      </x:c>
      <x:c r="AZ27" s="17" t="n">
        <x:v>0.0014285960881155761</x:v>
      </x:c>
      <x:c r="BA27" s="16"/>
      <x:c r="BB27" s="17" t="n">
        <x:v>0.03674543380231039</x:v>
      </x:c>
      <x:c r="BC27" s="16" t="n">
        <x:v>0.5344827586206896</x:v>
      </x:c>
      <x:c r="BD27" s="17" t="n">
        <x:v>0.026514119860390213</x:v>
      </x:c>
      <x:c r="BE27" s="17" t="n">
        <x:v>0.010231313941920181</x:v>
      </x:c>
      <x:c r="BF27" s="17" t="n">
        <x:v>0.008340277364442539</x:v>
      </x:c>
      <x:c r="BG27" s="17" t="n">
        <x:v>0.010231313941920181</x:v>
      </x:c>
      <x:c r="BH27" s="12" t="str">
        <x:v>cash repurchases less issuance</x:v>
      </x:c>
      <x:c r="BI27" s="17"/>
      <x:c r="BJ27" s="19" t="n">
        <x:v>700269000</x:v>
      </x:c>
      <x:c r="BK27" s="19" t="n">
        <x:v>270221000</x:v>
      </x:c>
      <x:c r="BL27" s="19" t="n">
        <x:v>0</x:v>
      </x:c>
      <x:c r="BM27" s="19" t="n">
        <x:v>14850791000</x:v>
      </x:c>
      <x:c r="BN27" s="19" t="n">
        <x:v>1877047000</x:v>
      </x:c>
      <x:c r="BO27" s="19" t="n">
        <x:v>3506656000</x:v>
      </x:c>
      <x:c r="BP27" s="19" t="n">
        <x:v>60457000</x:v>
      </x:c>
      <x:c r="BQ27" s="19" t="n">
        <x:v>3446199000</x:v>
      </x:c>
      <x:c r="BR27" s="19" t="n">
        <x:v>44071071000</x:v>
      </x:c>
      <x:c r="BS27" s="19" t="n">
        <x:v>40567268000</x:v>
      </x:c>
      <x:c r="BT27" s="19" t="n">
        <x:v>9700818000</x:v>
      </x:c>
      <x:c r="BU27" s="19" t="n">
        <x:v>2539938000</x:v>
      </x:c>
      <x:c r="BV27" s="19"/>
      <x:c r="BW27" s="19"/>
      <x:c r="BX27" s="12" t="n">
        <x:v>372276732</x:v>
      </x:c>
      <x:c r="BY27" s="17" t="n">
        <x:v>-0.008340277364442539</x:v>
      </x:c>
      <x:c r="BZ27" s="12" t="n">
        <x:v>5</x:v>
      </x:c>
      <x:c r="CA27" s="12" t="str">
        <x:v>OK</x:v>
      </x:c>
      <x:c r="CB27" s="20" t="str">
        <x:v>https://query1.finance.yahoo.com/v8/finance/chart/WRB?period1=1704067200&amp;period2=1783728000&amp;interval=1d&amp;events=div%2Csplits</x:v>
      </x:c>
      <x:c r="CC27" s="20" t="str">
        <x:v>https://data.sec.gov/api/xbrl/companyfacts/CIK0000011544.json</x:v>
      </x:c>
      <x:c r="CD27" s="20" t="str">
        <x:v>https://data.sec.gov/submissions/CIK0000011544.json</x:v>
      </x:c>
      <x:c r="CE27" s="20" t="str">
        <x:v>https://api.nasdaq.com/api/screener/stocks?tableonly=true&amp;limit=25000&amp;download=true</x:v>
      </x:c>
    </x:row>
    <x:row r="28">
      <x:c r="A28" s="12" t="str">
        <x:v>GILD</x:v>
      </x:c>
      <x:c r="B28" s="12" t="str">
        <x:v>Gilead Sciences Inc.</x:v>
      </x:c>
      <x:c r="C28" s="12" t="str">
        <x:v>Long</x:v>
      </x:c>
      <x:c r="D28" s="14" t="n">
        <x:v>0.004019</x:v>
      </x:c>
      <x:c r="E28" s="15" t="n">
        <x:v>0.11132439474051622</x:v>
      </x:c>
      <x:c r="F28" s="15" t="n">
        <x:v>-0.06572510659574582</x:v>
      </x:c>
      <x:c r="G28" s="12" t="str">
        <x:v>Low Beta</x:v>
      </x:c>
      <x:c r="H28" s="12" t="str">
        <x:v>Low Bad Beta</x:v>
      </x:c>
      <x:c r="I28" s="12" t="str">
        <x:v>Low Beta / Low Bad Beta</x:v>
      </x:c>
      <x:c r="J28" s="15" t="n">
        <x:v>1</x:v>
      </x:c>
      <x:c r="K28" s="18" t="n">
        <x:v>46213</x:v>
      </x:c>
      <x:c r="L28" s="15" t="n">
        <x:v>129.8300018310547</x:v>
      </x:c>
      <x:c r="M28" s="19" t="n">
        <x:v>164805985075</x:v>
      </x:c>
      <x:c r="N28" s="12" t="str">
        <x:v>Nasdaq screener</x:v>
      </x:c>
      <x:c r="O28" s="12" t="str">
        <x:v>Health Care</x:v>
      </x:c>
      <x:c r="P28" s="12" t="str">
        <x:v>Biotechnology: Biological Products (No Diagnostic Substances)</x:v>
      </x:c>
      <x:c r="Q28" s="12" t="n">
        <x:v>2836</x:v>
      </x:c>
      <x:c r="R28" s="12" t="str">
        <x:v>Biological Products, (No Diagnostic Substances)</x:v>
      </x:c>
      <x:c r="S28" s="18" t="n">
        <x:v>46112</x:v>
      </x:c>
      <x:c r="T28" s="18" t="n">
        <x:v>46022</x:v>
      </x:c>
      <x:c r="U28" s="15" t="n">
        <x:v>0.30778232801785044</x:v>
      </x:c>
      <x:c r="V28" s="16" t="n">
        <x:v>0.836206896551724</x:v>
      </x:c>
      <x:c r="W28" s="17" t="n">
        <x:v>0.4059375412941021</x:v>
      </x:c>
      <x:c r="X28" s="15" t="n">
        <x:v>1.159573447341625</x:v>
      </x:c>
      <x:c r="Y28" s="17"/>
      <x:c r="Z28" s="15"/>
      <x:c r="AA28" s="17" t="n">
        <x:v>1.0984010923666476</x:v>
      </x:c>
      <x:c r="AB28" s="15" t="n">
        <x:v>-0.5440087913059242</x:v>
      </x:c>
      <x:c r="AC28" s="13" t="b">
        <x:v>0</x:v>
      </x:c>
      <x:c r="AD28" s="15" t="n">
        <x:v>0.3691621578803101</x:v>
      </x:c>
      <x:c r="AE28" s="16" t="n">
        <x:v>0.4727272727272727</x:v>
      </x:c>
      <x:c r="AF28" s="15" t="n">
        <x:v>0.5699999999999998</x:v>
      </x:c>
      <x:c r="AG28" s="12" t="n">
        <x:v>8</x:v>
      </x:c>
      <x:c r="AH28" s="12" t="n">
        <x:v>67</x:v>
      </x:c>
      <x:c r="AI28" s="17" t="n">
        <x:v>-0.03213850481748759</x:v>
      </x:c>
      <x:c r="AJ28" s="16" t="n">
        <x:v>0.41739130434782606</x:v>
      </x:c>
      <x:c r="AK28" s="18" t="n">
        <x:v>46149</x:v>
      </x:c>
      <x:c r="AL28" s="18" t="n">
        <x:v>46149</x:v>
      </x:c>
      <x:c r="AM28" s="12" t="str">
        <x:v>2026-05-06 to 2026-05-07 to 2026-05-08</x:v>
      </x:c>
      <x:c r="AN28" s="12" t="str">
        <x:v>8-K Item 2.02 filing date</x:v>
      </x:c>
      <x:c r="AO28" s="12" t="str">
        <x:v>SUE + CAR3</x:v>
      </x:c>
      <x:c r="AP28" s="17" t="n">
        <x:v>0.05592029922824694</x:v>
      </x:c>
      <x:c r="AQ28" s="16" t="n">
        <x:v>0.6293103448275862</x:v>
      </x:c>
      <x:c r="AR28" s="17" t="n">
        <x:v>0.062072988401146514</x:v>
      </x:c>
      <x:c r="AS28" s="16" t="n">
        <x:v>0.65</x:v>
      </x:c>
      <x:c r="AT28" s="17" t="n">
        <x:v>0.1377559194204525</x:v>
      </x:c>
      <x:c r="AU28" s="16" t="n">
        <x:v>0.1810344827586207</x:v>
      </x:c>
      <x:c r="AV28" s="17" t="n">
        <x:v>0.15671725617812013</x:v>
      </x:c>
      <x:c r="AW28" s="16" t="n">
        <x:v>0.25217391304347825</x:v>
      </x:c>
      <x:c r="AX28" s="17" t="n">
        <x:v>0.000474616492923019</x:v>
      </x:c>
      <x:c r="AY28" s="16" t="n">
        <x:v>0.853448275862069</x:v>
      </x:c>
      <x:c r="AZ28" s="17" t="n">
        <x:v>0.009761222864308835</x:v>
      </x:c>
      <x:c r="BA28" s="16" t="n">
        <x:v>0.75</x:v>
      </x:c>
      <x:c r="BB28" s="17" t="n">
        <x:v>0.044233830444218775</x:v>
      </x:c>
      <x:c r="BC28" s="16" t="n">
        <x:v>0.646551724137931</x:v>
      </x:c>
      <x:c r="BD28" s="17" t="n">
        <x:v>0.024289166429109433</x:v>
      </x:c>
      <x:c r="BE28" s="17" t="n">
        <x:v>0.009186559573737617</x:v>
      </x:c>
      <x:c r="BF28" s="17" t="n">
        <x:v>0</x:v>
      </x:c>
      <x:c r="BG28" s="17" t="n">
        <x:v>0.009186559573737617</x:v>
      </x:c>
      <x:c r="BH28" s="12" t="str">
        <x:v>cash repurchases less issuance</x:v>
      </x:c>
      <x:c r="BI28" s="17" t="n">
        <x:v>0.010758104441371727</x:v>
      </x:c>
      <x:c r="BJ28" s="19" t="n">
        <x:v>4003000000</x:v>
      </x:c>
      <x:c r="BK28" s="19" t="n">
        <x:v>1922000000</x:v>
      </x:c>
      <x:c r="BL28" s="19" t="n">
        <x:v>408000000</x:v>
      </x:c>
      <x:c r="BM28" s="19" t="n">
        <x:v>29736000000</x:v>
      </x:c>
      <x:c r="BN28" s="19" t="n">
        <x:v>9216000000</x:v>
      </x:c>
      <x:c r="BO28" s="19" t="n">
        <x:v>10806000000</x:v>
      </x:c>
      <x:c r="BP28" s="19" t="n">
        <x:v>576000000</x:v>
      </x:c>
      <x:c r="BQ28" s="19" t="n">
        <x:v>10230000000</x:v>
      </x:c>
      <x:c r="BR28" s="19" t="n">
        <x:v>59023000000</x:v>
      </x:c>
      <x:c r="BS28" s="19" t="n">
        <x:v>58995000000</x:v>
      </x:c>
      <x:c r="BT28" s="19" t="n">
        <x:v>22703000000</x:v>
      </x:c>
      <x:c r="BU28" s="19"/>
      <x:c r="BV28" s="19" t="n">
        <x:v>24937000000</x:v>
      </x:c>
      <x:c r="BW28" s="19" t="n">
        <x:v>26710000000</x:v>
      </x:c>
      <x:c r="BX28" s="12" t="n">
        <x:v>1241569874</x:v>
      </x:c>
      <x:c r="BY28" s="17" t="n">
        <x:v>0</x:v>
      </x:c>
      <x:c r="BZ28" s="12" t="n">
        <x:v>5</x:v>
      </x:c>
      <x:c r="CA28" s="12" t="str">
        <x:v>OK</x:v>
      </x:c>
      <x:c r="CB28" s="20" t="str">
        <x:v>https://query1.finance.yahoo.com/v8/finance/chart/GILD?period1=1704067200&amp;period2=1783728000&amp;interval=1d&amp;events=div%2Csplits</x:v>
      </x:c>
      <x:c r="CC28" s="20" t="str">
        <x:v>https://data.sec.gov/api/xbrl/companyfacts/CIK0000882095.json</x:v>
      </x:c>
      <x:c r="CD28" s="20" t="str">
        <x:v>https://data.sec.gov/submissions/CIK0000882095.json</x:v>
      </x:c>
      <x:c r="CE28" s="20" t="str">
        <x:v>https://api.nasdaq.com/api/screener/stocks?tableonly=true&amp;limit=25000&amp;download=true</x:v>
      </x:c>
    </x:row>
    <x:row r="29">
      <x:c r="A29" s="12" t="str">
        <x:v>DG</x:v>
      </x:c>
      <x:c r="B29" s="12" t="str">
        <x:v>Dollar General Corp.</x:v>
      </x:c>
      <x:c r="C29" s="12" t="str">
        <x:v>Short</x:v>
      </x:c>
      <x:c r="D29" s="14" t="n">
        <x:v>-0.00409</x:v>
      </x:c>
      <x:c r="E29" s="15" t="n">
        <x:v>0.3848630386001466</x:v>
      </x:c>
      <x:c r="F29" s="15" t="n">
        <x:v>0.10803784964404088</x:v>
      </x:c>
      <x:c r="G29" s="12" t="str">
        <x:v>Low Beta</x:v>
      </x:c>
      <x:c r="H29" s="12" t="str">
        <x:v>Low Bad Beta</x:v>
      </x:c>
      <x:c r="I29" s="12" t="str">
        <x:v>Low Beta / Low Bad Beta</x:v>
      </x:c>
      <x:c r="J29" s="15" t="n">
        <x:v>1</x:v>
      </x:c>
      <x:c r="K29" s="18" t="n">
        <x:v>46213</x:v>
      </x:c>
      <x:c r="L29" s="15" t="n">
        <x:v>118.91999816894531</x:v>
      </x:c>
      <x:c r="M29" s="19" t="n">
        <x:v>26951276530</x:v>
      </x:c>
      <x:c r="N29" s="12" t="str">
        <x:v>Nasdaq screener</x:v>
      </x:c>
      <x:c r="O29" s="12" t="str">
        <x:v>Consumer Discretionary</x:v>
      </x:c>
      <x:c r="P29" s="12" t="str">
        <x:v>Department/Specialty Retail Stores</x:v>
      </x:c>
      <x:c r="Q29" s="12" t="n">
        <x:v>5331</x:v>
      </x:c>
      <x:c r="R29" s="12" t="str">
        <x:v>Retail-Variety Stores</x:v>
      </x:c>
      <x:c r="S29" s="18" t="n">
        <x:v>46143</x:v>
      </x:c>
      <x:c r="T29" s="18" t="n">
        <x:v>46052</x:v>
      </x:c>
      <x:c r="U29" s="15" t="n">
        <x:v>0.19468644261778634</x:v>
      </x:c>
      <x:c r="V29" s="16" t="n">
        <x:v>0.6896551724137931</x:v>
      </x:c>
      <x:c r="W29" s="17" t="n">
        <x:v>0.1838013374589783</x:v>
      </x:c>
      <x:c r="X29" s="15" t="n">
        <x:v>-0.13095576965530786</x:v>
      </x:c>
      <x:c r="Y29" s="17" t="n">
        <x:v>0.028740123249854022</x:v>
      </x:c>
      <x:c r="Z29" s="15" t="n">
        <x:v>0.0364269021774631</x:v>
      </x:c>
      <x:c r="AA29" s="17" t="n">
        <x:v>0</x:v>
      </x:c>
      <x:c r="AB29" s="15" t="n">
        <x:v>0.6785881953312037</x:v>
      </x:c>
      <x:c r="AC29" s="13" t="b">
        <x:v>0</x:v>
      </x:c>
      <x:c r="AD29" s="15" t="n">
        <x:v>0.3919071616577901</x:v>
      </x:c>
      <x:c r="AE29" s="16" t="n">
        <x:v>0.4909090909090909</x:v>
      </x:c>
      <x:c r="AF29" s="15" t="n">
        <x:v>0.24</x:v>
      </x:c>
      <x:c r="AG29" s="12" t="n">
        <x:v>8</x:v>
      </x:c>
      <x:c r="AH29" s="12" t="n">
        <x:v>61</x:v>
      </x:c>
      <x:c r="AI29" s="17" t="n">
        <x:v>-0.04818576170959743</x:v>
      </x:c>
      <x:c r="AJ29" s="16" t="n">
        <x:v>0.28695652173913044</x:v>
      </x:c>
      <x:c r="AK29" s="18" t="n">
        <x:v>46175</x:v>
      </x:c>
      <x:c r="AL29" s="18" t="n">
        <x:v>46175</x:v>
      </x:c>
      <x:c r="AM29" s="12" t="str">
        <x:v>2026-06-01 to 2026-06-02 to 2026-06-03</x:v>
      </x:c>
      <x:c r="AN29" s="12" t="str">
        <x:v>8-K Item 2.02 filing date</x:v>
      </x:c>
      <x:c r="AO29" s="12" t="str">
        <x:v>SUE + CAR3</x:v>
      </x:c>
      <x:c r="AP29" s="17" t="n">
        <x:v>0.058049569498443344</x:v>
      </x:c>
      <x:c r="AQ29" s="16" t="n">
        <x:v>0.646551724137931</x:v>
      </x:c>
      <x:c r="AR29" s="17" t="n">
        <x:v>0.0816916407484169</x:v>
      </x:c>
      <x:c r="AS29" s="16" t="n">
        <x:v>0.78</x:v>
      </x:c>
      <x:c r="AT29" s="17" t="n">
        <x:v>0.3158277861356647</x:v>
      </x:c>
      <x:c r="AU29" s="16" t="n">
        <x:v>0.46551724137931033</x:v>
      </x:c>
      <x:c r="AV29" s="17" t="n">
        <x:v>1.6687610733660612</x:v>
      </x:c>
      <x:c r="AW29" s="16" t="n">
        <x:v>0.9217391304347826</x:v>
      </x:c>
      <x:c r="AX29" s="17" t="n">
        <x:v>-0.005428466559617484</x:v>
      </x:c>
      <x:c r="AY29" s="16" t="n">
        <x:v>0.8879310344827587</x:v>
      </x:c>
      <x:c r="AZ29" s="17" t="n">
        <x:v>0.04192957012704572</x:v>
      </x:c>
      <x:c r="BA29" s="16" t="n">
        <x:v>0.4</x:v>
      </x:c>
      <x:c r="BB29" s="17" t="n">
        <x:v>0.12123162316126479</x:v>
      </x:c>
      <x:c r="BC29" s="16" t="n">
        <x:v>0.9224137931034483</x:v>
      </x:c>
      <x:c r="BD29" s="17" t="n">
        <x:v>0.019275895871637957</x:v>
      </x:c>
      <x:c r="BE29" s="17" t="n">
        <x:v>0.10195572728962683</x:v>
      </x:c>
      <x:c r="BF29" s="17" t="n">
        <x:v>-0.0035768337522212867</x:v>
      </x:c>
      <x:c r="BG29" s="17" t="n">
        <x:v>0.10195572728962683</x:v>
      </x:c>
      <x:c r="BH29" s="12" t="str">
        <x:v>cash repurchases less issuance</x:v>
      </x:c>
      <x:c r="BI29" s="17"/>
      <x:c r="BJ29" s="19" t="n">
        <x:v>519510000</x:v>
      </x:c>
      <x:c r="BK29" s="19" t="n">
        <x:v>2748014000</x:v>
      </x:c>
      <x:c r="BL29" s="19" t="n">
        <x:v>177000</x:v>
      </x:c>
      <x:c r="BM29" s="19" t="n">
        <x:v>43075355000</x:v>
      </x:c>
      <x:c r="BN29" s="19" t="n">
        <x:v>1564510000</x:v>
      </x:c>
      <x:c r="BO29" s="19" t="n">
        <x:v>3503533000</x:v>
      </x:c>
      <x:c r="BP29" s="19" t="n">
        <x:v>1301839000</x:v>
      </x:c>
      <x:c r="BQ29" s="19" t="n">
        <x:v>2201694000</x:v>
      </x:c>
      <x:c r="BR29" s="19" t="n">
        <x:v>30963730000</x:v>
      </x:c>
      <x:c r="BS29" s="19" t="n">
        <x:v>31132733000</x:v>
      </x:c>
      <x:c r="BT29" s="19" t="n">
        <x:v>8511962000</x:v>
      </x:c>
      <x:c r="BU29" s="19" t="n">
        <x:v>1138501000</x:v>
      </x:c>
      <x:c r="BV29" s="19"/>
      <x:c r="BW29" s="19"/>
      <x:c r="BX29" s="12" t="n">
        <x:v>220586647</x:v>
      </x:c>
      <x:c r="BY29" s="17" t="n">
        <x:v>0.0035768337522212867</x:v>
      </x:c>
      <x:c r="BZ29" s="12" t="n">
        <x:v>5</x:v>
      </x:c>
      <x:c r="CA29" s="12" t="str">
        <x:v>OK</x:v>
      </x:c>
      <x:c r="CB29" s="20" t="str">
        <x:v>https://query1.finance.yahoo.com/v8/finance/chart/DG?period1=1704067200&amp;period2=1783728000&amp;interval=1d&amp;events=div%2Csplits</x:v>
      </x:c>
      <x:c r="CC29" s="20" t="str">
        <x:v>https://data.sec.gov/api/xbrl/companyfacts/CIK0000029534.json</x:v>
      </x:c>
      <x:c r="CD29" s="20" t="str">
        <x:v>https://data.sec.gov/submissions/CIK0000029534.json</x:v>
      </x:c>
      <x:c r="CE29" s="20" t="str">
        <x:v>https://api.nasdaq.com/api/screener/stocks?tableonly=true&amp;limit=25000&amp;download=true</x:v>
      </x:c>
    </x:row>
    <x:row r="30">
      <x:c r="A30" s="12" t="str">
        <x:v>PGR</x:v>
      </x:c>
      <x:c r="B30" s="12" t="str">
        <x:v>The Progressive Corp.</x:v>
      </x:c>
      <x:c r="C30" s="12" t="str">
        <x:v>Long</x:v>
      </x:c>
      <x:c r="D30" s="14" t="n">
        <x:v>0.004761</x:v>
      </x:c>
      <x:c r="E30" s="15" t="n">
        <x:v>-0.13923858554714336</x:v>
      </x:c>
      <x:c r="F30" s="15" t="n">
        <x:v>-0.10105273306355551</x:v>
      </x:c>
      <x:c r="G30" s="12" t="str">
        <x:v>Low Beta</x:v>
      </x:c>
      <x:c r="H30" s="12" t="str">
        <x:v>Low Bad Beta</x:v>
      </x:c>
      <x:c r="I30" s="12" t="str">
        <x:v>Low Beta / Low Bad Beta</x:v>
      </x:c>
      <x:c r="J30" s="15" t="n">
        <x:v>1</x:v>
      </x:c>
      <x:c r="K30" s="18" t="n">
        <x:v>46213</x:v>
      </x:c>
      <x:c r="L30" s="15" t="n">
        <x:v>230.72000122070312</x:v>
      </x:c>
      <x:c r="M30" s="19" t="n">
        <x:v>122675597252</x:v>
      </x:c>
      <x:c r="N30" s="12" t="str">
        <x:v>Nasdaq screener</x:v>
      </x:c>
      <x:c r="O30" s="12" t="str">
        <x:v>Finance</x:v>
      </x:c>
      <x:c r="P30" s="12" t="str">
        <x:v>Property-Casualty Insurers</x:v>
      </x:c>
      <x:c r="Q30" s="12" t="n">
        <x:v>6331</x:v>
      </x:c>
      <x:c r="R30" s="12" t="str">
        <x:v>Fire, Marine &amp; Casualty Insurance</x:v>
      </x:c>
      <x:c r="S30" s="18" t="n">
        <x:v>46112</x:v>
      </x:c>
      <x:c r="T30" s="18" t="n">
        <x:v>46022</x:v>
      </x:c>
      <x:c r="U30" s="15" t="n">
        <x:v>0.8472106132678552</x:v>
      </x:c>
      <x:c r="V30" s="16" t="n">
        <x:v>0.9741379310344828</x:v>
      </x:c>
      <x:c r="W30" s="17" t="n">
        <x:v>0.3811957919730897</x:v>
      </x:c>
      <x:c r="X30" s="15" t="n">
        <x:v>1.0158330312045065</x:v>
      </x:c>
      <x:c r="Y30" s="17"/>
      <x:c r="Z30" s="15"/>
      <x:c r="AA30" s="17" t="n">
        <x:v>0</x:v>
      </x:c>
      <x:c r="AB30" s="15" t="n">
        <x:v>0.6785881953312037</x:v>
      </x:c>
      <x:c r="AC30" s="13" t="b">
        <x:v>1</x:v>
      </x:c>
      <x:c r="AD30" s="15" t="n">
        <x:v>0.4524601707291925</x:v>
      </x:c>
      <x:c r="AE30" s="16" t="n">
        <x:v>0.5181818181818182</x:v>
      </x:c>
      <x:c r="AF30" s="15" t="n">
        <x:v>0.4299999999999997</x:v>
      </x:c>
      <x:c r="AG30" s="12" t="n">
        <x:v>8</x:v>
      </x:c>
      <x:c r="AH30" s="12" t="n">
        <x:v>68</x:v>
      </x:c>
      <x:c r="AI30" s="17" t="n">
        <x:v>-0.0017969957970448425</x:v>
      </x:c>
      <x:c r="AJ30" s="16" t="n">
        <x:v>0.6347826086956522</x:v>
      </x:c>
      <x:c r="AK30" s="18" t="n">
        <x:v>46127</x:v>
      </x:c>
      <x:c r="AL30" s="18" t="n">
        <x:v>46127</x:v>
      </x:c>
      <x:c r="AM30" s="12" t="str">
        <x:v>2026-04-14 to 2026-04-15 to 2026-04-16</x:v>
      </x:c>
      <x:c r="AN30" s="12" t="str">
        <x:v>8-K Item 2.02 filing date</x:v>
      </x:c>
      <x:c r="AO30" s="12" t="str">
        <x:v>SUE + CAR3</x:v>
      </x:c>
      <x:c r="AP30" s="17" t="n">
        <x:v>0.09422411839785481</x:v>
      </x:c>
      <x:c r="AQ30" s="16" t="n">
        <x:v>0.8275862068965517</x:v>
      </x:c>
      <x:c r="AR30" s="17" t="n">
        <x:v>0.13384895095534008</x:v>
      </x:c>
      <x:c r="AS30" s="16"/>
      <x:c r="AT30" s="17" t="n">
        <x:v>0.24718037392318984</x:v>
      </x:c>
      <x:c r="AU30" s="16" t="n">
        <x:v>0.3448275862068966</x:v>
      </x:c>
      <x:c r="AV30" s="17" t="n">
        <x:v>0.7291588710691334</x:v>
      </x:c>
      <x:c r="AW30" s="16"/>
      <x:c r="AX30" s="17" t="n">
        <x:v>0.16354437562059676</x:v>
      </x:c>
      <x:c r="AY30" s="16" t="n">
        <x:v>0.11206896551724133</x:v>
      </x:c>
      <x:c r="AZ30" s="17" t="n">
        <x:v>0.003077138261416882</x:v>
      </x:c>
      <x:c r="BA30" s="16"/>
      <x:c r="BB30" s="17" t="n">
        <x:v>0.024972366702295024</x:v>
      </x:c>
      <x:c r="BC30" s="16" t="n">
        <x:v>0.4224137931034483</x:v>
      </x:c>
      <x:c r="BD30" s="17" t="n">
        <x:v>0.023403187466064637</x:v>
      </x:c>
      <x:c r="BE30" s="17" t="n">
        <x:v>0.0015691792362303877</x:v>
      </x:c>
      <x:c r="BF30" s="17" t="n">
        <x:v>-0.0006806193636208491</x:v>
      </x:c>
      <x:c r="BG30" s="17" t="n">
        <x:v>0.0015691792362303877</x:v>
      </x:c>
      <x:c r="BH30" s="12" t="str">
        <x:v>cash repurchases less issuance</x:v>
      </x:c>
      <x:c r="BI30" s="17"/>
      <x:c r="BJ30" s="19" t="n">
        <x:v>2871000000</x:v>
      </x:c>
      <x:c r="BK30" s="19" t="n">
        <x:v>192500000</x:v>
      </x:c>
      <x:c r="BL30" s="19" t="n">
        <x:v>0</x:v>
      </x:c>
      <x:c r="BM30" s="19" t="n">
        <x:v>89450000000</x:v>
      </x:c>
      <x:c r="BN30" s="19" t="n">
        <x:v>11559000000</x:v>
      </x:c>
      <x:c r="BO30" s="19" t="n">
        <x:v>16772000000</x:v>
      </x:c>
      <x:c r="BP30" s="19" t="n">
        <x:v>352000000</x:v>
      </x:c>
      <x:c r="BQ30" s="19" t="n">
        <x:v>16420000000</x:v>
      </x:c>
      <x:c r="BR30" s="19" t="n">
        <x:v>123039000000</x:v>
      </x:c>
      <x:c r="BS30" s="19" t="n">
        <x:v>105745000000</x:v>
      </x:c>
      <x:c r="BT30" s="19" t="n">
        <x:v>30323000000</x:v>
      </x:c>
      <x:c r="BU30" s="19"/>
      <x:c r="BV30" s="19" t="n">
        <x:v>0</x:v>
      </x:c>
      <x:c r="BW30" s="19" t="n">
        <x:v>0</x:v>
      </x:c>
      <x:c r="BX30" s="12" t="n">
        <x:v>584336464</x:v>
      </x:c>
      <x:c r="BY30" s="17" t="n">
        <x:v>0.0006806193636208491</x:v>
      </x:c>
      <x:c r="BZ30" s="12" t="n">
        <x:v>5</x:v>
      </x:c>
      <x:c r="CA30" s="12" t="str">
        <x:v>OK</x:v>
      </x:c>
      <x:c r="CB30" s="20" t="str">
        <x:v>https://query1.finance.yahoo.com/v8/finance/chart/PGR?period1=1704067200&amp;period2=1783728000&amp;interval=1d&amp;events=div%2Csplits</x:v>
      </x:c>
      <x:c r="CC30" s="20" t="str">
        <x:v>https://data.sec.gov/api/xbrl/companyfacts/CIK0000080661.json</x:v>
      </x:c>
      <x:c r="CD30" s="20" t="str">
        <x:v>https://data.sec.gov/submissions/CIK0000080661.json</x:v>
      </x:c>
      <x:c r="CE30" s="20" t="str">
        <x:v>https://api.nasdaq.com/api/screener/stocks?tableonly=true&amp;limit=25000&amp;download=true</x:v>
      </x:c>
    </x:row>
    <x:row r="31">
      <x:c r="A31" s="12" t="str">
        <x:v>DGX</x:v>
      </x:c>
      <x:c r="B31" s="12" t="str">
        <x:v>Quest Diagnostics Inc.</x:v>
      </x:c>
      <x:c r="C31" s="12" t="str">
        <x:v>Long</x:v>
      </x:c>
      <x:c r="D31" s="14" t="n">
        <x:v>0.00428</x:v>
      </x:c>
      <x:c r="E31" s="15" t="n">
        <x:v>0.24383114136437392</x:v>
      </x:c>
      <x:c r="F31" s="15" t="n">
        <x:v>0.1519470712836267</x:v>
      </x:c>
      <x:c r="G31" s="12" t="str">
        <x:v>Low Beta</x:v>
      </x:c>
      <x:c r="H31" s="12" t="str">
        <x:v>Low Bad Beta</x:v>
      </x:c>
      <x:c r="I31" s="12" t="str">
        <x:v>Low Beta / Low Bad Beta</x:v>
      </x:c>
      <x:c r="J31" s="15" t="n">
        <x:v>1</x:v>
      </x:c>
      <x:c r="K31" s="18" t="n">
        <x:v>46213</x:v>
      </x:c>
      <x:c r="L31" s="15" t="n">
        <x:v>207.44000244140625</x:v>
      </x:c>
      <x:c r="M31" s="19" t="n">
        <x:v>22823943213</x:v>
      </x:c>
      <x:c r="N31" s="12" t="str">
        <x:v>Nasdaq screener</x:v>
      </x:c>
      <x:c r="O31" s="12" t="str">
        <x:v>Health Care</x:v>
      </x:c>
      <x:c r="P31" s="12" t="str">
        <x:v>Medical Specialities</x:v>
      </x:c>
      <x:c r="Q31" s="12" t="n">
        <x:v>8071</x:v>
      </x:c>
      <x:c r="R31" s="12" t="str">
        <x:v>Services-Medical Laboratories</x:v>
      </x:c>
      <x:c r="S31" s="18" t="n">
        <x:v>46112</x:v>
      </x:c>
      <x:c r="T31" s="18" t="n">
        <x:v>46022</x:v>
      </x:c>
      <x:c r="U31" s="15" t="n">
        <x:v>-0.2854174457721033</x:v>
      </x:c>
      <x:c r="V31" s="16" t="n">
        <x:v>0.31896551724137934</x:v>
      </x:c>
      <x:c r="W31" s="17" t="n">
        <x:v>0.14281729428172943</x:v>
      </x:c>
      <x:c r="X31" s="15" t="n">
        <x:v>-0.3690579080629709</x:v>
      </x:c>
      <x:c r="Y31" s="17"/>
      <x:c r="Z31" s="15"/>
      <x:c r="AA31" s="17" t="n">
        <x:v>0.7909344490934449</x:v>
      </x:c>
      <x:c r="AB31" s="15" t="n">
        <x:v>-0.2017769834812357</x:v>
      </x:c>
      <x:c r="AC31" s="13" t="b">
        <x:v>0</x:v>
      </x:c>
      <x:c r="AD31" s="15" t="n">
        <x:v>1.9307539073863276</x:v>
      </x:c>
      <x:c r="AE31" s="16" t="n">
        <x:v>0.8545454545454545</x:v>
      </x:c>
      <x:c r="AF31" s="15" t="n">
        <x:v>0.30000000000000004</x:v>
      </x:c>
      <x:c r="AG31" s="12" t="n">
        <x:v>8</x:v>
      </x:c>
      <x:c r="AH31" s="12" t="n">
        <x:v>68</x:v>
      </x:c>
      <x:c r="AI31" s="17" t="n">
        <x:v>0.043976157862440024</x:v>
      </x:c>
      <x:c r="AJ31" s="16" t="n">
        <x:v>0.8695652173913043</x:v>
      </x:c>
      <x:c r="AK31" s="18" t="n">
        <x:v>46133</x:v>
      </x:c>
      <x:c r="AL31" s="18" t="n">
        <x:v>46133</x:v>
      </x:c>
      <x:c r="AM31" s="12" t="str">
        <x:v>2026-04-20 to 2026-04-21 to 2026-04-22</x:v>
      </x:c>
      <x:c r="AN31" s="12" t="str">
        <x:v>8-K Item 2.02 filing date</x:v>
      </x:c>
      <x:c r="AO31" s="12" t="str">
        <x:v>SUE + CAR3</x:v>
      </x:c>
      <x:c r="AP31" s="17" t="n">
        <x:v>0.044865165955055165</x:v>
      </x:c>
      <x:c r="AQ31" s="16" t="n">
        <x:v>0.45689655172413796</x:v>
      </x:c>
      <x:c r="AR31" s="17" t="n">
        <x:v>0.0580968848207062</x:v>
      </x:c>
      <x:c r="AS31" s="16" t="n">
        <x:v>0.6</x:v>
      </x:c>
      <x:c r="AT31" s="17" t="n">
        <x:v>0.3141437889626421</x:v>
      </x:c>
      <x:c r="AU31" s="16" t="n">
        <x:v>0.45689655172413796</x:v>
      </x:c>
      <x:c r="AV31" s="17" t="n">
        <x:v>0.4017105186797943</x:v>
      </x:c>
      <x:c r="AW31" s="16" t="n">
        <x:v>0.6434782608695652</x:v>
      </x:c>
      <x:c r="AX31" s="17" t="n">
        <x:v>0.0044573763387605325</x:v>
      </x:c>
      <x:c r="AY31" s="16" t="n">
        <x:v>0.8448275862068966</x:v>
      </x:c>
      <x:c r="AZ31" s="17" t="n">
        <x:v>0.03236765705108407</x:v>
      </x:c>
      <x:c r="BA31" s="16" t="n">
        <x:v>0.43000000000000005</x:v>
      </x:c>
      <x:c r="BB31" s="17" t="n">
        <x:v>0.05564332105753912</x:v>
      </x:c>
      <x:c r="BC31" s="16" t="n">
        <x:v>0.7413793103448276</x:v>
      </x:c>
      <x:c r="BD31" s="17" t="n">
        <x:v>0.015466214435678197</x:v>
      </x:c>
      <x:c r="BE31" s="17" t="n">
        <x:v>0.0162548599309819</x:v>
      </x:c>
      <x:c r="BF31" s="17" t="n">
        <x:v>0</x:v>
      </x:c>
      <x:c r="BG31" s="17" t="n">
        <x:v>0.0162548599309819</x:v>
      </x:c>
      <x:c r="BH31" s="12" t="str">
        <x:v>cash repurchases less issuance</x:v>
      </x:c>
      <x:c r="BI31" s="17" t="n">
        <x:v>0.023922246690879025</x:v>
      </x:c>
      <x:c r="BJ31" s="19" t="n">
        <x:v>353000000</x:v>
      </x:c>
      <x:c r="BK31" s="19" t="n">
        <x:v>450000000</x:v>
      </x:c>
      <x:c r="BL31" s="19" t="n">
        <x:v>79000000</x:v>
      </x:c>
      <x:c r="BM31" s="19" t="n">
        <x:v>11278000000</x:v>
      </x:c>
      <x:c r="BN31" s="19" t="n">
        <x:v>1024000000</x:v>
      </x:c>
      <x:c r="BO31" s="19" t="n">
        <x:v>1850000000</x:v>
      </x:c>
      <x:c r="BP31" s="19" t="n">
        <x:v>524000000</x:v>
      </x:c>
      <x:c r="BQ31" s="19" t="n">
        <x:v>1326000000</x:v>
      </x:c>
      <x:c r="BR31" s="19" t="n">
        <x:v>16225000000</x:v>
      </x:c>
      <x:c r="BS31" s="19" t="n">
        <x:v>16153000000</x:v>
      </x:c>
      <x:c r="BT31" s="19" t="n">
        <x:v>7170000000</x:v>
      </x:c>
      <x:c r="BU31" s="19" t="n">
        <x:v>420000000</x:v>
      </x:c>
      <x:c r="BV31" s="19" t="n">
        <x:v>5671000000</x:v>
      </x:c>
      <x:c r="BW31" s="19" t="n">
        <x:v>6217000000</x:v>
      </x:c>
      <x:c r="BX31" s="12" t="n">
        <x:v>110696429</x:v>
      </x:c>
      <x:c r="BY31" s="17" t="n">
        <x:v>0</x:v>
      </x:c>
      <x:c r="BZ31" s="12" t="n">
        <x:v>5</x:v>
      </x:c>
      <x:c r="CA31" s="12" t="str">
        <x:v>OK</x:v>
      </x:c>
      <x:c r="CB31" s="20" t="str">
        <x:v>https://query1.finance.yahoo.com/v8/finance/chart/DGX?period1=1704067200&amp;period2=1783728000&amp;interval=1d&amp;events=div%2Csplits</x:v>
      </x:c>
      <x:c r="CC31" s="20" t="str">
        <x:v>https://data.sec.gov/api/xbrl/companyfacts/CIK0001022079.json</x:v>
      </x:c>
      <x:c r="CD31" s="20" t="str">
        <x:v>https://data.sec.gov/submissions/CIK0001022079.json</x:v>
      </x:c>
      <x:c r="CE31" s="20" t="str">
        <x:v>https://api.nasdaq.com/api/screener/stocks?tableonly=true&amp;limit=25000&amp;download=true</x:v>
      </x:c>
    </x:row>
    <x:row r="32">
      <x:c r="A32" s="12" t="str">
        <x:v>CBOE</x:v>
      </x:c>
      <x:c r="B32" s="12" t="str">
        <x:v>CBOE Global Markets Inc.</x:v>
      </x:c>
      <x:c r="C32" s="12" t="str">
        <x:v>Long</x:v>
      </x:c>
      <x:c r="D32" s="14" t="n">
        <x:v>0.003227</x:v>
      </x:c>
      <x:c r="E32" s="15" t="n">
        <x:v>0.24670528669925593</x:v>
      </x:c>
      <x:c r="F32" s="15" t="n">
        <x:v>0.14484874831933667</x:v>
      </x:c>
      <x:c r="G32" s="12" t="str">
        <x:v>Low Beta</x:v>
      </x:c>
      <x:c r="H32" s="12" t="str">
        <x:v>Low Bad Beta</x:v>
      </x:c>
      <x:c r="I32" s="12" t="str">
        <x:v>Low Beta / Low Bad Beta</x:v>
      </x:c>
      <x:c r="J32" s="15" t="n">
        <x:v>1</x:v>
      </x:c>
      <x:c r="K32" s="18" t="n">
        <x:v>46213</x:v>
      </x:c>
      <x:c r="L32" s="15" t="n">
        <x:v>268.07000732421875</x:v>
      </x:c>
      <x:c r="M32" s="19" t="n">
        <x:v>30797120125</x:v>
      </x:c>
      <x:c r="N32" s="12" t="str">
        <x:v>Nasdaq screener</x:v>
      </x:c>
      <x:c r="O32" s="12" t="str">
        <x:v>Finance</x:v>
      </x:c>
      <x:c r="P32" s="12" t="str">
        <x:v>Investment Bankers/Brokers/Service</x:v>
      </x:c>
      <x:c r="Q32" s="12" t="n">
        <x:v>6200</x:v>
      </x:c>
      <x:c r="R32" s="12" t="str">
        <x:v>Security &amp; Commodity Brokers, Dealers, Exchanges &amp; Services</x:v>
      </x:c>
      <x:c r="S32" s="18" t="n">
        <x:v>46112</x:v>
      </x:c>
      <x:c r="T32" s="18" t="n">
        <x:v>46022</x:v>
      </x:c>
      <x:c r="U32" s="15" t="n">
        <x:v>0.28185951430292155</x:v>
      </x:c>
      <x:c r="V32" s="16" t="n">
        <x:v>0.8017241379310344</x:v>
      </x:c>
      <x:c r="W32" s="17" t="n">
        <x:v>0.24037132903878713</x:v>
      </x:c>
      <x:c r="X32" s="15" t="n">
        <x:v>0.1976949665983848</x:v>
      </x:c>
      <x:c r="Y32" s="17"/>
      <x:c r="Z32" s="15"/>
      <x:c r="AA32" s="17" t="n">
        <x:v>0.28081272016036435</x:v>
      </x:c>
      <x:c r="AB32" s="15" t="n">
        <x:v>0.3660240620074583</x:v>
      </x:c>
      <x:c r="AC32" s="13" t="b">
        <x:v>1</x:v>
      </x:c>
      <x:c r="AD32" s="15" t="n">
        <x:v>2.2200465223230386</x:v>
      </x:c>
      <x:c r="AE32" s="16" t="n">
        <x:v>0.9</x:v>
      </x:c>
      <x:c r="AF32" s="15" t="n">
        <x:v>1.29</x:v>
      </x:c>
      <x:c r="AG32" s="12" t="n">
        <x:v>8</x:v>
      </x:c>
      <x:c r="AH32" s="12" t="n">
        <x:v>60</x:v>
      </x:c>
      <x:c r="AI32" s="17" t="n">
        <x:v>0.09727548683514753</x:v>
      </x:c>
      <x:c r="AJ32" s="16" t="n">
        <x:v>0.9826086956521739</x:v>
      </x:c>
      <x:c r="AK32" s="18" t="n">
        <x:v>46143</x:v>
      </x:c>
      <x:c r="AL32" s="18" t="n">
        <x:v>46143</x:v>
      </x:c>
      <x:c r="AM32" s="12" t="str">
        <x:v>2026-04-30 to 2026-05-01 to 2026-05-04</x:v>
      </x:c>
      <x:c r="AN32" s="12" t="str">
        <x:v>8-K Item 2.02 filing date</x:v>
      </x:c>
      <x:c r="AO32" s="12" t="str">
        <x:v>SUE + CAR3</x:v>
      </x:c>
      <x:c r="AP32" s="17" t="n">
        <x:v>0.04010439920963227</x:v>
      </x:c>
      <x:c r="AQ32" s="16" t="n">
        <x:v>0.3620689655172414</x:v>
      </x:c>
      <x:c r="AR32" s="17" t="n">
        <x:v>0.08845632282963341</x:v>
      </x:c>
      <x:c r="AS32" s="16"/>
      <x:c r="AT32" s="17" t="n">
        <x:v>0.16684352235353694</x:v>
      </x:c>
      <x:c r="AU32" s="16" t="n">
        <x:v>0.2413793103448276</x:v>
      </x:c>
      <x:c r="AV32" s="17" t="n">
        <x:v>0.07424512484609931</x:v>
      </x:c>
      <x:c r="AW32" s="16"/>
      <x:c r="AX32" s="17" t="n">
        <x:v>0.19465663555481383</x:v>
      </x:c>
      <x:c r="AY32" s="16" t="n">
        <x:v>0.07758620689655171</x:v>
      </x:c>
      <x:c r="AZ32" s="17" t="n">
        <x:v>0.008833302134032198</x:v>
      </x:c>
      <x:c r="BA32" s="16"/>
      <x:c r="BB32" s="17" t="n">
        <x:v>0.011390675445501578</x:v>
      </x:c>
      <x:c r="BC32" s="16" t="n">
        <x:v>0.25</x:v>
      </x:c>
      <x:c r="BD32" s="17" t="n">
        <x:v>0.009231382637275081</x:v>
      </x:c>
      <x:c r="BE32" s="17" t="n">
        <x:v>0.0021592928082264963</x:v>
      </x:c>
      <x:c r="BF32" s="17" t="n">
        <x:v>0.0037914691943128354</x:v>
      </x:c>
      <x:c r="BG32" s="17" t="n">
        <x:v>0.0021592928082264963</x:v>
      </x:c>
      <x:c r="BH32" s="12" t="str">
        <x:v>cash repurchases less issuance</x:v>
      </x:c>
      <x:c r="BI32" s="17"/>
      <x:c r="BJ32" s="19" t="n">
        <x:v>284300000</x:v>
      </x:c>
      <x:c r="BK32" s="19" t="n">
        <x:v>66700000</x:v>
      </x:c>
      <x:c r="BL32" s="19" t="n">
        <x:v>200000</x:v>
      </x:c>
      <x:c r="BM32" s="19" t="n">
        <x:v>2229100000</x:v>
      </x:c>
      <x:c r="BN32" s="19" t="n">
        <x:v>1235100000</x:v>
      </x:c>
      <x:c r="BO32" s="19" t="n">
        <x:v>2799700000</x:v>
      </x:c>
      <x:c r="BP32" s="19" t="n">
        <x:v>75500000</x:v>
      </x:c>
      <x:c r="BQ32" s="19" t="n">
        <x:v>2724200000</x:v>
      </x:c>
      <x:c r="BR32" s="19" t="n">
        <x:v>9305300000</x:v>
      </x:c>
      <x:c r="BS32" s="19" t="n">
        <x:v>7789100000</x:v>
      </x:c>
      <x:c r="BT32" s="19" t="n">
        <x:v>5138300000</x:v>
      </x:c>
      <x:c r="BU32" s="19" t="n">
        <x:v>2216500000</x:v>
      </x:c>
      <x:c r="BV32" s="19" t="n">
        <x:v>1442900000</x:v>
      </x:c>
      <x:c r="BW32" s="19" t="n">
        <x:v>1441000000</x:v>
      </x:c>
      <x:c r="BX32" s="12" t="n">
        <x:v>104653784</x:v>
      </x:c>
      <x:c r="BY32" s="17" t="n">
        <x:v>-0.0037914691943128354</x:v>
      </x:c>
      <x:c r="BZ32" s="12" t="n">
        <x:v>5</x:v>
      </x:c>
      <x:c r="CA32" s="12" t="str">
        <x:v>OK</x:v>
      </x:c>
      <x:c r="CB32" s="20" t="str">
        <x:v>https://query1.finance.yahoo.com/v8/finance/chart/CBOE?period1=1704067200&amp;period2=1783728000&amp;interval=1d&amp;events=div%2Csplits</x:v>
      </x:c>
      <x:c r="CC32" s="20" t="str">
        <x:v>https://data.sec.gov/api/xbrl/companyfacts/CIK0001374310.json</x:v>
      </x:c>
      <x:c r="CD32" s="20" t="str">
        <x:v>https://data.sec.gov/submissions/CIK0001374310.json</x:v>
      </x:c>
      <x:c r="CE32" s="20" t="str">
        <x:v>https://api.nasdaq.com/api/screener/stocks?tableonly=true&amp;limit=25000&amp;download=true</x:v>
      </x:c>
    </x:row>
    <x:row r="33">
      <x:c r="A33" s="12" t="str">
        <x:v>WM</x:v>
      </x:c>
      <x:c r="B33" s="12" t="str">
        <x:v>Waste Management Inc.</x:v>
      </x:c>
      <x:c r="C33" s="12" t="str">
        <x:v>Long</x:v>
      </x:c>
      <x:c r="D33" s="14" t="n">
        <x:v>0.004414</x:v>
      </x:c>
      <x:c r="E33" s="15" t="n">
        <x:v>0.17222717380919536</x:v>
      </x:c>
      <x:c r="F33" s="15" t="n">
        <x:v>0.005448686567007985</x:v>
      </x:c>
      <x:c r="G33" s="12" t="str">
        <x:v>Low Beta</x:v>
      </x:c>
      <x:c r="H33" s="12" t="str">
        <x:v>Low Bad Beta</x:v>
      </x:c>
      <x:c r="I33" s="12" t="str">
        <x:v>Low Beta / Low Bad Beta</x:v>
      </x:c>
      <x:c r="J33" s="15" t="n">
        <x:v>1</x:v>
      </x:c>
      <x:c r="K33" s="18" t="n">
        <x:v>46213</x:v>
      </x:c>
      <x:c r="L33" s="15" t="n">
        <x:v>233.3300018310547</x:v>
      </x:c>
      <x:c r="M33" s="19" t="n">
        <x:v>94442585355</x:v>
      </x:c>
      <x:c r="N33" s="12" t="str">
        <x:v>Nasdaq screener</x:v>
      </x:c>
      <x:c r="O33" s="12" t="str">
        <x:v>Utilities</x:v>
      </x:c>
      <x:c r="P33" s="12" t="str">
        <x:v>Environmental Services</x:v>
      </x:c>
      <x:c r="Q33" s="12" t="n">
        <x:v>4953</x:v>
      </x:c>
      <x:c r="R33" s="12" t="str">
        <x:v>Refuse Systems</x:v>
      </x:c>
      <x:c r="S33" s="18" t="n">
        <x:v>46112</x:v>
      </x:c>
      <x:c r="T33" s="18" t="n">
        <x:v>46022</x:v>
      </x:c>
      <x:c r="U33" s="15" t="n">
        <x:v>0.3325398881302606</x:v>
      </x:c>
      <x:c r="V33" s="16" t="n">
        <x:v>0.8620689655172412</x:v>
      </x:c>
      <x:c r="W33" s="17" t="n">
        <x:v>0.27967967967967966</x:v>
      </x:c>
      <x:c r="X33" s="15" t="n">
        <x:v>0.42606195089998117</x:v>
      </x:c>
      <x:c r="Y33" s="17" t="n">
        <x:v>0.04314063848144953</x:v>
      </x:c>
      <x:c r="Z33" s="15" t="n">
        <x:v>-0.10703048184040316</x:v>
      </x:c>
      <x:c r="AA33" s="17" t="n">
        <x:v>0</x:v>
      </x:c>
      <x:c r="AB33" s="15" t="n">
        <x:v>0.6785881953312037</x:v>
      </x:c>
      <x:c r="AC33" s="13" t="b">
        <x:v>0</x:v>
      </x:c>
      <x:c r="AD33" s="15" t="n">
        <x:v>0.8305151019695466</x:v>
      </x:c>
      <x:c r="AE33" s="16" t="n">
        <x:v>0.6272727272727273</x:v>
      </x:c>
      <x:c r="AF33" s="15" t="n">
        <x:v>0.20999999999999996</x:v>
      </x:c>
      <x:c r="AG33" s="12" t="n">
        <x:v>8</x:v>
      </x:c>
      <x:c r="AH33" s="12" t="n">
        <x:v>68</x:v>
      </x:c>
      <x:c r="AI33" s="17" t="n">
        <x:v>0.008819692644191135</x:v>
      </x:c>
      <x:c r="AJ33" s="16" t="n">
        <x:v>0.6956521739130435</x:v>
      </x:c>
      <x:c r="AK33" s="18" t="n">
        <x:v>46140</x:v>
      </x:c>
      <x:c r="AL33" s="18" t="n">
        <x:v>46140</x:v>
      </x:c>
      <x:c r="AM33" s="12" t="str">
        <x:v>2026-04-27 to 2026-04-28 to 2026-04-29</x:v>
      </x:c>
      <x:c r="AN33" s="12" t="str">
        <x:v>8-K Item 2.02 filing date</x:v>
      </x:c>
      <x:c r="AO33" s="12" t="str">
        <x:v>SUE + CAR3</x:v>
      </x:c>
      <x:c r="AP33" s="17" t="n">
        <x:v>0.02958411175951654</x:v>
      </x:c>
      <x:c r="AQ33" s="16" t="n">
        <x:v>0.14655172413793102</x:v>
      </x:c>
      <x:c r="AR33" s="17" t="n">
        <x:v>0.03483597984567266</x:v>
      </x:c>
      <x:c r="AS33" s="16" t="n">
        <x:v>0.28</x:v>
      </x:c>
      <x:c r="AT33" s="17" t="n">
        <x:v>0.10577855278366866</x:v>
      </x:c>
      <x:c r="AU33" s="16" t="n">
        <x:v>0.13793103448275862</x:v>
      </x:c>
      <x:c r="AV33" s="17" t="n">
        <x:v>0.26965802733762806</x:v>
      </x:c>
      <x:c r="AW33" s="16" t="n">
        <x:v>0.46956521739130436</x:v>
      </x:c>
      <x:c r="AX33" s="17" t="n">
        <x:v>0.02845154486503465</x:v>
      </x:c>
      <x:c r="AY33" s="16" t="n">
        <x:v>0.7586206896551724</x:v>
      </x:c>
      <x:c r="AZ33" s="17" t="n">
        <x:v>0.0673878896484591</x:v>
      </x:c>
      <x:c r="BA33" s="16" t="n">
        <x:v>0.25</x:v>
      </x:c>
      <x:c r="BB33" s="17" t="n">
        <x:v>0.016253261113406546</x:v>
      </x:c>
      <x:c r="BC33" s="16" t="n">
        <x:v>0.28448275862068967</x:v>
      </x:c>
      <x:c r="BD33" s="17" t="n">
        <x:v>0.014124983925266666</x:v>
      </x:c>
      <x:c r="BE33" s="17" t="n">
        <x:v>0.00212827718813988</x:v>
      </x:c>
      <x:c r="BF33" s="17" t="n">
        <x:v>-0.001983143282102029</x:v>
      </x:c>
      <x:c r="BG33" s="17" t="n">
        <x:v>0.00212827718813988</x:v>
      </x:c>
      <x:c r="BH33" s="12" t="str">
        <x:v>cash repurchases less issuance</x:v>
      </x:c>
      <x:c r="BI33" s="17"/>
      <x:c r="BJ33" s="19" t="n">
        <x:v>1334000000</x:v>
      </x:c>
      <x:c r="BK33" s="19" t="n">
        <x:v>262000000</x:v>
      </x:c>
      <x:c r="BL33" s="19" t="n">
        <x:v>61000000</x:v>
      </x:c>
      <x:c r="BM33" s="19" t="n">
        <x:v>25413000000</x:v>
      </x:c>
      <x:c r="BN33" s="19" t="n">
        <x:v>2794000000</x:v>
      </x:c>
      <x:c r="BO33" s="19" t="n">
        <x:v>6336000000</x:v>
      </x:c>
      <x:c r="BP33" s="19" t="n">
        <x:v>3046000000</x:v>
      </x:c>
      <x:c r="BQ33" s="19" t="n">
        <x:v>3290000000</x:v>
      </x:c>
      <x:c r="BR33" s="19" t="n">
        <x:v>45835000000</x:v>
      </x:c>
      <x:c r="BS33" s="19" t="n">
        <x:v>44567000000</x:v>
      </x:c>
      <x:c r="BT33" s="19" t="n">
        <x:v>9990000000</x:v>
      </x:c>
      <x:c r="BU33" s="19" t="n">
        <x:v>201000000</x:v>
      </x:c>
      <x:c r="BV33" s="19"/>
      <x:c r="BW33" s="19"/>
      <x:c r="BX33" s="12" t="n">
        <x:v>401575752</x:v>
      </x:c>
      <x:c r="BY33" s="17" t="n">
        <x:v>0.001983143282102029</x:v>
      </x:c>
      <x:c r="BZ33" s="12" t="n">
        <x:v>5</x:v>
      </x:c>
      <x:c r="CA33" s="12" t="str">
        <x:v>OK</x:v>
      </x:c>
      <x:c r="CB33" s="20" t="str">
        <x:v>https://query1.finance.yahoo.com/v8/finance/chart/WM?period1=1704067200&amp;period2=1783728000&amp;interval=1d&amp;events=div%2Csplits</x:v>
      </x:c>
      <x:c r="CC33" s="20" t="str">
        <x:v>https://data.sec.gov/api/xbrl/companyfacts/CIK0000823768.json</x:v>
      </x:c>
      <x:c r="CD33" s="20" t="str">
        <x:v>https://data.sec.gov/submissions/CIK0000823768.json</x:v>
      </x:c>
      <x:c r="CE33" s="20" t="str">
        <x:v>https://api.nasdaq.com/api/screener/stocks?tableonly=true&amp;limit=25000&amp;download=true</x:v>
      </x:c>
    </x:row>
    <x:row r="34">
      <x:c r="A34" s="12" t="str">
        <x:v>HSY</x:v>
      </x:c>
      <x:c r="B34" s="12" t="str">
        <x:v>The Hershey Co.</x:v>
      </x:c>
      <x:c r="C34" s="12" t="str">
        <x:v>Long</x:v>
      </x:c>
      <x:c r="D34" s="14" t="n">
        <x:v>0.003583</x:v>
      </x:c>
      <x:c r="E34" s="15" t="n">
        <x:v>0.1174133100598108</x:v>
      </x:c>
      <x:c r="F34" s="15" t="n">
        <x:v>-0.02347637543469619</x:v>
      </x:c>
      <x:c r="G34" s="12" t="str">
        <x:v>Low Beta</x:v>
      </x:c>
      <x:c r="H34" s="12" t="str">
        <x:v>Low Bad Beta</x:v>
      </x:c>
      <x:c r="I34" s="12" t="str">
        <x:v>Low Beta / Low Bad Beta</x:v>
      </x:c>
      <x:c r="J34" s="15" t="n">
        <x:v>1</x:v>
      </x:c>
      <x:c r="K34" s="18" t="n">
        <x:v>46213</x:v>
      </x:c>
      <x:c r="L34" s="15" t="n">
        <x:v>173.66000366210938</x:v>
      </x:c>
      <x:c r="M34" s="19" t="n">
        <x:v>34749098057</x:v>
      </x:c>
      <x:c r="N34" s="12" t="str">
        <x:v>Nasdaq screener</x:v>
      </x:c>
      <x:c r="O34" s="12" t="str">
        <x:v>Consumer Staples</x:v>
      </x:c>
      <x:c r="P34" s="12" t="str">
        <x:v>Specialty Foods</x:v>
      </x:c>
      <x:c r="Q34" s="12" t="n">
        <x:v>2060</x:v>
      </x:c>
      <x:c r="R34" s="12" t="str">
        <x:v>Sugar &amp; Confectionery Products</x:v>
      </x:c>
      <x:c r="S34" s="18" t="n">
        <x:v>40272</x:v>
      </x:c>
      <x:c r="T34" s="18" t="n">
        <x:v>46022</x:v>
      </x:c>
      <x:c r="U34" s="15" t="n">
        <x:v>0.6639135031848937</x:v>
      </x:c>
      <x:c r="V34" s="16" t="n">
        <x:v>0.9482758620689656</x:v>
      </x:c>
      <x:c r="W34" s="17" t="n">
        <x:v>0.23597584515015904</x:v>
      </x:c>
      <x:c r="X34" s="15" t="n">
        <x:v>0.17215883028570994</x:v>
      </x:c>
      <x:c r="Y34" s="17" t="n">
        <x:v>-0.08740460844094224</x:v>
      </x:c>
      <x:c r="Z34" s="15" t="n">
        <x:v>1.1934562936857385</x:v>
      </x:c>
      <x:c r="AA34" s="17" t="n">
        <x:v>0.04713344476195611</x:v>
      </x:c>
      <x:c r="AB34" s="15" t="n">
        <x:v>0.6261253855832326</x:v>
      </x:c>
      <x:c r="AC34" s="13" t="b">
        <x:v>0</x:v>
      </x:c>
      <x:c r="AD34" s="15"/>
      <x:c r="AE34" s="16"/>
      <x:c r="AF34" s="15"/>
      <x:c r="AG34" s="12" t="n">
        <x:v>0</x:v>
      </x:c>
      <x:c r="AH34" s="12" t="n">
        <x:v>3</x:v>
      </x:c>
      <x:c r="AI34" s="17" t="n">
        <x:v>-0.04305876511525675</x:v>
      </x:c>
      <x:c r="AJ34" s="16" t="n">
        <x:v>0.30434782608695654</x:v>
      </x:c>
      <x:c r="AK34" s="18" t="n">
        <x:v>46142</x:v>
      </x:c>
      <x:c r="AL34" s="18" t="n">
        <x:v>46142</x:v>
      </x:c>
      <x:c r="AM34" s="12" t="str">
        <x:v>2026-04-29 to 2026-04-30 to 2026-05-01</x:v>
      </x:c>
      <x:c r="AN34" s="12" t="str">
        <x:v>8-K Item 2.02 filing date</x:v>
      </x:c>
      <x:c r="AO34" s="12" t="str">
        <x:v>CAR3 only</x:v>
      </x:c>
      <x:c r="AP34" s="17" t="n">
        <x:v>0.031487464745278124</x:v>
      </x:c>
      <x:c r="AQ34" s="16" t="n">
        <x:v>0.19827586206896552</x:v>
      </x:c>
      <x:c r="AR34" s="17" t="n">
        <x:v>0.05542008592110952</x:v>
      </x:c>
      <x:c r="AS34" s="16" t="n">
        <x:v>0.58</x:v>
      </x:c>
      <x:c r="AT34" s="17" t="n">
        <x:v>0.13343511801066602</x:v>
      </x:c>
      <x:c r="AU34" s="16" t="n">
        <x:v>0.16379310344827586</x:v>
      </x:c>
      <x:c r="AV34" s="17" t="n">
        <x:v>0.3429262772308367</x:v>
      </x:c>
      <x:c r="AW34" s="16" t="n">
        <x:v>0.5565217391304348</x:v>
      </x:c>
      <x:c r="AX34" s="17" t="n">
        <x:v>0.06136128286230935</x:v>
      </x:c>
      <x:c r="AY34" s="16" t="n">
        <x:v>0.5344827586206897</x:v>
      </x:c>
      <x:c r="AZ34" s="17" t="n">
        <x:v>0.031751385764427806</x:v>
      </x:c>
      <x:c r="BA34" s="16" t="n">
        <x:v>0.43999999999999995</x:v>
      </x:c>
      <x:c r="BB34" s="17" t="n">
        <x:v>0.061942010594614724</x:v>
      </x:c>
      <x:c r="BC34" s="16" t="n">
        <x:v>0.7931034482758621</x:v>
      </x:c>
      <x:c r="BD34" s="17" t="n">
        <x:v>0.03123235021006174</x:v>
      </x:c>
      <x:c r="BE34" s="17" t="n">
        <x:v>-0.0006128792167516372</x:v>
      </x:c>
      <x:c r="BF34" s="17" t="n">
        <x:v>0.010413594890912536</x:v>
      </x:c>
      <x:c r="BG34" s="17" t="n">
        <x:v>-0.0006128792167516372</x:v>
      </x:c>
      <x:c r="BH34" s="12" t="str">
        <x:v>cash repurchases less issuance</x:v>
      </x:c>
      <x:c r="BI34" s="17" t="n">
        <x:v>0.03132253960130462</x:v>
      </x:c>
      <x:c r="BJ34" s="19" t="n">
        <x:v>1085296000</x:v>
      </x:c>
      <x:c r="BK34" s="19" t="n">
        <x:v>0</x:v>
      </x:c>
      <x:c r="BL34" s="19" t="n">
        <x:v>21297000</x:v>
      </x:c>
      <x:c r="BM34" s="19" t="n">
        <x:v>11991324000</x:v>
      </x:c>
      <x:c r="BN34" s="19" t="n">
        <x:v>1094161000</x:v>
      </x:c>
      <x:c r="BO34" s="19" t="n">
        <x:v>2349491000</x:v>
      </x:c>
      <x:c r="BP34" s="19" t="n">
        <x:v>423693000</x:v>
      </x:c>
      <x:c r="BQ34" s="19" t="n">
        <x:v>1925798000</x:v>
      </x:c>
      <x:c r="BR34" s="19" t="n">
        <x:v>13741297000</x:v>
      </x:c>
      <x:c r="BS34" s="19" t="n">
        <x:v>12946861000</x:v>
      </x:c>
      <x:c r="BT34" s="19" t="n">
        <x:v>4636750000</x:v>
      </x:c>
      <x:c r="BU34" s="19"/>
      <x:c r="BV34" s="19" t="n">
        <x:v>218546000</x:v>
      </x:c>
      <x:c r="BW34" s="19" t="n">
        <x:v>1306976000</x:v>
      </x:c>
      <x:c r="BX34" s="12" t="n">
        <x:v>202839656</x:v>
      </x:c>
      <x:c r="BY34" s="17" t="n">
        <x:v>-0.010413594890912536</x:v>
      </x:c>
      <x:c r="BZ34" s="12" t="n">
        <x:v>5</x:v>
      </x:c>
      <x:c r="CA34" s="12" t="str">
        <x:v>OK</x:v>
      </x:c>
      <x:c r="CB34" s="20" t="str">
        <x:v>https://query1.finance.yahoo.com/v8/finance/chart/HSY?period1=1704067200&amp;period2=1783728000&amp;interval=1d&amp;events=div%2Csplits</x:v>
      </x:c>
      <x:c r="CC34" s="20" t="str">
        <x:v>https://data.sec.gov/api/xbrl/companyfacts/CIK0000047111.json</x:v>
      </x:c>
      <x:c r="CD34" s="20" t="str">
        <x:v>https://data.sec.gov/submissions/CIK0000047111.json</x:v>
      </x:c>
      <x:c r="CE34" s="20" t="str">
        <x:v>https://api.nasdaq.com/api/screener/stocks?tableonly=true&amp;limit=25000&amp;download=true</x:v>
      </x:c>
    </x:row>
    <x:row r="35">
      <x:c r="A35" s="12" t="str">
        <x:v>AR</x:v>
      </x:c>
      <x:c r="B35" s="12" t="str">
        <x:v>Antero Resources Corp.</x:v>
      </x:c>
      <x:c r="C35" s="12" t="str">
        <x:v>Long</x:v>
      </x:c>
      <x:c r="D35" s="14" t="n">
        <x:v>0.0036</x:v>
      </x:c>
      <x:c r="E35" s="15" t="n">
        <x:v>-0.44097950803571684</x:v>
      </x:c>
      <x:c r="F35" s="15" t="n">
        <x:v>-0.22215707183941671</x:v>
      </x:c>
      <x:c r="G35" s="12" t="str">
        <x:v>Low Beta</x:v>
      </x:c>
      <x:c r="H35" s="12" t="str">
        <x:v>Low Bad Beta</x:v>
      </x:c>
      <x:c r="I35" s="12" t="str">
        <x:v>Low Beta / Low Bad Beta</x:v>
      </x:c>
      <x:c r="J35" s="15" t="n">
        <x:v>1</x:v>
      </x:c>
      <x:c r="K35" s="18" t="n">
        <x:v>46213</x:v>
      </x:c>
      <x:c r="L35" s="15" t="n">
        <x:v>33.22999954223633</x:v>
      </x:c>
      <x:c r="M35" s="19" t="n">
        <x:v>10342325680</x:v>
      </x:c>
      <x:c r="N35" s="12" t="str">
        <x:v>Nasdaq screener</x:v>
      </x:c>
      <x:c r="O35" s="12" t="str">
        <x:v>Energy</x:v>
      </x:c>
      <x:c r="P35" s="12" t="str">
        <x:v>Oil &amp; Gas Production</x:v>
      </x:c>
      <x:c r="Q35" s="12" t="n">
        <x:v>1311</x:v>
      </x:c>
      <x:c r="R35" s="12" t="str">
        <x:v>Crude Petroleum &amp; Natural Gas</x:v>
      </x:c>
      <x:c r="S35" s="18" t="n">
        <x:v>46112</x:v>
      </x:c>
      <x:c r="T35" s="18" t="n">
        <x:v>46022</x:v>
      </x:c>
      <x:c r="U35" s="15" t="n">
        <x:v>0.019640272807604865</x:v>
      </x:c>
      <x:c r="V35" s="16" t="n">
        <x:v>0.5086206896551724</x:v>
      </x:c>
      <x:c r="W35" s="17" t="n">
        <x:v>0.13287471690187047</x:v>
      </x:c>
      <x:c r="X35" s="15" t="n">
        <x:v>-0.4268206067110692</x:v>
      </x:c>
      <x:c r="Y35" s="17" t="n">
        <x:v>0.03106874125253276</x:v>
      </x:c>
      <x:c r="Z35" s="15" t="n">
        <x:v>0.013229298364770322</x:v>
      </x:c>
      <x:c r="AA35" s="17" t="n">
        <x:v>0.18514210430195263</x:v>
      </x:c>
      <x:c r="AB35" s="15" t="n">
        <x:v>0.47251212676911347</x:v>
      </x:c>
      <x:c r="AC35" s="13" t="b">
        <x:v>0</x:v>
      </x:c>
      <x:c r="AD35" s="15" t="n">
        <x:v>2.688502855444104</x:v>
      </x:c>
      <x:c r="AE35" s="16" t="n">
        <x:v>0.9545454545454546</x:v>
      </x:c>
      <x:c r="AF35" s="15" t="n">
        <x:v>1.06</x:v>
      </x:c>
      <x:c r="AG35" s="12" t="n">
        <x:v>8</x:v>
      </x:c>
      <x:c r="AH35" s="12" t="n">
        <x:v>46</x:v>
      </x:c>
      <x:c r="AI35" s="17" t="n">
        <x:v>0.023019123628387983</x:v>
      </x:c>
      <x:c r="AJ35" s="16" t="n">
        <x:v>0.8</x:v>
      </x:c>
      <x:c r="AK35" s="18" t="n">
        <x:v>46141</x:v>
      </x:c>
      <x:c r="AL35" s="18" t="n">
        <x:v>46141</x:v>
      </x:c>
      <x:c r="AM35" s="12" t="str">
        <x:v>2026-04-28 to 2026-04-29 to 2026-04-30</x:v>
      </x:c>
      <x:c r="AN35" s="12" t="str">
        <x:v>8-K Item 2.02 filing date</x:v>
      </x:c>
      <x:c r="AO35" s="12" t="str">
        <x:v>SUE + CAR3</x:v>
      </x:c>
      <x:c r="AP35" s="17" t="n">
        <x:v>0.0970104820756331</x:v>
      </x:c>
      <x:c r="AQ35" s="16" t="n">
        <x:v>0.8448275862068966</x:v>
      </x:c>
      <x:c r="AR35" s="17" t="n">
        <x:v>0.09213034180915486</x:v>
      </x:c>
      <x:c r="AS35" s="16" t="n">
        <x:v>0.83</x:v>
      </x:c>
      <x:c r="AT35" s="17" t="n">
        <x:v>0.7300898495782043</x:v>
      </x:c>
      <x:c r="AU35" s="16" t="n">
        <x:v>0.8879310344827587</x:v>
      </x:c>
      <x:c r="AV35" s="17" t="n">
        <x:v>0.499837411333028</x:v>
      </x:c>
      <x:c r="AW35" s="16" t="n">
        <x:v>0.6782608695652174</x:v>
      </x:c>
      <x:c r="AX35" s="17" t="n">
        <x:v>0.018090399345121577</x:v>
      </x:c>
      <x:c r="AY35" s="16" t="n">
        <x:v>0.8017241379310345</x:v>
      </x:c>
      <x:c r="AZ35" s="17" t="n">
        <x:v>0.08222344025472494</x:v>
      </x:c>
      <x:c r="BA35" s="16" t="n">
        <x:v>0.13</x:v>
      </x:c>
      <x:c r="BB35" s="17" t="n">
        <x:v>-0.07587974158632374</x:v>
      </x:c>
      <x:c r="BC35" s="16" t="n">
        <x:v>0.04310344827586207</x:v>
      </x:c>
      <x:c r="BD35" s="17" t="n">
        <x:v>0</x:v>
      </x:c>
      <x:c r="BE35" s="17" t="n">
        <x:v>-0.08470309552270838</x:v>
      </x:c>
      <x:c r="BF35" s="17" t="n">
        <x:v>0.003359773334949967</x:v>
      </x:c>
      <x:c r="BG35" s="17" t="n">
        <x:v>-0.08470309552270838</x:v>
      </x:c>
      <x:c r="BH35" s="12" t="str">
        <x:v>cash repurchases less issuance</x:v>
      </x:c>
      <x:c r="BI35" s="17" t="n">
        <x:v>0.008823353936384644</x:v>
      </x:c>
      <x:c r="BJ35" s="19" t="n">
        <x:v>0</x:v>
      </x:c>
      <x:c r="BK35" s="19" t="n">
        <x:v>136404000</x:v>
      </x:c>
      <x:c r="BL35" s="19" t="n">
        <x:v>1012431000</x:v>
      </x:c>
      <x:c r="BM35" s="19" t="n">
        <x:v>5868242000</x:v>
      </x:c>
      <x:c r="BN35" s="19" t="n">
        <x:v>1003314000</x:v>
      </x:c>
      <x:c r="BO35" s="19" t="n">
        <x:v>2032249000</x:v>
      </x:c>
      <x:c r="BP35" s="19" t="n">
        <x:v>1079407000</x:v>
      </x:c>
      <x:c r="BQ35" s="19" t="n">
        <x:v>952842000</x:v>
      </x:c>
      <x:c r="BR35" s="19" t="n">
        <x:v>13245407000</x:v>
      </x:c>
      <x:c r="BS35" s="19" t="n">
        <x:v>13010050000</x:v>
      </x:c>
      <x:c r="BT35" s="19" t="n">
        <x:v>7550827000</x:v>
      </x:c>
      <x:c r="BU35" s="19"/>
      <x:c r="BV35" s="19" t="n">
        <x:v>1397976000</x:v>
      </x:c>
      <x:c r="BW35" s="19" t="n">
        <x:v>1489230000</x:v>
      </x:c>
      <x:c r="BX35" s="12" t="n">
        <x:v>309836000</x:v>
      </x:c>
      <x:c r="BY35" s="17" t="n">
        <x:v>-0.003359773334949967</x:v>
      </x:c>
      <x:c r="BZ35" s="12" t="n">
        <x:v>5</x:v>
      </x:c>
      <x:c r="CA35" s="12" t="str">
        <x:v>OK</x:v>
      </x:c>
      <x:c r="CB35" s="20" t="str">
        <x:v>https://query1.finance.yahoo.com/v8/finance/chart/AR?period1=1704067200&amp;period2=1783728000&amp;interval=1d&amp;events=div%2Csplits</x:v>
      </x:c>
      <x:c r="CC35" s="20" t="str">
        <x:v>https://data.sec.gov/api/xbrl/companyfacts/CIK0001433270.json</x:v>
      </x:c>
      <x:c r="CD35" s="20" t="str">
        <x:v>https://data.sec.gov/submissions/CIK0001433270.json</x:v>
      </x:c>
      <x:c r="CE35" s="20" t="str">
        <x:v>https://api.nasdaq.com/api/screener/stocks?tableonly=true&amp;limit=25000&amp;download=true</x:v>
      </x:c>
    </x:row>
    <x:row r="36">
      <x:c r="A36" s="12" t="str">
        <x:v>CME</x:v>
      </x:c>
      <x:c r="B36" s="12" t="str">
        <x:v>CME Group Inc.</x:v>
      </x:c>
      <x:c r="C36" s="12" t="str">
        <x:v>Long</x:v>
      </x:c>
      <x:c r="D36" s="14" t="n">
        <x:v>0.003305</x:v>
      </x:c>
      <x:c r="E36" s="15" t="n">
        <x:v>-0.11663968695372652</x:v>
      </x:c>
      <x:c r="F36" s="15" t="n">
        <x:v>-0.05538028083188568</x:v>
      </x:c>
      <x:c r="G36" s="12" t="str">
        <x:v>Low Beta</x:v>
      </x:c>
      <x:c r="H36" s="12" t="str">
        <x:v>Low Bad Beta</x:v>
      </x:c>
      <x:c r="I36" s="12" t="str">
        <x:v>Low Beta / Low Bad Beta</x:v>
      </x:c>
      <x:c r="J36" s="15" t="n">
        <x:v>1</x:v>
      </x:c>
      <x:c r="K36" s="18" t="n">
        <x:v>46213</x:v>
      </x:c>
      <x:c r="L36" s="15" t="n">
        <x:v>240.27000427246094</x:v>
      </x:c>
      <x:c r="M36" s="19" t="n">
        <x:v>89122281395</x:v>
      </x:c>
      <x:c r="N36" s="12" t="str">
        <x:v>Nasdaq screener</x:v>
      </x:c>
      <x:c r="O36" s="12" t="str">
        <x:v>Finance</x:v>
      </x:c>
      <x:c r="P36" s="12" t="str">
        <x:v>Investment Bankers/Brokers/Service</x:v>
      </x:c>
      <x:c r="Q36" s="12" t="n">
        <x:v>6200</x:v>
      </x:c>
      <x:c r="R36" s="12" t="str">
        <x:v>Security &amp; Commodity Brokers, Dealers, Exchanges &amp; Services</x:v>
      </x:c>
      <x:c r="S36" s="18" t="n">
        <x:v>46112</x:v>
      </x:c>
      <x:c r="T36" s="18" t="n">
        <x:v>46022</x:v>
      </x:c>
      <x:c r="U36" s="15" t="n">
        <x:v>0.1716932188849566</x:v>
      </x:c>
      <x:c r="V36" s="16" t="n">
        <x:v>0.6810344827586207</x:v>
      </x:c>
      <x:c r="W36" s="17" t="n">
        <x:v>0.14864488551318913</x:v>
      </x:c>
      <x:c r="X36" s="15" t="n">
        <x:v>-0.33520175756129056</x:v>
      </x:c>
      <x:c r="Y36" s="17"/>
      <x:c r="Z36" s="15"/>
      <x:c r="AA36" s="17" t="n">
        <x:v>0</x:v>
      </x:c>
      <x:c r="AB36" s="15" t="n">
        <x:v>0.6785881953312037</x:v>
      </x:c>
      <x:c r="AC36" s="13" t="b">
        <x:v>1</x:v>
      </x:c>
      <x:c r="AD36" s="15" t="n">
        <x:v>2.2974502636081766</x:v>
      </x:c>
      <x:c r="AE36" s="16" t="n">
        <x:v>0.9272727272727272</x:v>
      </x:c>
      <x:c r="AF36" s="15" t="n">
        <x:v>0.6200000000000001</x:v>
      </x:c>
      <x:c r="AG36" s="12" t="n">
        <x:v>8</x:v>
      </x:c>
      <x:c r="AH36" s="12" t="n">
        <x:v>68</x:v>
      </x:c>
      <x:c r="AI36" s="17" t="n">
        <x:v>-0.005751195973474732</x:v>
      </x:c>
      <x:c r="AJ36" s="16" t="n">
        <x:v>0.6</x:v>
      </x:c>
      <x:c r="AK36" s="18" t="n">
        <x:v>46134</x:v>
      </x:c>
      <x:c r="AL36" s="18" t="n">
        <x:v>46134</x:v>
      </x:c>
      <x:c r="AM36" s="12" t="str">
        <x:v>2026-04-21 to 2026-04-22 to 2026-04-23</x:v>
      </x:c>
      <x:c r="AN36" s="12" t="str">
        <x:v>8-K Item 2.02 filing date</x:v>
      </x:c>
      <x:c r="AO36" s="12" t="str">
        <x:v>SUE + CAR3</x:v>
      </x:c>
      <x:c r="AP36" s="17" t="n">
        <x:v>0.04791506605484602</x:v>
      </x:c>
      <x:c r="AQ36" s="16" t="n">
        <x:v>0.4827586206896552</x:v>
      </x:c>
      <x:c r="AR36" s="17" t="n">
        <x:v>0.04857707783323066</x:v>
      </x:c>
      <x:c r="AS36" s="16"/>
      <x:c r="AT36" s="17" t="n">
        <x:v>0.3223458774879581</x:v>
      </x:c>
      <x:c r="AU36" s="16" t="n">
        <x:v>0.4827586206896552</x:v>
      </x:c>
      <x:c r="AV36" s="17" t="n">
        <x:v>0.07978713853472993</x:v>
      </x:c>
      <x:c r="AW36" s="16"/>
      <x:c r="AX36" s="17" t="n">
        <x:v>0.4436415491062009</x:v>
      </x:c>
      <x:c r="AY36" s="16" t="n">
        <x:v>0.03448275862068961</x:v>
      </x:c>
      <x:c r="AZ36" s="17" t="n">
        <x:v>0.0005424698515383278</x:v>
      </x:c>
      <x:c r="BA36" s="16"/>
      <x:c r="BB36" s="17" t="n">
        <x:v>0.04400134218534498</x:v>
      </x:c>
      <x:c r="BC36" s="16" t="n">
        <x:v>0.6293103448275862</x:v>
      </x:c>
      <x:c r="BD36" s="17" t="n">
        <x:v>0.0441303783794369</x:v>
      </x:c>
      <x:c r="BE36" s="17" t="n">
        <x:v>-0.00012903619409192077</x:v>
      </x:c>
      <x:c r="BF36" s="17" t="n">
        <x:v>-0.0010168248394195611</x:v>
      </x:c>
      <x:c r="BG36" s="17" t="n">
        <x:v>-0.00012903619409192077</x:v>
      </x:c>
      <x:c r="BH36" s="12" t="str">
        <x:v>cash repurchases less issuance</x:v>
      </x:c>
      <x:c r="BI36" s="17"/>
      <x:c r="BJ36" s="19" t="n">
        <x:v>3933000000</x:v>
      </x:c>
      <x:c r="BK36" s="19" t="n">
        <x:v>0</x:v>
      </x:c>
      <x:c r="BL36" s="19" t="n">
        <x:v>11500000</x:v>
      </x:c>
      <x:c r="BM36" s="19" t="n">
        <x:v>6758400000</x:v>
      </x:c>
      <x:c r="BN36" s="19" t="n">
        <x:v>4270300000</x:v>
      </x:c>
      <x:c r="BO36" s="19" t="n">
        <x:v>4420400000</x:v>
      </x:c>
      <x:c r="BP36" s="19" t="n">
        <x:v>91100000</x:v>
      </x:c>
      <x:c r="BQ36" s="19" t="n">
        <x:v>4329300000</x:v>
      </x:c>
      <x:c r="BR36" s="19" t="n">
        <x:v>198424200000</x:v>
      </x:c>
      <x:c r="BS36" s="19" t="n">
        <x:v>137447000000</x:v>
      </x:c>
      <x:c r="BT36" s="19" t="n">
        <x:v>28728200000</x:v>
      </x:c>
      <x:c r="BU36" s="19" t="n">
        <x:v>4416900000</x:v>
      </x:c>
      <x:c r="BV36" s="19" t="n">
        <x:v>0</x:v>
      </x:c>
      <x:c r="BW36" s="19" t="n">
        <x:v>749800000</x:v>
      </x:c>
      <x:c r="BX36" s="12" t="n">
        <x:v>66643583</x:v>
      </x:c>
      <x:c r="BY36" s="17" t="n">
        <x:v>0.0010168248394195611</x:v>
      </x:c>
      <x:c r="BZ36" s="12" t="n">
        <x:v>5</x:v>
      </x:c>
      <x:c r="CA36" s="12" t="str">
        <x:v>OK</x:v>
      </x:c>
      <x:c r="CB36" s="20" t="str">
        <x:v>https://query1.finance.yahoo.com/v8/finance/chart/CME?period1=1704067200&amp;period2=1783728000&amp;interval=1d&amp;events=div%2Csplits</x:v>
      </x:c>
      <x:c r="CC36" s="20" t="str">
        <x:v>https://data.sec.gov/api/xbrl/companyfacts/CIK0001156375.json</x:v>
      </x:c>
      <x:c r="CD36" s="20" t="str">
        <x:v>https://data.sec.gov/submissions/CIK0001156375.json</x:v>
      </x:c>
      <x:c r="CE36" s="20" t="str">
        <x:v>https://api.nasdaq.com/api/screener/stocks?tableonly=true&amp;limit=25000&amp;download=true</x:v>
      </x:c>
    </x:row>
    <x:row r="37">
      <x:c r="A37" s="12" t="str">
        <x:v>BF-B</x:v>
      </x:c>
      <x:c r="B37" s="12" t="str">
        <x:v>Brown-Forman Corp.</x:v>
      </x:c>
      <x:c r="C37" s="12" t="str">
        <x:v>Short</x:v>
      </x:c>
      <x:c r="D37" s="14" t="n">
        <x:v>-0.003555</x:v>
      </x:c>
      <x:c r="E37" s="15" t="n">
        <x:v>0.29712437528260455</x:v>
      </x:c>
      <x:c r="F37" s="15" t="n">
        <x:v>0.11396524054050211</x:v>
      </x:c>
      <x:c r="G37" s="12" t="str">
        <x:v>Low Beta</x:v>
      </x:c>
      <x:c r="H37" s="12" t="str">
        <x:v>Low Bad Beta</x:v>
      </x:c>
      <x:c r="I37" s="12" t="str">
        <x:v>Low Beta / Low Bad Beta</x:v>
      </x:c>
      <x:c r="J37" s="15" t="n">
        <x:v>1</x:v>
      </x:c>
      <x:c r="K37" s="18" t="n">
        <x:v>46213</x:v>
      </x:c>
      <x:c r="L37" s="15" t="n">
        <x:v>26.170000076293945</x:v>
      </x:c>
      <x:c r="M37" s="19" t="n">
        <x:v>12369747766.061783</x:v>
      </x:c>
      <x:c r="N37" s="12" t="str">
        <x:v>Yahoo price x SEC shares</x:v>
      </x:c>
      <x:c r="O37" s="12" t="str"/>
      <x:c r="P37" s="12" t="str"/>
      <x:c r="Q37" s="12" t="n">
        <x:v>2080</x:v>
      </x:c>
      <x:c r="R37" s="12" t="str">
        <x:v>Beverages</x:v>
      </x:c>
      <x:c r="S37" s="18" t="n">
        <x:v>46142</x:v>
      </x:c>
      <x:c r="T37" s="18" t="n">
        <x:v>46142</x:v>
      </x:c>
      <x:c r="U37" s="15" t="n">
        <x:v>-0.0191720994962723</x:v>
      </x:c>
      <x:c r="V37" s="16" t="n">
        <x:v>0.4655172413793103</x:v>
      </x:c>
      <x:c r="W37" s="17" t="n">
        <x:v>0.17786069651741293</x:v>
      </x:c>
      <x:c r="X37" s="15" t="n">
        <x:v>-0.1654686971764275</x:v>
      </x:c>
      <x:c r="Y37" s="17" t="n">
        <x:v>0.022027534418022528</x:v>
      </x:c>
      <x:c r="Z37" s="15" t="n">
        <x:v>0.10329745634272532</x:v>
      </x:c>
      <x:c r="AA37" s="17" t="n">
        <x:v>0.6054726368159205</x:v>
      </x:c>
      <x:c r="AB37" s="15" t="n">
        <x:v>0.004654942344885294</x:v>
      </x:c>
      <x:c r="AC37" s="13" t="b">
        <x:v>0</x:v>
      </x:c>
      <x:c r="AD37" s="15" t="n">
        <x:v>-1.908367451616937</x:v>
      </x:c>
      <x:c r="AE37" s="16" t="n">
        <x:v>0.045454545454545456</x:v>
      </x:c>
      <x:c r="AF37" s="15" t="n">
        <x:v>-0.18999999999999995</x:v>
      </x:c>
      <x:c r="AG37" s="12" t="n">
        <x:v>8</x:v>
      </x:c>
      <x:c r="AH37" s="12" t="n">
        <x:v>64</x:v>
      </x:c>
      <x:c r="AI37" s="17" t="n">
        <x:v>0.0779145536473681</x:v>
      </x:c>
      <x:c r="AJ37" s="16" t="n">
        <x:v>0.9391304347826087</x:v>
      </x:c>
      <x:c r="AK37" s="18" t="n">
        <x:v>46177</x:v>
      </x:c>
      <x:c r="AL37" s="18" t="n">
        <x:v>46177</x:v>
      </x:c>
      <x:c r="AM37" s="12" t="str">
        <x:v>2026-06-03 to 2026-06-04 to 2026-06-05</x:v>
      </x:c>
      <x:c r="AN37" s="12" t="str">
        <x:v>8-K Item 2.02 filing date</x:v>
      </x:c>
      <x:c r="AO37" s="12" t="str">
        <x:v>SUE + CAR3</x:v>
      </x:c>
      <x:c r="AP37" s="17" t="n">
        <x:v>0.05780231040455872</x:v>
      </x:c>
      <x:c r="AQ37" s="16" t="n">
        <x:v>0.6379310344827587</x:v>
      </x:c>
      <x:c r="AR37" s="17" t="n">
        <x:v>0.07219225621156775</x:v>
      </x:c>
      <x:c r="AS37" s="16" t="n">
        <x:v>0.73</x:v>
      </x:c>
      <x:c r="AT37" s="17" t="n">
        <x:v>0.3249864165403162</x:v>
      </x:c>
      <x:c r="AU37" s="16" t="n">
        <x:v>0.49137931034482757</x:v>
      </x:c>
      <x:c r="AV37" s="17" t="n">
        <x:v>0.27097601747710065</x:v>
      </x:c>
      <x:c r="AW37" s="16" t="n">
        <x:v>0.4782608695652174</x:v>
      </x:c>
      <x:c r="AX37" s="17" t="n">
        <x:v>-0.02374474400197868</x:v>
      </x:c>
      <x:c r="AY37" s="16" t="n">
        <x:v>0.9396551724137931</x:v>
      </x:c>
      <x:c r="AZ37" s="17" t="n">
        <x:v>0.013391739674593242</x:v>
      </x:c>
      <x:c r="BA37" s="16" t="n">
        <x:v>0.69</x:v>
      </x:c>
      <x:c r="BB37" s="17" t="n">
        <x:v>0.06661413115154739</x:v>
      </x:c>
      <x:c r="BC37" s="16" t="n">
        <x:v>0.8189655172413793</x:v>
      </x:c>
      <x:c r="BD37" s="17" t="n">
        <x:v>0.034519701458386814</x:v>
      </x:c>
      <x:c r="BE37" s="17" t="n">
        <x:v>0.03314538079142528</x:v>
      </x:c>
      <x:c r="BF37" s="17" t="n">
        <x:v>0.01314515276456285</x:v>
      </x:c>
      <x:c r="BG37" s="17" t="n">
        <x:v>0.03314538079142528</x:v>
      </x:c>
      <x:c r="BH37" s="12" t="str">
        <x:v>cash repurchases less issuance</x:v>
      </x:c>
      <x:c r="BI37" s="17" t="n">
        <x:v>-0.001050951098264704</x:v>
      </x:c>
      <x:c r="BJ37" s="19" t="n">
        <x:v>427000000</x:v>
      </x:c>
      <x:c r="BK37" s="19" t="n">
        <x:v>400000000</x:v>
      </x:c>
      <x:c r="BL37" s="19" t="n">
        <x:v>-10000000</x:v>
      </x:c>
      <x:c r="BM37" s="19" t="n">
        <x:v>3928000000</x:v>
      </x:c>
      <x:c r="BN37" s="19" t="n">
        <x:v>715000000</x:v>
      </x:c>
      <x:c r="BO37" s="19" t="n">
        <x:v>1000000000</x:v>
      </x:c>
      <x:c r="BP37" s="19" t="n">
        <x:v>107000000</x:v>
      </x:c>
      <x:c r="BQ37" s="19" t="n">
        <x:v>893000000</x:v>
      </x:c>
      <x:c r="BR37" s="19" t="n">
        <x:v>7894000000</x:v>
      </x:c>
      <x:c r="BS37" s="19" t="n">
        <x:v>8086000000</x:v>
      </x:c>
      <x:c r="BT37" s="19" t="n">
        <x:v>4020000000</x:v>
      </x:c>
      <x:c r="BU37" s="19" t="n">
        <x:v>308000000</x:v>
      </x:c>
      <x:c r="BV37" s="19" t="n">
        <x:v>2434000000</x:v>
      </x:c>
      <x:c r="BW37" s="19" t="n">
        <x:v>2421000000</x:v>
      </x:c>
      <x:c r="BX37" s="12" t="n">
        <x:v>472669000</x:v>
      </x:c>
      <x:c r="BY37" s="17" t="n">
        <x:v>-0.01314515276456285</x:v>
      </x:c>
      <x:c r="BZ37" s="12" t="n">
        <x:v>5</x:v>
      </x:c>
      <x:c r="CA37" s="12" t="str">
        <x:v>OK</x:v>
      </x:c>
      <x:c r="CB37" s="20" t="str">
        <x:v>https://query1.finance.yahoo.com/v8/finance/chart/BF-B?period1=1704067200&amp;period2=1783728000&amp;interval=1d&amp;events=div%2Csplits</x:v>
      </x:c>
      <x:c r="CC37" s="20" t="str">
        <x:v>https://data.sec.gov/api/xbrl/companyfacts/CIK0000014693.json</x:v>
      </x:c>
      <x:c r="CD37" s="20" t="str">
        <x:v>https://data.sec.gov/submissions/CIK0000014693.json</x:v>
      </x:c>
      <x:c r="CE37" s="20" t="str">
        <x:v>https://api.nasdaq.com/api/screener/stocks?tableonly=true&amp;limit=25000&amp;download=true</x:v>
      </x:c>
    </x:row>
    <x:row r="38">
      <x:c r="A38" s="12" t="str">
        <x:v>CB</x:v>
      </x:c>
      <x:c r="B38" s="12" t="str">
        <x:v>Chubb Ltd.</x:v>
      </x:c>
      <x:c r="C38" s="12" t="str">
        <x:v>Long</x:v>
      </x:c>
      <x:c r="D38" s="14" t="n">
        <x:v>0.004187</x:v>
      </x:c>
      <x:c r="E38" s="15" t="n">
        <x:v>0.030786600451909982</x:v>
      </x:c>
      <x:c r="F38" s="15" t="n">
        <x:v>-0.13906542056463195</x:v>
      </x:c>
      <x:c r="G38" s="12" t="str">
        <x:v>Low Beta</x:v>
      </x:c>
      <x:c r="H38" s="12" t="str">
        <x:v>Low Bad Beta</x:v>
      </x:c>
      <x:c r="I38" s="12" t="str">
        <x:v>Low Beta / Low Bad Beta</x:v>
      </x:c>
      <x:c r="J38" s="15" t="n">
        <x:v>1</x:v>
      </x:c>
      <x:c r="K38" s="18" t="n">
        <x:v>46213</x:v>
      </x:c>
      <x:c r="L38" s="15" t="n">
        <x:v>347.8299865722656</x:v>
      </x:c>
      <x:c r="M38" s="19" t="n">
        <x:v>132062487492</x:v>
      </x:c>
      <x:c r="N38" s="12" t="str">
        <x:v>Nasdaq screener</x:v>
      </x:c>
      <x:c r="O38" s="12" t="str">
        <x:v>Finance</x:v>
      </x:c>
      <x:c r="P38" s="12" t="str">
        <x:v>Property-Casualty Insurers</x:v>
      </x:c>
      <x:c r="Q38" s="12" t="n">
        <x:v>6331</x:v>
      </x:c>
      <x:c r="R38" s="12" t="str">
        <x:v>Fire, Marine &amp; Casualty Insurance</x:v>
      </x:c>
      <x:c r="S38" s="18" t="n">
        <x:v>46112</x:v>
      </x:c>
      <x:c r="T38" s="18" t="n">
        <x:v>46022</x:v>
      </x:c>
      <x:c r="U38" s="15" t="n">
        <x:v>0.06622651614062866</x:v>
      </x:c>
      <x:c r="V38" s="16" t="n">
        <x:v>0.5431034482758621</x:v>
      </x:c>
      <x:c r="W38" s="17" t="n">
        <x:v>0.15319223938066895</x:v>
      </x:c>
      <x:c r="X38" s="15" t="n">
        <x:v>-0.3087833128202322</x:v>
      </x:c>
      <x:c r="Y38" s="17"/>
      <x:c r="Z38" s="15"/>
      <x:c r="AA38" s="17" t="n">
        <x:v>0.2132407771465759</x:v>
      </x:c>
      <x:c r="AB38" s="15" t="n">
        <x:v>0.4412363451014895</x:v>
      </x:c>
      <x:c r="AC38" s="13" t="b">
        <x:v>1</x:v>
      </x:c>
      <x:c r="AD38" s="15" t="n">
        <x:v>1.5665414412298795</x:v>
      </x:c>
      <x:c r="AE38" s="16" t="n">
        <x:v>0.7818181818181819</x:v>
      </x:c>
      <x:c r="AF38" s="15" t="n">
        <x:v>2.6200000000000006</x:v>
      </x:c>
      <x:c r="AG38" s="12" t="n">
        <x:v>8</x:v>
      </x:c>
      <x:c r="AH38" s="12" t="n">
        <x:v>68</x:v>
      </x:c>
      <x:c r="AI38" s="17" t="n">
        <x:v>-0.018419292482057092</x:v>
      </x:c>
      <x:c r="AJ38" s="16" t="n">
        <x:v>0.5043478260869565</x:v>
      </x:c>
      <x:c r="AK38" s="18" t="n">
        <x:v>46133</x:v>
      </x:c>
      <x:c r="AL38" s="18" t="n">
        <x:v>46133</x:v>
      </x:c>
      <x:c r="AM38" s="12" t="str">
        <x:v>2026-04-20 to 2026-04-21 to 2026-04-22</x:v>
      </x:c>
      <x:c r="AN38" s="12" t="str">
        <x:v>8-K Item 2.02 filing date</x:v>
      </x:c>
      <x:c r="AO38" s="12" t="str">
        <x:v>SUE + CAR3</x:v>
      </x:c>
      <x:c r="AP38" s="17" t="n">
        <x:v>0.08555798254734875</x:v>
      </x:c>
      <x:c r="AQ38" s="16" t="n">
        <x:v>0.8017241379310345</x:v>
      </x:c>
      <x:c r="AR38" s="17"/>
      <x:c r="AS38" s="16"/>
      <x:c r="AT38" s="17" t="n">
        <x:v>0.5585007627882824</x:v>
      </x:c>
      <x:c r="AU38" s="16" t="n">
        <x:v>0.75</x:v>
      </x:c>
      <x:c r="AV38" s="17" t="n">
        <x:v>0.411542048694388</x:v>
      </x:c>
      <x:c r="AW38" s="16"/>
      <x:c r="AX38" s="17" t="n">
        <x:v>0.10455976118240673</x:v>
      </x:c>
      <x:c r="AY38" s="16" t="n">
        <x:v>0.27586206896551724</x:v>
      </x:c>
      <x:c r="AZ38" s="17"/>
      <x:c r="BA38" s="16"/>
      <x:c r="BB38" s="17" t="n">
        <x:v>0.037421678887423454</x:v>
      </x:c>
      <x:c r="BC38" s="16" t="n">
        <x:v>0.5603448275862069</x:v>
      </x:c>
      <x:c r="BD38" s="17" t="n">
        <x:v>0.01139612034107088</x:v>
      </x:c>
      <x:c r="BE38" s="17" t="n">
        <x:v>0.02602555854635257</x:v>
      </x:c>
      <x:c r="BF38" s="17" t="n">
        <x:v>0.017070571755950725</x:v>
      </x:c>
      <x:c r="BG38" s="17" t="n">
        <x:v>0.02602555854635257</x:v>
      </x:c>
      <x:c r="BH38" s="12" t="str">
        <x:v>cash repurchases less issuance</x:v>
      </x:c>
      <x:c r="BI38" s="17"/>
      <x:c r="BJ38" s="19" t="n">
        <x:v>1505000000</x:v>
      </x:c>
      <x:c r="BK38" s="19" t="n">
        <x:v>3694000000</x:v>
      </x:c>
      <x:c r="BL38" s="19" t="n">
        <x:v>257000000</x:v>
      </x:c>
      <x:c r="BM38" s="19" t="n">
        <x:v>60822000000</x:v>
      </x:c>
      <x:c r="BN38" s="19" t="n">
        <x:v>11299000000</x:v>
      </x:c>
      <x:c r="BO38" s="19" t="n">
        <x:v>15197000000</x:v>
      </x:c>
      <x:c r="BP38" s="19"/>
      <x:c r="BQ38" s="19"/>
      <x:c r="BR38" s="19" t="n">
        <x:v>272327000000</x:v>
      </x:c>
      <x:c r="BS38" s="19" t="n">
        <x:v>246548000000</x:v>
      </x:c>
      <x:c r="BT38" s="19" t="n">
        <x:v>73757000000</x:v>
      </x:c>
      <x:c r="BU38" s="19"/>
      <x:c r="BV38" s="19" t="n">
        <x:v>15728000000</x:v>
      </x:c>
      <x:c r="BW38" s="19" t="n">
        <x:v>14379000000</x:v>
      </x:c>
      <x:c r="BX38" s="12" t="n">
        <x:v>387860106</x:v>
      </x:c>
      <x:c r="BY38" s="17" t="n">
        <x:v>-0.017070571755950725</x:v>
      </x:c>
      <x:c r="BZ38" s="12" t="n">
        <x:v>5</x:v>
      </x:c>
      <x:c r="CA38" s="12" t="str">
        <x:v>OK</x:v>
      </x:c>
      <x:c r="CB38" s="20" t="str">
        <x:v>https://query1.finance.yahoo.com/v8/finance/chart/CB?period1=1704067200&amp;period2=1783728000&amp;interval=1d&amp;events=div%2Csplits</x:v>
      </x:c>
      <x:c r="CC38" s="20" t="str">
        <x:v>https://data.sec.gov/api/xbrl/companyfacts/CIK0000896159.json</x:v>
      </x:c>
      <x:c r="CD38" s="20" t="str">
        <x:v>https://data.sec.gov/submissions/CIK0000896159.json</x:v>
      </x:c>
      <x:c r="CE38" s="20" t="str">
        <x:v>https://api.nasdaq.com/api/screener/stocks?tableonly=true&amp;limit=25000&amp;download=true</x:v>
      </x:c>
    </x:row>
    <x:row r="39">
      <x:c r="A39" s="12" t="str">
        <x:v>LHX</x:v>
      </x:c>
      <x:c r="B39" s="12" t="str">
        <x:v>L3Harris Technologies Inc.</x:v>
      </x:c>
      <x:c r="C39" s="12" t="str">
        <x:v>Long</x:v>
      </x:c>
      <x:c r="D39" s="14" t="n">
        <x:v>0.004</x:v>
      </x:c>
      <x:c r="E39" s="15" t="n">
        <x:v>0.36717508827532275</x:v>
      </x:c>
      <x:c r="F39" s="15" t="n">
        <x:v>0.04587354877639371</x:v>
      </x:c>
      <x:c r="G39" s="12" t="str">
        <x:v>Low Beta</x:v>
      </x:c>
      <x:c r="H39" s="12" t="str">
        <x:v>Low Bad Beta</x:v>
      </x:c>
      <x:c r="I39" s="12" t="str">
        <x:v>Low Beta / Low Bad Beta</x:v>
      </x:c>
      <x:c r="J39" s="15" t="n">
        <x:v>1</x:v>
      </x:c>
      <x:c r="K39" s="18" t="n">
        <x:v>46213</x:v>
      </x:c>
      <x:c r="L39" s="15" t="n">
        <x:v>290.7699890136719</x:v>
      </x:c>
      <x:c r="M39" s="19" t="n">
        <x:v>53611029524</x:v>
      </x:c>
      <x:c r="N39" s="12" t="str">
        <x:v>Nasdaq screener</x:v>
      </x:c>
      <x:c r="O39" s="12" t="str">
        <x:v>Industrials</x:v>
      </x:c>
      <x:c r="P39" s="12" t="str">
        <x:v>Industrial Machinery/Components</x:v>
      </x:c>
      <x:c r="Q39" s="12" t="n">
        <x:v>3812</x:v>
      </x:c>
      <x:c r="R39" s="12" t="str">
        <x:v>Search, Detection, Navigation, Guidance, Aeronautical Sys</x:v>
      </x:c>
      <x:c r="S39" s="18" t="n">
        <x:v>46115</x:v>
      </x:c>
      <x:c r="T39" s="18" t="n">
        <x:v>46024</x:v>
      </x:c>
      <x:c r="U39" s="15" t="n">
        <x:v>0.03148633024818628</x:v>
      </x:c>
      <x:c r="V39" s="16" t="n">
        <x:v>0.5172413793103449</x:v>
      </x:c>
      <x:c r="W39" s="17" t="n">
        <x:v>0.08820982938629997</x:v>
      </x:c>
      <x:c r="X39" s="15" t="n">
        <x:v>-0.6863070898577266</x:v>
      </x:c>
      <x:c r="Y39" s="17" t="n">
        <x:v>-0.03728544641569306</x:v>
      </x:c>
      <x:c r="Z39" s="15" t="n">
        <x:v>0.6941711113379109</x:v>
      </x:c>
      <x:c r="AA39" s="17" t="n">
        <x:v>0.5318563789152024</x:v>
      </x:c>
      <x:c r="AB39" s="15" t="n">
        <x:v>0.08659496926437454</x:v>
      </x:c>
      <x:c r="AC39" s="13" t="b">
        <x:v>0</x:v>
      </x:c>
      <x:c r="AD39" s="15" t="n">
        <x:v>1.0526270730902947</x:v>
      </x:c>
      <x:c r="AE39" s="16" t="n">
        <x:v>0.6818181818181818</x:v>
      </x:c>
      <x:c r="AF39" s="15" t="n">
        <x:v>0.6900000000000004</x:v>
      </x:c>
      <x:c r="AG39" s="12" t="n">
        <x:v>8</x:v>
      </x:c>
      <x:c r="AH39" s="12" t="n">
        <x:v>65</x:v>
      </x:c>
      <x:c r="AI39" s="17" t="n">
        <x:v>-0.04902766358467381</x:v>
      </x:c>
      <x:c r="AJ39" s="16" t="n">
        <x:v>0.2782608695652174</x:v>
      </x:c>
      <x:c r="AK39" s="18" t="n">
        <x:v>46142</x:v>
      </x:c>
      <x:c r="AL39" s="18" t="n">
        <x:v>46142</x:v>
      </x:c>
      <x:c r="AM39" s="12" t="str">
        <x:v>2026-04-29 to 2026-04-30 to 2026-05-01</x:v>
      </x:c>
      <x:c r="AN39" s="12" t="str">
        <x:v>8-K Item 2.02 filing date</x:v>
      </x:c>
      <x:c r="AO39" s="12" t="str">
        <x:v>SUE + CAR3</x:v>
      </x:c>
      <x:c r="AP39" s="17" t="n">
        <x:v>0.032306784916798455</x:v>
      </x:c>
      <x:c r="AQ39" s="16" t="n">
        <x:v>0.23275862068965517</x:v>
      </x:c>
      <x:c r="AR39" s="17" t="n">
        <x:v>0.04829230147205035</x:v>
      </x:c>
      <x:c r="AS39" s="16" t="n">
        <x:v>0.46</x:v>
      </x:c>
      <x:c r="AT39" s="17" t="n">
        <x:v>0.3662492620331049</x:v>
      </x:c>
      <x:c r="AU39" s="16" t="n">
        <x:v>0.5431034482758621</x:v>
      </x:c>
      <x:c r="AV39" s="17" t="n">
        <x:v>0.3486701548918369</x:v>
      </x:c>
      <x:c r="AW39" s="16" t="n">
        <x:v>0.5826086956521739</x:v>
      </x:c>
      <x:c r="AX39" s="17" t="n">
        <x:v>-0.0191900192852551</x:v>
      </x:c>
      <x:c r="AY39" s="16" t="n">
        <x:v>0.9310344827586207</x:v>
      </x:c>
      <x:c r="AZ39" s="17" t="n">
        <x:v>0.011154382422231839</x:v>
      </x:c>
      <x:c r="BA39" s="16" t="n">
        <x:v>0.73</x:v>
      </x:c>
      <x:c r="BB39" s="17" t="n">
        <x:v>0.05739490599826147</x:v>
      </x:c>
      <x:c r="BC39" s="16" t="n">
        <x:v>0.75</x:v>
      </x:c>
      <x:c r="BD39" s="17" t="n">
        <x:v>0.016843548949116056</x:v>
      </x:c>
      <x:c r="BE39" s="17" t="n">
        <x:v>0.019044588568158907</x:v>
      </x:c>
      <x:c r="BF39" s="17" t="n">
        <x:v>0.012060828526481382</x:v>
      </x:c>
      <x:c r="BG39" s="17" t="n">
        <x:v>0.019044588568158907</x:v>
      </x:c>
      <x:c r="BH39" s="12" t="str">
        <x:v>cash repurchases less issuance</x:v>
      </x:c>
      <x:c r="BI39" s="17" t="n">
        <x:v>0.021506768480986503</x:v>
      </x:c>
      <x:c r="BJ39" s="19" t="n">
        <x:v>903000000</x:v>
      </x:c>
      <x:c r="BK39" s="19" t="n">
        <x:v>1154000000</x:v>
      </x:c>
      <x:c r="BL39" s="19" t="n">
        <x:v>133000000</x:v>
      </x:c>
      <x:c r="BM39" s="19" t="n">
        <x:v>21961000000</x:v>
      </x:c>
      <x:c r="BN39" s="19" t="n">
        <x:v>1732000000</x:v>
      </x:c>
      <x:c r="BO39" s="19" t="n">
        <x:v>3053000000</x:v>
      </x:c>
      <x:c r="BP39" s="19" t="n">
        <x:v>464000000</x:v>
      </x:c>
      <x:c r="BQ39" s="19" t="n">
        <x:v>2589000000</x:v>
      </x:c>
      <x:c r="BR39" s="19" t="n">
        <x:v>41195000000</x:v>
      </x:c>
      <x:c r="BS39" s="19" t="n">
        <x:v>42001000000</x:v>
      </x:c>
      <x:c r="BT39" s="19" t="n">
        <x:v>19635000000</x:v>
      </x:c>
      <x:c r="BU39" s="19" t="n">
        <x:v>1069000000</x:v>
      </x:c>
      <x:c r="BV39" s="19" t="n">
        <x:v>10443000000</x:v>
      </x:c>
      <x:c r="BW39" s="19" t="n">
        <x:v>11596000000</x:v>
      </x:c>
      <x:c r="BX39" s="12" t="n">
        <x:v>186294951</x:v>
      </x:c>
      <x:c r="BY39" s="17" t="n">
        <x:v>-0.012060828526481382</x:v>
      </x:c>
      <x:c r="BZ39" s="12" t="n">
        <x:v>5</x:v>
      </x:c>
      <x:c r="CA39" s="12" t="str">
        <x:v>OK</x:v>
      </x:c>
      <x:c r="CB39" s="20" t="str">
        <x:v>https://query1.finance.yahoo.com/v8/finance/chart/LHX?period1=1704067200&amp;period2=1783728000&amp;interval=1d&amp;events=div%2Csplits</x:v>
      </x:c>
      <x:c r="CC39" s="20" t="str">
        <x:v>https://data.sec.gov/api/xbrl/companyfacts/CIK0000202058.json</x:v>
      </x:c>
      <x:c r="CD39" s="20" t="str">
        <x:v>https://data.sec.gov/submissions/CIK0000202058.json</x:v>
      </x:c>
      <x:c r="CE39" s="20" t="str">
        <x:v>https://api.nasdaq.com/api/screener/stocks?tableonly=true&amp;limit=25000&amp;download=true</x:v>
      </x:c>
    </x:row>
    <x:row r="40">
      <x:c r="A40" s="12" t="str">
        <x:v>REGN</x:v>
      </x:c>
      <x:c r="B40" s="12" t="str">
        <x:v>Regeneron Pharmaceuticals Inc.</x:v>
      </x:c>
      <x:c r="C40" s="12" t="str">
        <x:v>Long</x:v>
      </x:c>
      <x:c r="D40" s="14" t="n">
        <x:v>0.004571</x:v>
      </x:c>
      <x:c r="E40" s="15" t="n">
        <x:v>0.049257152973599325</x:v>
      </x:c>
      <x:c r="F40" s="15" t="n">
        <x:v>0.09781524218665832</x:v>
      </x:c>
      <x:c r="G40" s="12" t="str">
        <x:v>Low Beta</x:v>
      </x:c>
      <x:c r="H40" s="12" t="str">
        <x:v>Low Bad Beta</x:v>
      </x:c>
      <x:c r="I40" s="12" t="str">
        <x:v>Low Beta / Low Bad Beta</x:v>
      </x:c>
      <x:c r="J40" s="15" t="n">
        <x:v>1</x:v>
      </x:c>
      <x:c r="K40" s="18" t="n">
        <x:v>46213</x:v>
      </x:c>
      <x:c r="L40" s="15" t="n">
        <x:v>664.52001953125</x:v>
      </x:c>
      <x:c r="M40" s="19" t="n">
        <x:v>69986344202</x:v>
      </x:c>
      <x:c r="N40" s="12" t="str">
        <x:v>Nasdaq screener</x:v>
      </x:c>
      <x:c r="O40" s="12" t="str">
        <x:v>Health Care</x:v>
      </x:c>
      <x:c r="P40" s="12" t="str">
        <x:v>Biotechnology: Pharmaceutical Preparations</x:v>
      </x:c>
      <x:c r="Q40" s="12" t="n">
        <x:v>2834</x:v>
      </x:c>
      <x:c r="R40" s="12" t="str">
        <x:v>Pharmaceutical Preparations</x:v>
      </x:c>
      <x:c r="S40" s="18" t="n">
        <x:v>46112</x:v>
      </x:c>
      <x:c r="T40" s="18" t="n">
        <x:v>46022</x:v>
      </x:c>
      <x:c r="U40" s="15" t="n">
        <x:v>0.07655475503633588</x:v>
      </x:c>
      <x:c r="V40" s="16" t="n">
        <x:v>0.5603448275862069</x:v>
      </x:c>
      <x:c r="W40" s="17" t="n">
        <x:v>0.1415175529243143</x:v>
      </x:c>
      <x:c r="X40" s="15" t="n">
        <x:v>-0.37660892481451513</x:v>
      </x:c>
      <x:c r="Y40" s="17" t="n">
        <x:v>0.03255696958940526</x:v>
      </x:c>
      <x:c r="Z40" s="15" t="n">
        <x:v>-0.001596375619488515</x:v>
      </x:c>
      <x:c r="AA40" s="17" t="n">
        <x:v>0.06353477152244784</x:v>
      </x:c>
      <x:c r="AB40" s="15" t="n">
        <x:v>0.6078695655430113</x:v>
      </x:c>
      <x:c r="AC40" s="13" t="b">
        <x:v>0</x:v>
      </x:c>
      <x:c r="AD40" s="15" t="n">
        <x:v>-0.282311885428445</x:v>
      </x:c>
      <x:c r="AE40" s="16" t="n">
        <x:v>0.19090909090909092</x:v>
      </x:c>
      <x:c r="AF40" s="15" t="n">
        <x:v>-0.5899999999999999</x:v>
      </x:c>
      <x:c r="AG40" s="12" t="n">
        <x:v>8</x:v>
      </x:c>
      <x:c r="AH40" s="12" t="n">
        <x:v>60</x:v>
      </x:c>
      <x:c r="AI40" s="17" t="n">
        <x:v>0.08017484516657292</x:v>
      </x:c>
      <x:c r="AJ40" s="16" t="n">
        <x:v>0.9478260869565217</x:v>
      </x:c>
      <x:c r="AK40" s="18" t="n">
        <x:v>46209</x:v>
      </x:c>
      <x:c r="AL40" s="18" t="n">
        <x:v>46209</x:v>
      </x:c>
      <x:c r="AM40" s="12" t="str">
        <x:v>2026-07-02 to 2026-07-06 to 2026-07-07</x:v>
      </x:c>
      <x:c r="AN40" s="12" t="str">
        <x:v>8-K Item 2.02 filing date</x:v>
      </x:c>
      <x:c r="AO40" s="12" t="str">
        <x:v>SUE + CAR3</x:v>
      </x:c>
      <x:c r="AP40" s="17" t="n">
        <x:v>0.06320375853942078</x:v>
      </x:c>
      <x:c r="AQ40" s="16" t="n">
        <x:v>0.6896551724137931</x:v>
      </x:c>
      <x:c r="AR40" s="17" t="n">
        <x:v>0.058768607603345326</x:v>
      </x:c>
      <x:c r="AS40" s="16" t="n">
        <x:v>0.62</x:v>
      </x:c>
      <x:c r="AT40" s="17" t="n">
        <x:v>0.44661426963214307</x:v>
      </x:c>
      <x:c r="AU40" s="16" t="n">
        <x:v>0.6120689655172413</x:v>
      </x:c>
      <x:c r="AV40" s="17" t="n">
        <x:v>0.2166841251592614</x:v>
      </x:c>
      <x:c r="AW40" s="16" t="n">
        <x:v>0.3565217391304348</x:v>
      </x:c>
      <x:c r="AX40" s="17" t="n">
        <x:v>0.07413518223276849</x:v>
      </x:c>
      <x:c r="AY40" s="16" t="n">
        <x:v>0.43965517241379315</x:v>
      </x:c>
      <x:c r="AZ40" s="17" t="n">
        <x:v>0.022975531837467967</x:v>
      </x:c>
      <x:c r="BA40" s="16" t="n">
        <x:v>0.54</x:v>
      </x:c>
      <x:c r="BB40" s="17" t="n">
        <x:v>0.04531598322733034</x:v>
      </x:c>
      <x:c r="BC40" s="16" t="n">
        <x:v>0.6637931034482759</x:v>
      </x:c>
      <x:c r="BD40" s="17" t="n">
        <x:v>0.005291032189525595</x:v>
      </x:c>
      <x:c r="BE40" s="17" t="n">
        <x:v>0.04004638379039532</x:v>
      </x:c>
      <x:c r="BF40" s="17" t="n">
        <x:v>0.05647263249348389</x:v>
      </x:c>
      <x:c r="BG40" s="17" t="n">
        <x:v>0.04004638379039532</x:v>
      </x:c>
      <x:c r="BH40" s="12" t="str">
        <x:v>cash repurchases less issuance</x:v>
      </x:c>
      <x:c r="BI40" s="17" t="n">
        <x:v>-0.000021432752590570867</x:v>
      </x:c>
      <x:c r="BJ40" s="19" t="n">
        <x:v>370300000</x:v>
      </x:c>
      <x:c r="BK40" s="19" t="n">
        <x:v>3438600000</x:v>
      </x:c>
      <x:c r="BL40" s="19" t="n">
        <x:v>635900000</x:v>
      </x:c>
      <x:c r="BM40" s="19" t="n">
        <x:v>14919600000</x:v>
      </x:c>
      <x:c r="BN40" s="19" t="n">
        <x:v>4423400000</x:v>
      </x:c>
      <x:c r="BO40" s="19" t="n">
        <x:v>5012700000</x:v>
      </x:c>
      <x:c r="BP40" s="19" t="n">
        <x:v>899700000</x:v>
      </x:c>
      <x:c r="BQ40" s="19" t="n">
        <x:v>4113000000</x:v>
      </x:c>
      <x:c r="BR40" s="19" t="n">
        <x:v>40558700000</x:v>
      </x:c>
      <x:c r="BS40" s="19" t="n">
        <x:v>37759400000</x:v>
      </x:c>
      <x:c r="BT40" s="19" t="n">
        <x:v>31256900000</x:v>
      </x:c>
      <x:c r="BU40" s="19" t="n">
        <x:v>3118100000</x:v>
      </x:c>
      <x:c r="BV40" s="19" t="n">
        <x:v>1985900000</x:v>
      </x:c>
      <x:c r="BW40" s="19" t="n">
        <x:v>1984400000</x:v>
      </x:c>
      <x:c r="BX40" s="12" t="n">
        <x:v>94410423</x:v>
      </x:c>
      <x:c r="BY40" s="17" t="n">
        <x:v>-0.05647263249348389</x:v>
      </x:c>
      <x:c r="BZ40" s="12" t="n">
        <x:v>5</x:v>
      </x:c>
      <x:c r="CA40" s="12" t="str">
        <x:v>OK</x:v>
      </x:c>
      <x:c r="CB40" s="20" t="str">
        <x:v>https://query1.finance.yahoo.com/v8/finance/chart/REGN?period1=1704067200&amp;period2=1783728000&amp;interval=1d&amp;events=div%2Csplits</x:v>
      </x:c>
      <x:c r="CC40" s="20" t="str">
        <x:v>https://data.sec.gov/api/xbrl/companyfacts/CIK0000872589.json</x:v>
      </x:c>
      <x:c r="CD40" s="20" t="str">
        <x:v>https://data.sec.gov/submissions/CIK0000872589.json</x:v>
      </x:c>
      <x:c r="CE40" s="20" t="str">
        <x:v>https://api.nasdaq.com/api/screener/stocks?tableonly=true&amp;limit=25000&amp;download=true</x:v>
      </x:c>
    </x:row>
    <x:row r="41">
      <x:c r="A41" s="12" t="str">
        <x:v>BRK-B</x:v>
      </x:c>
      <x:c r="B41" s="12" t="str">
        <x:v>Berkshire Hathaway Inc.</x:v>
      </x:c>
      <x:c r="C41" s="12" t="str">
        <x:v>Long</x:v>
      </x:c>
      <x:c r="D41" s="14" t="n">
        <x:v>0.004245</x:v>
      </x:c>
      <x:c r="E41" s="15" t="n">
        <x:v>0.22953482211872517</x:v>
      </x:c>
      <x:c r="F41" s="15" t="n">
        <x:v>0.12928515992059625</x:v>
      </x:c>
      <x:c r="G41" s="12" t="str">
        <x:v>Low Beta</x:v>
      </x:c>
      <x:c r="H41" s="12" t="str">
        <x:v>Low Bad Beta</x:v>
      </x:c>
      <x:c r="I41" s="12" t="str">
        <x:v>Low Beta / Low Bad Beta</x:v>
      </x:c>
      <x:c r="J41" s="15" t="n">
        <x:v>1</x:v>
      </x:c>
      <x:c r="K41" s="18" t="n">
        <x:v>46213</x:v>
      </x:c>
      <x:c r="L41" s="15" t="n">
        <x:v>493.7099914550781</x:v>
      </x:c>
      <x:c r="M41" s="19" t="n">
        <x:v>1080893783135</x:v>
      </x:c>
      <x:c r="N41" s="12" t="str">
        <x:v>Nasdaq screener</x:v>
      </x:c>
      <x:c r="O41" s="12" t="str"/>
      <x:c r="P41" s="12" t="str"/>
      <x:c r="Q41" s="12" t="n">
        <x:v>6331</x:v>
      </x:c>
      <x:c r="R41" s="12" t="str">
        <x:v>Fire, Marine &amp; Casualty Insurance</x:v>
      </x:c>
      <x:c r="S41" s="18" t="n">
        <x:v>40451</x:v>
      </x:c>
      <x:c r="T41" s="18" t="n">
        <x:v>46022</x:v>
      </x:c>
      <x:c r="U41" s="15" t="n">
        <x:v>0.03334093013957684</x:v>
      </x:c>
      <x:c r="V41" s="16" t="n">
        <x:v>0.5258620689655172</x:v>
      </x:c>
      <x:c r="W41" s="17" t="n">
        <x:v>0.1010162819774776</x:v>
      </x:c>
      <x:c r="X41" s="15" t="n">
        <x:v>-0.61190633505205</x:v>
      </x:c>
      <x:c r="Y41" s="17"/>
      <x:c r="Z41" s="15"/>
      <x:c r="AA41" s="17" t="n">
        <x:v>0</x:v>
      </x:c>
      <x:c r="AB41" s="15" t="n">
        <x:v>0.6785881953312037</x:v>
      </x:c>
      <x:c r="AC41" s="13" t="b">
        <x:v>1</x:v>
      </x:c>
      <x:c r="AD41" s="15"/>
      <x:c r="AE41" s="16"/>
      <x:c r="AF41" s="15"/>
      <x:c r="AG41" s="12" t="n">
        <x:v>0</x:v>
      </x:c>
      <x:c r="AH41" s="12" t="n">
        <x:v>3</x:v>
      </x:c>
      <x:c r="AI41" s="17" t="n">
        <x:v>0.005776007089025148</x:v>
      </x:c>
      <x:c r="AJ41" s="16" t="n">
        <x:v>0.6695652173913044</x:v>
      </x:c>
      <x:c r="AK41" s="18" t="n">
        <x:v>46149</x:v>
      </x:c>
      <x:c r="AL41" s="18" t="n">
        <x:v>46149</x:v>
      </x:c>
      <x:c r="AM41" s="12" t="str">
        <x:v>2026-05-06 to 2026-05-07 to 2026-05-08</x:v>
      </x:c>
      <x:c r="AN41" s="12" t="str">
        <x:v>8-K Item 2.02 filing date</x:v>
      </x:c>
      <x:c r="AO41" s="12" t="str">
        <x:v>CAR3 only</x:v>
      </x:c>
      <x:c r="AP41" s="17" t="n">
        <x:v>0.06704729098339964</x:v>
      </x:c>
      <x:c r="AQ41" s="16" t="n">
        <x:v>0.7068965517241379</x:v>
      </x:c>
      <x:c r="AR41" s="17" t="n">
        <x:v>0.022085426313362806</x:v>
      </x:c>
      <x:c r="AS41" s="16"/>
      <x:c r="AT41" s="17" t="n">
        <x:v>0.6637275661991635</x:v>
      </x:c>
      <x:c r="AU41" s="16" t="n">
        <x:v>0.853448275862069</x:v>
      </x:c>
      <x:c r="AV41" s="17" t="n">
        <x:v>0.23223743527503288</x:v>
      </x:c>
      <x:c r="AW41" s="16"/>
      <x:c r="AX41" s="17" t="n">
        <x:v>0.0591872125461812</x:v>
      </x:c>
      <x:c r="AY41" s="16" t="n">
        <x:v>0.5775862068965517</x:v>
      </x:c>
      <x:c r="AZ41" s="17" t="n">
        <x:v>0.018208317393059174</x:v>
      </x:c>
      <x:c r="BA41" s="16"/>
      <x:c r="BB41" s="17" t="n">
        <x:v>0.002699617710388433</x:v>
      </x:c>
      <x:c r="BC41" s="16" t="n">
        <x:v>0.1810344827586207</x:v>
      </x:c>
      <x:c r="BD41" s="17" t="n">
        <x:v>0</x:v>
      </x:c>
      <x:c r="BE41" s="17" t="n">
        <x:v>0.002699617710388433</x:v>
      </x:c>
      <x:c r="BF41" s="17" t="n">
        <x:v>0.00009552126930123528</x:v>
      </x:c>
      <x:c r="BG41" s="17" t="n">
        <x:v>0.002699617710388433</x:v>
      </x:c>
      <x:c r="BH41" s="12" t="str">
        <x:v>cash repurchases less issuance</x:v>
      </x:c>
      <x:c r="BI41" s="17"/>
      <x:c r="BJ41" s="19" t="n">
        <x:v>0</x:v>
      </x:c>
      <x:c r="BK41" s="19" t="n">
        <x:v>2918000000</x:v>
      </x:c>
      <x:c r="BL41" s="19" t="n">
        <x:v>0</x:v>
      </x:c>
      <x:c r="BM41" s="19" t="n">
        <x:v>251024000000</x:v>
      </x:c>
      <x:c r="BN41" s="19" t="n">
        <x:v>72471000000</x:v>
      </x:c>
      <x:c r="BO41" s="19" t="n">
        <x:v>45504000000</x:v>
      </x:c>
      <x:c r="BP41" s="19" t="n">
        <x:v>21632000000</x:v>
      </x:c>
      <x:c r="BQ41" s="19" t="n">
        <x:v>23872000000</x:v>
      </x:c>
      <x:c r="BR41" s="19" t="n">
        <x:v>1222176000000</x:v>
      </x:c>
      <x:c r="BS41" s="19" t="n">
        <x:v>1153881000000</x:v>
      </x:c>
      <x:c r="BT41" s="19" t="n">
        <x:v>717419000000</x:v>
      </x:c>
      <x:c r="BU41" s="19"/>
      <x:c r="BV41" s="19"/>
      <x:c r="BW41" s="19"/>
      <x:c r="BX41" s="12" t="n">
        <x:v>941481</x:v>
      </x:c>
      <x:c r="BY41" s="17" t="n">
        <x:v>-0.00009552126930123528</x:v>
      </x:c>
      <x:c r="BZ41" s="12" t="n">
        <x:v>5</x:v>
      </x:c>
      <x:c r="CA41" s="12" t="str">
        <x:v>OK</x:v>
      </x:c>
      <x:c r="CB41" s="20" t="str">
        <x:v>https://query1.finance.yahoo.com/v8/finance/chart/BRK-B?period1=1704067200&amp;period2=1783728000&amp;interval=1d&amp;events=div%2Csplits</x:v>
      </x:c>
      <x:c r="CC41" s="20" t="str">
        <x:v>https://data.sec.gov/api/xbrl/companyfacts/CIK0001067983.json</x:v>
      </x:c>
      <x:c r="CD41" s="20" t="str">
        <x:v>https://data.sec.gov/submissions/CIK0001067983.json</x:v>
      </x:c>
      <x:c r="CE41" s="20" t="str">
        <x:v>https://api.nasdaq.com/api/screener/stocks?tableonly=true&amp;limit=25000&amp;download=true</x:v>
      </x:c>
    </x:row>
    <x:row r="42">
      <x:c r="A42" s="12" t="str">
        <x:v>RLI</x:v>
      </x:c>
      <x:c r="B42" s="12" t="str">
        <x:v>RLI Corp.</x:v>
      </x:c>
      <x:c r="C42" s="12" t="str">
        <x:v>Long</x:v>
      </x:c>
      <x:c r="D42" s="14" t="n">
        <x:v>0.004589</x:v>
      </x:c>
      <x:c r="E42" s="15" t="n">
        <x:v>0.12239190230083673</x:v>
      </x:c>
      <x:c r="F42" s="15" t="n">
        <x:v>-0.10101301932376879</x:v>
      </x:c>
      <x:c r="G42" s="12" t="str">
        <x:v>Low Beta</x:v>
      </x:c>
      <x:c r="H42" s="12" t="str">
        <x:v>Low Bad Beta</x:v>
      </x:c>
      <x:c r="I42" s="12" t="str">
        <x:v>Low Beta / Low Bad Beta</x:v>
      </x:c>
      <x:c r="J42" s="15" t="n">
        <x:v>1</x:v>
      </x:c>
      <x:c r="K42" s="18" t="n">
        <x:v>46213</x:v>
      </x:c>
      <x:c r="L42" s="15" t="n">
        <x:v>60.650001525878906</x:v>
      </x:c>
      <x:c r="M42" s="19" t="n">
        <x:v>5422063071</x:v>
      </x:c>
      <x:c r="N42" s="12" t="str">
        <x:v>Nasdaq screener</x:v>
      </x:c>
      <x:c r="O42" s="12" t="str">
        <x:v>Finance</x:v>
      </x:c>
      <x:c r="P42" s="12" t="str">
        <x:v>Property-Casualty Insurers</x:v>
      </x:c>
      <x:c r="Q42" s="12" t="n">
        <x:v>6331</x:v>
      </x:c>
      <x:c r="R42" s="12" t="str">
        <x:v>Fire, Marine &amp; Casualty Insurance</x:v>
      </x:c>
      <x:c r="S42" s="18" t="n">
        <x:v>46112</x:v>
      </x:c>
      <x:c r="T42" s="18" t="n">
        <x:v>46022</x:v>
      </x:c>
      <x:c r="U42" s="15" t="n">
        <x:v>0.3538844669462757</x:v>
      </x:c>
      <x:c r="V42" s="16" t="n">
        <x:v>0.8706896551724138</x:v>
      </x:c>
      <x:c r="W42" s="17" t="n">
        <x:v>0.22213974162578254</x:v>
      </x:c>
      <x:c r="X42" s="15" t="n">
        <x:v>0.09177618423646307</x:v>
      </x:c>
      <x:c r="Y42" s="17"/>
      <x:c r="Z42" s="15"/>
      <x:c r="AA42" s="17" t="n">
        <x:v>0.05623677029978698</x:v>
      </x:c>
      <x:c r="AB42" s="15" t="n">
        <x:v>0.6159927496560883</x:v>
      </x:c>
      <x:c r="AC42" s="13" t="b">
        <x:v>1</x:v>
      </x:c>
      <x:c r="AD42" s="15" t="n">
        <x:v>-0.03320326463110139</x:v>
      </x:c>
      <x:c r="AE42" s="16" t="n">
        <x:v>0.2909090909090909</x:v>
      </x:c>
      <x:c r="AF42" s="15" t="n">
        <x:v>-0.08999999999999997</x:v>
      </x:c>
      <x:c r="AG42" s="12" t="n">
        <x:v>8</x:v>
      </x:c>
      <x:c r="AH42" s="12" t="n">
        <x:v>60</x:v>
      </x:c>
      <x:c r="AI42" s="17" t="n">
        <x:v>-0.04948526494549066</x:v>
      </x:c>
      <x:c r="AJ42" s="16" t="n">
        <x:v>0.26956521739130435</x:v>
      </x:c>
      <x:c r="AK42" s="18" t="n">
        <x:v>46134</x:v>
      </x:c>
      <x:c r="AL42" s="18" t="n">
        <x:v>46134</x:v>
      </x:c>
      <x:c r="AM42" s="12" t="str">
        <x:v>2026-04-21 to 2026-04-22 to 2026-04-23</x:v>
      </x:c>
      <x:c r="AN42" s="12" t="str">
        <x:v>8-K Item 2.02 filing date</x:v>
      </x:c>
      <x:c r="AO42" s="12" t="str">
        <x:v>SUE + CAR3</x:v>
      </x:c>
      <x:c r="AP42" s="17" t="n">
        <x:v>0.0728519743919445</x:v>
      </x:c>
      <x:c r="AQ42" s="16" t="n">
        <x:v>0.75</x:v>
      </x:c>
      <x:c r="AR42" s="17" t="n">
        <x:v>0.10106927802647835</x:v>
      </x:c>
      <x:c r="AS42" s="16"/>
      <x:c r="AT42" s="17" t="n">
        <x:v>0.3279556096480531</x:v>
      </x:c>
      <x:c r="AU42" s="16" t="n">
        <x:v>0.5</x:v>
      </x:c>
      <x:c r="AV42" s="17" t="n">
        <x:v>0.34383037201640826</x:v>
      </x:c>
      <x:c r="AW42" s="16"/>
      <x:c r="AX42" s="17" t="n">
        <x:v>0.0946354126508624</x:v>
      </x:c>
      <x:c r="AY42" s="16" t="n">
        <x:v>0.31034482758620685</x:v>
      </x:c>
      <x:c r="AZ42" s="17" t="n">
        <x:v>0.0009383994691223828</x:v>
      </x:c>
      <x:c r="BA42" s="16"/>
      <x:c r="BB42" s="17" t="n">
        <x:v>0.046393779767229124</x:v>
      </x:c>
      <x:c r="BC42" s="16" t="n">
        <x:v>0.6724137931034483</x:v>
      </x:c>
      <x:c r="BD42" s="17" t="n">
        <x:v>0.0445516765181133</x:v>
      </x:c>
      <x:c r="BE42" s="17" t="n">
        <x:v>0.0018421032491158199</x:v>
      </x:c>
      <x:c r="BF42" s="17" t="n">
        <x:v>0.0006489924392381052</x:v>
      </x:c>
      <x:c r="BG42" s="17" t="n">
        <x:v>0.0018421032491158199</x:v>
      </x:c>
      <x:c r="BH42" s="12" t="str">
        <x:v>cash repurchases less issuance</x:v>
      </x:c>
      <x:c r="BI42" s="17"/>
      <x:c r="BJ42" s="19" t="n">
        <x:v>241562000</x:v>
      </x:c>
      <x:c r="BK42" s="19" t="n">
        <x:v>6624000</x:v>
      </x:c>
      <x:c r="BL42" s="19" t="n">
        <x:v>-3364000</x:v>
      </x:c>
      <x:c r="BM42" s="19" t="n">
        <x:v>1898653000</x:v>
      </x:c>
      <x:c r="BN42" s="19" t="n">
        <x:v>395008000</x:v>
      </x:c>
      <x:c r="BO42" s="19" t="n">
        <x:v>553536000</x:v>
      </x:c>
      <x:c r="BP42" s="19" t="n">
        <x:v>5532000</x:v>
      </x:c>
      <x:c r="BQ42" s="19" t="n">
        <x:v>548004000</x:v>
      </x:c>
      <x:c r="BR42" s="19" t="n">
        <x:v>6161486000</x:v>
      </x:c>
      <x:c r="BS42" s="19" t="n">
        <x:v>5628802000</x:v>
      </x:c>
      <x:c r="BT42" s="19" t="n">
        <x:v>1778196000</x:v>
      </x:c>
      <x:c r="BU42" s="19"/>
      <x:c r="BV42" s="19" t="n">
        <x:v>100000000</x:v>
      </x:c>
      <x:c r="BW42" s="19" t="n">
        <x:v>100000000</x:v>
      </x:c>
      <x:c r="BX42" s="12" t="n">
        <x:v>91938331</x:v>
      </x:c>
      <x:c r="BY42" s="17" t="n">
        <x:v>-0.0006489924392381052</x:v>
      </x:c>
      <x:c r="BZ42" s="12" t="n">
        <x:v>5</x:v>
      </x:c>
      <x:c r="CA42" s="12" t="str">
        <x:v>OK</x:v>
      </x:c>
      <x:c r="CB42" s="20" t="str">
        <x:v>https://query1.finance.yahoo.com/v8/finance/chart/RLI?period1=1704067200&amp;period2=1783728000&amp;interval=1d&amp;events=div%2Csplits</x:v>
      </x:c>
      <x:c r="CC42" s="20" t="str">
        <x:v>https://data.sec.gov/api/xbrl/companyfacts/CIK0000084246.json</x:v>
      </x:c>
      <x:c r="CD42" s="20" t="str">
        <x:v>https://data.sec.gov/submissions/CIK0000084246.json</x:v>
      </x:c>
      <x:c r="CE42" s="20" t="str">
        <x:v>https://api.nasdaq.com/api/screener/stocks?tableonly=true&amp;limit=25000&amp;download=true</x:v>
      </x:c>
    </x:row>
    <x:row r="43">
      <x:c r="A43" s="12" t="str">
        <x:v>APD</x:v>
      </x:c>
      <x:c r="B43" s="12" t="str">
        <x:v>Air Products and Chemicals Inc.</x:v>
      </x:c>
      <x:c r="C43" s="12" t="str">
        <x:v>Long</x:v>
      </x:c>
      <x:c r="D43" s="14" t="n">
        <x:v>0.004121</x:v>
      </x:c>
      <x:c r="E43" s="15" t="n">
        <x:v>0.42921893942143124</x:v>
      </x:c>
      <x:c r="F43" s="15" t="n">
        <x:v>0.02954262837792038</x:v>
      </x:c>
      <x:c r="G43" s="12" t="str">
        <x:v>Low Beta</x:v>
      </x:c>
      <x:c r="H43" s="12" t="str">
        <x:v>Low Bad Beta</x:v>
      </x:c>
      <x:c r="I43" s="12" t="str">
        <x:v>Low Beta / Low Bad Beta</x:v>
      </x:c>
      <x:c r="J43" s="15" t="n">
        <x:v>1</x:v>
      </x:c>
      <x:c r="K43" s="18" t="n">
        <x:v>46213</x:v>
      </x:c>
      <x:c r="L43" s="15" t="n">
        <x:v>299.5299987792969</x:v>
      </x:c>
      <x:c r="M43" s="19" t="n">
        <x:v>65410224706</x:v>
      </x:c>
      <x:c r="N43" s="12" t="str">
        <x:v>Nasdaq screener</x:v>
      </x:c>
      <x:c r="O43" s="12" t="str">
        <x:v>Basic Materials</x:v>
      </x:c>
      <x:c r="P43" s="12" t="str">
        <x:v>Major Chemicals</x:v>
      </x:c>
      <x:c r="Q43" s="12" t="n">
        <x:v>2810</x:v>
      </x:c>
      <x:c r="R43" s="12" t="str">
        <x:v>Industrial Inorganic Chemicals</x:v>
      </x:c>
      <x:c r="S43" s="18" t="n">
        <x:v>46112</x:v>
      </x:c>
      <x:c r="T43" s="18" t="n">
        <x:v>45930</x:v>
      </x:c>
      <x:c r="U43" s="15" t="n">
        <x:v>0.22544247438051163</x:v>
      </x:c>
      <x:c r="V43" s="16" t="n">
        <x:v>0.7586206896551724</x:v>
      </x:c>
      <x:c r="W43" s="17" t="n">
        <x:v>0.14025384528349608</x:v>
      </x:c>
      <x:c r="X43" s="15" t="n">
        <x:v>-0.3839505989948692</x:v>
      </x:c>
      <x:c r="Y43" s="17" t="n">
        <x:v>-0.006176047106621144</x:v>
      </x:c>
      <x:c r="Z43" s="15" t="n">
        <x:v>0.38426046081792886</x:v>
      </x:c>
      <x:c r="AA43" s="17" t="n">
        <x:v>0.0023094995640569986</x:v>
      </x:c>
      <x:c r="AB43" s="15" t="n">
        <x:v>0.6760175613184752</x:v>
      </x:c>
      <x:c r="AC43" s="13" t="b">
        <x:v>0</x:v>
      </x:c>
      <x:c r="AD43" s="15" t="n">
        <x:v>1.5832149512187337</x:v>
      </x:c>
      <x:c r="AE43" s="16" t="n">
        <x:v>0.7909090909090909</x:v>
      </x:c>
      <x:c r="AF43" s="15" t="n">
        <x:v>10.959999999999999</x:v>
      </x:c>
      <x:c r="AG43" s="12" t="n">
        <x:v>8</x:v>
      </x:c>
      <x:c r="AH43" s="12" t="n">
        <x:v>68</x:v>
      </x:c>
      <x:c r="AI43" s="17" t="n">
        <x:v>-0.020774023404031894</x:v>
      </x:c>
      <x:c r="AJ43" s="16" t="n">
        <x:v>0.48695652173913045</x:v>
      </x:c>
      <x:c r="AK43" s="18" t="n">
        <x:v>46142</x:v>
      </x:c>
      <x:c r="AL43" s="18" t="n">
        <x:v>46142</x:v>
      </x:c>
      <x:c r="AM43" s="12" t="str">
        <x:v>2026-04-29 to 2026-04-30 to 2026-05-01</x:v>
      </x:c>
      <x:c r="AN43" s="12" t="str">
        <x:v>8-K Item 2.02 filing date</x:v>
      </x:c>
      <x:c r="AO43" s="12" t="str">
        <x:v>SUE + CAR3</x:v>
      </x:c>
      <x:c r="AP43" s="17" t="n">
        <x:v>0.032216675748657074</x:v>
      </x:c>
      <x:c r="AQ43" s="16" t="n">
        <x:v>0.22413793103448276</x:v>
      </x:c>
      <x:c r="AR43" s="17" t="n">
        <x:v>-0.03338927529780622</x:v>
      </x:c>
      <x:c r="AS43" s="16" t="n">
        <x:v>0.09</x:v>
      </x:c>
      <x:c r="AT43" s="17" t="n">
        <x:v>0.2297026201565974</x:v>
      </x:c>
      <x:c r="AU43" s="16" t="n">
        <x:v>0.3275862068965517</x:v>
      </x:c>
      <x:c r="AV43" s="17" t="n">
        <x:v>0.19600740313861537</x:v>
      </x:c>
      <x:c r="AW43" s="16" t="n">
        <x:v>0.3130434782608696</x:v>
      </x:c>
      <x:c r="AX43" s="17" t="n">
        <x:v>0.03752154159486132</x:v>
      </x:c>
      <x:c r="AY43" s="16" t="n">
        <x:v>0.7413793103448276</x:v>
      </x:c>
      <x:c r="AZ43" s="17" t="n">
        <x:v>0.1332513167506055</x:v>
      </x:c>
      <x:c r="BA43" s="16" t="n">
        <x:v>0.010000000000000009</x:v>
      </x:c>
      <x:c r="BB43" s="17" t="n">
        <x:v>0.024947170069120967</x:v>
      </x:c>
      <x:c r="BC43" s="16" t="n">
        <x:v>0.41379310344827586</x:v>
      </x:c>
      <x:c r="BD43" s="17" t="n">
        <x:v>0.02421792628171009</x:v>
      </x:c>
      <x:c r="BE43" s="17" t="n">
        <x:v>-0.000016816942686624012</x:v>
      </x:c>
      <x:c r="BF43" s="17" t="n">
        <x:v>0.0004488330341113622</x:v>
      </x:c>
      <x:c r="BG43" s="17" t="n">
        <x:v>-0.000016816942686624012</x:v>
      </x:c>
      <x:c r="BH43" s="12" t="str">
        <x:v>cash repurchases less issuance</x:v>
      </x:c>
      <x:c r="BI43" s="17" t="n">
        <x:v>0.0007460607300975017</x:v>
      </x:c>
      <x:c r="BJ43" s="19" t="n">
        <x:v>1584100000</x:v>
      </x:c>
      <x:c r="BK43" s="19" t="n">
        <x:v>0</x:v>
      </x:c>
      <x:c r="BL43" s="19" t="n">
        <x:v>1100000</x:v>
      </x:c>
      <x:c r="BM43" s="19" t="n">
        <x:v>12463900000</x:v>
      </x:c>
      <x:c r="BN43" s="19" t="n">
        <x:v>2107300000</x:v>
      </x:c>
      <x:c r="BO43" s="19" t="n">
        <x:v>3188300000</x:v>
      </x:c>
      <x:c r="BP43" s="19" t="n">
        <x:v>5372300000</x:v>
      </x:c>
      <x:c r="BQ43" s="19" t="n">
        <x:v>-2184000000</x:v>
      </x:c>
      <x:c r="BR43" s="19" t="n">
        <x:v>41059500000</x:v>
      </x:c>
      <x:c r="BS43" s="19" t="n">
        <x:v>39574600000</x:v>
      </x:c>
      <x:c r="BT43" s="19" t="n">
        <x:v>15024900000</x:v>
      </x:c>
      <x:c r="BU43" s="19" t="n">
        <x:v>1856000000</x:v>
      </x:c>
      <x:c r="BV43" s="19" t="n">
        <x:v>34700000</x:v>
      </x:c>
      <x:c r="BW43" s="19" t="n">
        <x:v>83500000</x:v>
      </x:c>
      <x:c r="BX43" s="12" t="n">
        <x:v>222680686</x:v>
      </x:c>
      <x:c r="BY43" s="17" t="n">
        <x:v>-0.0004488330341113622</x:v>
      </x:c>
      <x:c r="BZ43" s="12" t="n">
        <x:v>5</x:v>
      </x:c>
      <x:c r="CA43" s="12" t="str">
        <x:v>OK</x:v>
      </x:c>
      <x:c r="CB43" s="20" t="str">
        <x:v>https://query1.finance.yahoo.com/v8/finance/chart/APD?period1=1704067200&amp;period2=1783728000&amp;interval=1d&amp;events=div%2Csplits</x:v>
      </x:c>
      <x:c r="CC43" s="20" t="str">
        <x:v>https://data.sec.gov/api/xbrl/companyfacts/CIK0000002969.json</x:v>
      </x:c>
      <x:c r="CD43" s="20" t="str">
        <x:v>https://data.sec.gov/submissions/CIK0000002969.json</x:v>
      </x:c>
      <x:c r="CE43" s="20" t="str">
        <x:v>https://api.nasdaq.com/api/screener/stocks?tableonly=true&amp;limit=25000&amp;download=true</x:v>
      </x:c>
    </x:row>
    <x:row r="44">
      <x:c r="A44" s="12" t="str">
        <x:v>LYB</x:v>
      </x:c>
      <x:c r="B44" s="12" t="str">
        <x:v>LyondellBasell Industries NV</x:v>
      </x:c>
      <x:c r="C44" s="12" t="str">
        <x:v>Long</x:v>
      </x:c>
      <x:c r="D44" s="14" t="n">
        <x:v>0.003198</x:v>
      </x:c>
      <x:c r="E44" s="15" t="n">
        <x:v>-0.18151811083830863</x:v>
      </x:c>
      <x:c r="F44" s="15" t="n">
        <x:v>-0.21271241474656938</x:v>
      </x:c>
      <x:c r="G44" s="12" t="str">
        <x:v>Low Beta</x:v>
      </x:c>
      <x:c r="H44" s="12" t="str">
        <x:v>Low Bad Beta</x:v>
      </x:c>
      <x:c r="I44" s="12" t="str">
        <x:v>Low Beta / Low Bad Beta</x:v>
      </x:c>
      <x:c r="J44" s="15" t="n">
        <x:v>1</x:v>
      </x:c>
      <x:c r="K44" s="18" t="n">
        <x:v>46213</x:v>
      </x:c>
      <x:c r="L44" s="15" t="n">
        <x:v>56.349998474121094</x:v>
      </x:c>
      <x:c r="M44" s="19" t="n">
        <x:v>18602086468</x:v>
      </x:c>
      <x:c r="N44" s="12" t="str">
        <x:v>Nasdaq screener</x:v>
      </x:c>
      <x:c r="O44" s="12" t="str">
        <x:v>Industrials</x:v>
      </x:c>
      <x:c r="P44" s="12" t="str">
        <x:v>Major Chemicals</x:v>
      </x:c>
      <x:c r="Q44" s="12" t="n">
        <x:v>2860</x:v>
      </x:c>
      <x:c r="R44" s="12" t="str">
        <x:v>Industrial Organic Chemicals</x:v>
      </x:c>
      <x:c r="S44" s="18" t="n">
        <x:v>46112</x:v>
      </x:c>
      <x:c r="T44" s="18" t="n">
        <x:v>46022</x:v>
      </x:c>
      <x:c r="U44" s="15" t="n">
        <x:v>-0.18798214816779674</x:v>
      </x:c>
      <x:c r="V44" s="16" t="n">
        <x:v>0.353448275862069</x:v>
      </x:c>
      <x:c r="W44" s="17" t="n">
        <x:v>-0.07835746875619917</x:v>
      </x:c>
      <x:c r="X44" s="15" t="n">
        <x:v>-1.029601712582685</x:v>
      </x:c>
      <x:c r="Y44" s="17"/>
      <x:c r="Z44" s="15"/>
      <x:c r="AA44" s="17" t="n">
        <x:v>0.02241618726443166</x:v>
      </x:c>
      <x:c r="AB44" s="15" t="n">
        <x:v>0.6536374162470916</x:v>
      </x:c>
      <x:c r="AC44" s="13" t="b">
        <x:v>0</x:v>
      </x:c>
      <x:c r="AD44" s="15" t="n">
        <x:v>-0.08305195255839669</x:v>
      </x:c>
      <x:c r="AE44" s="16" t="n">
        <x:v>0.2727272727272727</x:v>
      </x:c>
      <x:c r="AF44" s="15" t="n">
        <x:v>-0.16000000000000003</x:v>
      </x:c>
      <x:c r="AG44" s="12" t="n">
        <x:v>8</x:v>
      </x:c>
      <x:c r="AH44" s="12" t="n">
        <x:v>56</x:v>
      </x:c>
      <x:c r="AI44" s="17" t="n">
        <x:v>0.02632089155972661</x:v>
      </x:c>
      <x:c r="AJ44" s="16" t="n">
        <x:v>0.8173913043478261</x:v>
      </x:c>
      <x:c r="AK44" s="18" t="n">
        <x:v>46143</x:v>
      </x:c>
      <x:c r="AL44" s="18" t="n">
        <x:v>46143</x:v>
      </x:c>
      <x:c r="AM44" s="12" t="str">
        <x:v>2026-04-30 to 2026-05-01 to 2026-05-04</x:v>
      </x:c>
      <x:c r="AN44" s="12" t="str">
        <x:v>8-K Item 2.02 filing date</x:v>
      </x:c>
      <x:c r="AO44" s="12" t="str">
        <x:v>SUE + CAR3</x:v>
      </x:c>
      <x:c r="AP44" s="17" t="n">
        <x:v>-0.04246835436223712</x:v>
      </x:c>
      <x:c r="AQ44" s="16" t="n">
        <x:v>0.017241379310344827</x:v>
      </x:c>
      <x:c r="AR44" s="17" t="n">
        <x:v>0.04881172881128014</x:v>
      </x:c>
      <x:c r="AS44" s="16" t="n">
        <x:v>0.48</x:v>
      </x:c>
      <x:c r="AT44" s="17" t="n">
        <x:v>0.5419822135190819</x:v>
      </x:c>
      <x:c r="AU44" s="16" t="n">
        <x:v>0.7241379310344828</x:v>
      </x:c>
      <x:c r="AV44" s="17" t="n">
        <x:v>1.9286859428263825</x:v>
      </x:c>
      <x:c r="AW44" s="16" t="n">
        <x:v>0.9478260869565217</x:v>
      </x:c>
      <x:c r="AX44" s="17" t="n">
        <x:v>-0.048760700497957776</x:v>
      </x:c>
      <x:c r="AY44" s="16" t="n">
        <x:v>0.9655172413793104</x:v>
      </x:c>
      <x:c r="AZ44" s="17" t="n">
        <x:v>0.047713945719651894</x:v>
      </x:c>
      <x:c r="BA44" s="16" t="n">
        <x:v>0.35</x:v>
      </x:c>
      <x:c r="BB44" s="17" t="n">
        <x:v>0.0998812688671349</x:v>
      </x:c>
      <x:c r="BC44" s="16" t="n">
        <x:v>0.9051724137931034</x:v>
      </x:c>
      <x:c r="BD44" s="17" t="n">
        <x:v>0.09482807227213454</x:v>
      </x:c>
      <x:c r="BE44" s="17" t="n">
        <x:v>0.010805239527607167</x:v>
      </x:c>
      <x:c r="BF44" s="17"/>
      <x:c r="BG44" s="17" t="n">
        <x:v>0.010805239527607167</x:v>
      </x:c>
      <x:c r="BH44" s="12" t="str">
        <x:v>cash repurchases less issuance</x:v>
      </x:c>
      <x:c r="BI44" s="17" t="n">
        <x:v>-0.0057520429326068006</x:v>
      </x:c>
      <x:c r="BJ44" s="19" t="n">
        <x:v>1764000000</x:v>
      </x:c>
      <x:c r="BK44" s="19" t="n">
        <x:v>201000000</x:v>
      </x:c>
      <x:c r="BL44" s="19" t="n">
        <x:v>0</x:v>
      </x:c>
      <x:c r="BM44" s="19" t="n">
        <x:v>29673000000</x:v>
      </x:c>
      <x:c r="BN44" s="19" t="n">
        <x:v>-790000000</x:v>
      </x:c>
      <x:c r="BO44" s="19" t="n">
        <x:v>2572000000</x:v>
      </x:c>
      <x:c r="BP44" s="19" t="n">
        <x:v>1664000000</x:v>
      </x:c>
      <x:c r="BQ44" s="19" t="n">
        <x:v>908000000</x:v>
      </x:c>
      <x:c r="BR44" s="19" t="n">
        <x:v>34003000000</x:v>
      </x:c>
      <x:c r="BS44" s="19" t="n">
        <x:v>35746000000</x:v>
      </x:c>
      <x:c r="BT44" s="19" t="n">
        <x:v>10082000000</x:v>
      </x:c>
      <x:c r="BU44" s="19" t="n">
        <x:v>3443000000</x:v>
      </x:c>
      <x:c r="BV44" s="19" t="n">
        <x:v>226000000</x:v>
      </x:c>
      <x:c r="BW44" s="19" t="n">
        <x:v>119000000</x:v>
      </x:c>
      <x:c r="BX44" s="12" t="n">
        <x:v>322784773</x:v>
      </x:c>
      <x:c r="BY44" s="17"/>
      <x:c r="BZ44" s="12" t="n">
        <x:v>5</x:v>
      </x:c>
      <x:c r="CA44" s="12" t="str">
        <x:v>OK</x:v>
      </x:c>
      <x:c r="CB44" s="20" t="str">
        <x:v>https://query1.finance.yahoo.com/v8/finance/chart/LYB?period1=1704067200&amp;period2=1783728000&amp;interval=1d&amp;events=div%2Csplits</x:v>
      </x:c>
      <x:c r="CC44" s="20" t="str">
        <x:v>https://data.sec.gov/api/xbrl/companyfacts/CIK0001489393.json</x:v>
      </x:c>
      <x:c r="CD44" s="20" t="str">
        <x:v>https://data.sec.gov/submissions/CIK0001489393.json</x:v>
      </x:c>
      <x:c r="CE44" s="20" t="str">
        <x:v>https://api.nasdaq.com/api/screener/stocks?tableonly=true&amp;limit=25000&amp;download=true</x:v>
      </x:c>
    </x:row>
    <x:row r="45">
      <x:c r="A45" s="12" t="str">
        <x:v>AMGN</x:v>
      </x:c>
      <x:c r="B45" s="12" t="str">
        <x:v>Amgen Inc.</x:v>
      </x:c>
      <x:c r="C45" s="12" t="str">
        <x:v>Long</x:v>
      </x:c>
      <x:c r="D45" s="14" t="n">
        <x:v>0.004374</x:v>
      </x:c>
      <x:c r="E45" s="15" t="n">
        <x:v>-0.0016127753963831057</x:v>
      </x:c>
      <x:c r="F45" s="15" t="n">
        <x:v>-0.12994255649496325</x:v>
      </x:c>
      <x:c r="G45" s="12" t="str">
        <x:v>Low Beta</x:v>
      </x:c>
      <x:c r="H45" s="12" t="str">
        <x:v>Low Bad Beta</x:v>
      </x:c>
      <x:c r="I45" s="12" t="str">
        <x:v>Low Beta / Low Bad Beta</x:v>
      </x:c>
      <x:c r="J45" s="15" t="n">
        <x:v>1</x:v>
      </x:c>
      <x:c r="K45" s="18" t="n">
        <x:v>46213</x:v>
      </x:c>
      <x:c r="L45" s="15" t="n">
        <x:v>363.3900146484375</x:v>
      </x:c>
      <x:c r="M45" s="19" t="n">
        <x:v>193946866803</x:v>
      </x:c>
      <x:c r="N45" s="12" t="str">
        <x:v>Nasdaq screener</x:v>
      </x:c>
      <x:c r="O45" s="12" t="str">
        <x:v>Health Care</x:v>
      </x:c>
      <x:c r="P45" s="12" t="str">
        <x:v>Biotechnology: Biological Products (No Diagnostic Substances)</x:v>
      </x:c>
      <x:c r="Q45" s="12" t="n">
        <x:v>2836</x:v>
      </x:c>
      <x:c r="R45" s="12" t="str">
        <x:v>Biological Products, (No Diagnostic Substances)</x:v>
      </x:c>
      <x:c r="S45" s="18" t="n">
        <x:v>46112</x:v>
      </x:c>
      <x:c r="T45" s="18" t="n">
        <x:v>46022</x:v>
      </x:c>
      <x:c r="U45" s="15" t="n">
        <x:v>0.2036606352557171</x:v>
      </x:c>
      <x:c r="V45" s="16" t="n">
        <x:v>0.7198275862068966</x:v>
      </x:c>
      <x:c r="W45" s="17" t="n">
        <x:v>0.9009009009009009</x:v>
      </x:c>
      <x:c r="X45" s="15" t="n">
        <x:v>3.9922030756990665</x:v>
      </x:c>
      <x:c r="Y45" s="17"/>
      <x:c r="Z45" s="15"/>
      <x:c r="AA45" s="17" t="n">
        <x:v>6.306768306768307</x:v>
      </x:c>
      <x:c r="AB45" s="15" t="n">
        <x:v>-3.5848818051876323</x:v>
      </x:c>
      <x:c r="AC45" s="13" t="b">
        <x:v>0</x:v>
      </x:c>
      <x:c r="AD45" s="15" t="n">
        <x:v>0.10485299430125242</x:v>
      </x:c>
      <x:c r="AE45" s="16" t="n">
        <x:v>0.36363636363636365</x:v>
      </x:c>
      <x:c r="AF45" s="15" t="n">
        <x:v>0.1499999999999999</x:v>
      </x:c>
      <x:c r="AG45" s="12" t="n">
        <x:v>8</x:v>
      </x:c>
      <x:c r="AH45" s="12" t="n">
        <x:v>68</x:v>
      </x:c>
      <x:c r="AI45" s="17" t="n">
        <x:v>-0.04094036381045463</x:v>
      </x:c>
      <x:c r="AJ45" s="16" t="n">
        <x:v>0.33043478260869563</x:v>
      </x:c>
      <x:c r="AK45" s="18" t="n">
        <x:v>46142</x:v>
      </x:c>
      <x:c r="AL45" s="18" t="n">
        <x:v>46142</x:v>
      </x:c>
      <x:c r="AM45" s="12" t="str">
        <x:v>2026-04-29 to 2026-04-30 to 2026-05-01</x:v>
      </x:c>
      <x:c r="AN45" s="12" t="str">
        <x:v>8-K Item 2.02 filing date</x:v>
      </x:c>
      <x:c r="AO45" s="12" t="str">
        <x:v>SUE + CAR3</x:v>
      </x:c>
      <x:c r="AP45" s="17" t="n">
        <x:v>0.040217200352727474</x:v>
      </x:c>
      <x:c r="AQ45" s="16" t="n">
        <x:v>0.3706896551724138</x:v>
      </x:c>
      <x:c r="AR45" s="17" t="n">
        <x:v>0.044326573260563856</x:v>
      </x:c>
      <x:c r="AS45" s="16" t="n">
        <x:v>0.39</x:v>
      </x:c>
      <x:c r="AT45" s="17" t="n">
        <x:v>0.0446410923915275</x:v>
      </x:c>
      <x:c r="AU45" s="16" t="n">
        <x:v>0.09482758620689655</x:v>
      </x:c>
      <x:c r="AV45" s="17" t="n">
        <x:v>0.155457813845488</x:v>
      </x:c>
      <x:c r="AW45" s="16" t="n">
        <x:v>0.24347826086956523</x:v>
      </x:c>
      <x:c r="AX45" s="17" t="n">
        <x:v>-0.013643441239560516</x:v>
      </x:c>
      <x:c r="AY45" s="16" t="n">
        <x:v>0.9224137931034483</x:v>
      </x:c>
      <x:c r="AZ45" s="17" t="n">
        <x:v>0.023670001370426203</x:v>
      </x:c>
      <x:c r="BA45" s="16" t="n">
        <x:v>0.51</x:v>
      </x:c>
      <x:c r="BB45" s="17" t="n">
        <x:v>0.05475210904430936</x:v>
      </x:c>
      <x:c r="BC45" s="16" t="n">
        <x:v>0.7327586206896551</x:v>
      </x:c>
      <x:c r="BD45" s="17" t="n">
        <x:v>0.026419607000945585</x:v>
      </x:c>
      <x:c r="BE45" s="17" t="n">
        <x:v>0</x:v>
      </x:c>
      <x:c r="BF45" s="17" t="n">
        <x:v>-0.001848428835489857</x:v>
      </x:c>
      <x:c r="BG45" s="17" t="n">
        <x:v>0</x:v>
      </x:c>
      <x:c r="BH45" s="12" t="str">
        <x:v>cash repurchases less issuance</x:v>
      </x:c>
      <x:c r="BI45" s="17" t="n">
        <x:v>0.028332502043363777</x:v>
      </x:c>
      <x:c r="BJ45" s="19" t="n">
        <x:v>5124000000</x:v>
      </x:c>
      <x:c r="BK45" s="19" t="n">
        <x:v>0</x:v>
      </x:c>
      <x:c r="BL45" s="19" t="n">
        <x:v>0</x:v>
      </x:c>
      <x:c r="BM45" s="19" t="n">
        <x:v>37220000000</x:v>
      </x:c>
      <x:c r="BN45" s="19" t="n">
        <x:v>7800000000</x:v>
      </x:c>
      <x:c r="BO45" s="19" t="n">
        <x:v>10756000000</x:v>
      </x:c>
      <x:c r="BP45" s="19" t="n">
        <x:v>2159000000</x:v>
      </x:c>
      <x:c r="BQ45" s="19" t="n">
        <x:v>8597000000</x:v>
      </x:c>
      <x:c r="BR45" s="19" t="n">
        <x:v>90586000000</x:v>
      </x:c>
      <x:c r="BS45" s="19" t="n">
        <x:v>91839000000</x:v>
      </x:c>
      <x:c r="BT45" s="19" t="n">
        <x:v>8658000000</x:v>
      </x:c>
      <x:c r="BU45" s="19" t="n">
        <x:v>9129000000</x:v>
      </x:c>
      <x:c r="BV45" s="19" t="n">
        <x:v>54604000000</x:v>
      </x:c>
      <x:c r="BW45" s="19" t="n">
        <x:v>60099000000</x:v>
      </x:c>
      <x:c r="BX45" s="12" t="n">
        <x:v>539708274</x:v>
      </x:c>
      <x:c r="BY45" s="17" t="n">
        <x:v>0.001848428835489857</x:v>
      </x:c>
      <x:c r="BZ45" s="12" t="n">
        <x:v>5</x:v>
      </x:c>
      <x:c r="CA45" s="12" t="str">
        <x:v>OK</x:v>
      </x:c>
      <x:c r="CB45" s="20" t="str">
        <x:v>https://query1.finance.yahoo.com/v8/finance/chart/AMGN?period1=1704067200&amp;period2=1783728000&amp;interval=1d&amp;events=div%2Csplits</x:v>
      </x:c>
      <x:c r="CC45" s="20" t="str">
        <x:v>https://data.sec.gov/api/xbrl/companyfacts/CIK0000318154.json</x:v>
      </x:c>
      <x:c r="CD45" s="20" t="str">
        <x:v>https://data.sec.gov/submissions/CIK0000318154.json</x:v>
      </x:c>
      <x:c r="CE45" s="20" t="str">
        <x:v>https://api.nasdaq.com/api/screener/stocks?tableonly=true&amp;limit=25000&amp;download=true</x:v>
      </x:c>
    </x:row>
    <x:row r="46">
      <x:c r="A46" s="12" t="str">
        <x:v>SIGI</x:v>
      </x:c>
      <x:c r="B46" s="12" t="str">
        <x:v>Selective Insurance Group Inc.</x:v>
      </x:c>
      <x:c r="C46" s="12" t="str">
        <x:v>Long</x:v>
      </x:c>
      <x:c r="D46" s="14" t="n">
        <x:v>0.004289</x:v>
      </x:c>
      <x:c r="E46" s="15" t="n">
        <x:v>0.37184156160434084</x:v>
      </x:c>
      <x:c r="F46" s="15" t="n">
        <x:v>0.14266550340956458</x:v>
      </x:c>
      <x:c r="G46" s="12" t="str">
        <x:v>Low Beta</x:v>
      </x:c>
      <x:c r="H46" s="12" t="str">
        <x:v>Low Bad Beta</x:v>
      </x:c>
      <x:c r="I46" s="12" t="str">
        <x:v>Low Beta / Low Bad Beta</x:v>
      </x:c>
      <x:c r="J46" s="15" t="n">
        <x:v>1</x:v>
      </x:c>
      <x:c r="K46" s="18" t="n">
        <x:v>46213</x:v>
      </x:c>
      <x:c r="L46" s="15" t="n">
        <x:v>95.93000030517578</x:v>
      </x:c>
      <x:c r="M46" s="19" t="n">
        <x:v>5652580731</x:v>
      </x:c>
      <x:c r="N46" s="12" t="str">
        <x:v>Nasdaq screener</x:v>
      </x:c>
      <x:c r="O46" s="12" t="str">
        <x:v>Finance</x:v>
      </x:c>
      <x:c r="P46" s="12" t="str">
        <x:v>Property-Casualty Insurers</x:v>
      </x:c>
      <x:c r="Q46" s="12" t="n">
        <x:v>6331</x:v>
      </x:c>
      <x:c r="R46" s="12" t="str">
        <x:v>Fire, Marine &amp; Casualty Insurance</x:v>
      </x:c>
      <x:c r="S46" s="18" t="n">
        <x:v>46112</x:v>
      </x:c>
      <x:c r="T46" s="18" t="n">
        <x:v>46022</x:v>
      </x:c>
      <x:c r="U46" s="15" t="n">
        <x:v>0.10547949459625569</x:v>
      </x:c>
      <x:c r="V46" s="16" t="n">
        <x:v>0.6120689655172413</x:v>
      </x:c>
      <x:c r="W46" s="17" t="n">
        <x:v>0.12585041459140062</x:v>
      </x:c>
      <x:c r="X46" s="15" t="n">
        <x:v>-0.46762920613869235</x:v>
      </x:c>
      <x:c r="Y46" s="17"/>
      <x:c r="Z46" s="15"/>
      <x:c r="AA46" s="17" t="n">
        <x:v>0</x:v>
      </x:c>
      <x:c r="AB46" s="15" t="n">
        <x:v>0.6785881953312037</x:v>
      </x:c>
      <x:c r="AC46" s="13" t="b">
        <x:v>1</x:v>
      </x:c>
      <x:c r="AD46" s="15" t="n">
        <x:v>-0.14149780317085583</x:v>
      </x:c>
      <x:c r="AE46" s="16" t="n">
        <x:v>0.24545454545454545</x:v>
      </x:c>
      <x:c r="AF46" s="15" t="n">
        <x:v>-0.17999999999999994</x:v>
      </x:c>
      <x:c r="AG46" s="12" t="n">
        <x:v>8</x:v>
      </x:c>
      <x:c r="AH46" s="12" t="n">
        <x:v>64</x:v>
      </x:c>
      <x:c r="AI46" s="17" t="n">
        <x:v>0.036010155494633156</x:v>
      </x:c>
      <x:c r="AJ46" s="16" t="n">
        <x:v>0.8434782608695652</x:v>
      </x:c>
      <x:c r="AK46" s="18" t="n">
        <x:v>46134</x:v>
      </x:c>
      <x:c r="AL46" s="18" t="n">
        <x:v>46134</x:v>
      </x:c>
      <x:c r="AM46" s="12" t="str">
        <x:v>2026-04-21 to 2026-04-22 to 2026-04-23</x:v>
      </x:c>
      <x:c r="AN46" s="12" t="str">
        <x:v>8-K Item 2.02 filing date</x:v>
      </x:c>
      <x:c r="AO46" s="12" t="str">
        <x:v>SUE + CAR3</x:v>
      </x:c>
      <x:c r="AP46" s="17" t="n">
        <x:v>0.08035108592242059</x:v>
      </x:c>
      <x:c r="AQ46" s="16" t="n">
        <x:v>0.7931034482758621</x:v>
      </x:c>
      <x:c r="AR46" s="17" t="n">
        <x:v>0.20058377826996843</x:v>
      </x:c>
      <x:c r="AS46" s="16"/>
      <x:c r="AT46" s="17" t="n">
        <x:v>0.6384650077101216</x:v>
      </x:c>
      <x:c r="AU46" s="16" t="n">
        <x:v>0.8448275862068966</x:v>
      </x:c>
      <x:c r="AV46" s="17" t="n">
        <x:v>0.9572029586993261</x:v>
      </x:c>
      <x:c r="AW46" s="16"/>
      <x:c r="AX46" s="17" t="n">
        <x:v>0.121466482376412</x:v>
      </x:c>
      <x:c r="AY46" s="16" t="n">
        <x:v>0.19827586206896552</x:v>
      </x:c>
      <x:c r="AZ46" s="17" t="n">
        <x:v>0.0025578046159144127</x:v>
      </x:c>
      <x:c r="BA46" s="16"/>
      <x:c r="BB46" s="17" t="n">
        <x:v>0.032813153641980244</x:v>
      </x:c>
      <x:c r="BC46" s="16" t="n">
        <x:v>0.49137931034482757</x:v>
      </x:c>
      <x:c r="BD46" s="17" t="n">
        <x:v>0.016432140365656992</x:v>
      </x:c>
      <x:c r="BE46" s="17" t="n">
        <x:v>0.016381013276323252</x:v>
      </x:c>
      <x:c r="BF46" s="17" t="n">
        <x:v>0.0035251493292424163</x:v>
      </x:c>
      <x:c r="BG46" s="17" t="n">
        <x:v>0.016381013276323252</x:v>
      </x:c>
      <x:c r="BH46" s="12" t="str">
        <x:v>cash repurchases less issuance</x:v>
      </x:c>
      <x:c r="BI46" s="17"/>
      <x:c r="BJ46" s="19" t="n">
        <x:v>92884000</x:v>
      </x:c>
      <x:c r="BK46" s="19" t="n">
        <x:v>92595000</x:v>
      </x:c>
      <x:c r="BL46" s="19" t="n">
        <x:v>0</x:v>
      </x:c>
      <x:c r="BM46" s="19" t="n">
        <x:v>5410667000</x:v>
      </x:c>
      <x:c r="BN46" s="19" t="n">
        <x:v>454191000</x:v>
      </x:c>
      <x:c r="BO46" s="19" t="n">
        <x:v>1170482000</x:v>
      </x:c>
      <x:c r="BP46" s="19" t="n">
        <x:v>36666000</x:v>
      </x:c>
      <x:c r="BQ46" s="19" t="n">
        <x:v>1133816000</x:v>
      </x:c>
      <x:c r="BR46" s="19" t="n">
        <x:v>15155710000</x:v>
      </x:c>
      <x:c r="BS46" s="19" t="n">
        <x:v>13514189000</x:v>
      </x:c>
      <x:c r="BT46" s="19" t="n">
        <x:v>3608975000</x:v>
      </x:c>
      <x:c r="BU46" s="19"/>
      <x:c r="BV46" s="19"/>
      <x:c r="BW46" s="19" t="n">
        <x:v>507938000</x:v>
      </x:c>
      <x:c r="BX46" s="12" t="n">
        <x:v>59869520</x:v>
      </x:c>
      <x:c r="BY46" s="17" t="n">
        <x:v>-0.0035251493292424163</x:v>
      </x:c>
      <x:c r="BZ46" s="12" t="n">
        <x:v>5</x:v>
      </x:c>
      <x:c r="CA46" s="12" t="str">
        <x:v>OK</x:v>
      </x:c>
      <x:c r="CB46" s="20" t="str">
        <x:v>https://query1.finance.yahoo.com/v8/finance/chart/SIGI?period1=1704067200&amp;period2=1783728000&amp;interval=1d&amp;events=div%2Csplits</x:v>
      </x:c>
      <x:c r="CC46" s="20" t="str">
        <x:v>https://data.sec.gov/api/xbrl/companyfacts/CIK0000230557.json</x:v>
      </x:c>
      <x:c r="CD46" s="20" t="str">
        <x:v>https://data.sec.gov/submissions/CIK0000230557.json</x:v>
      </x:c>
      <x:c r="CE46" s="20" t="str">
        <x:v>https://api.nasdaq.com/api/screener/stocks?tableonly=true&amp;limit=25000&amp;download=true</x:v>
      </x:c>
    </x:row>
    <x:row r="47">
      <x:c r="A47" s="12" t="str">
        <x:v>OHI</x:v>
      </x:c>
      <x:c r="B47" s="12" t="str">
        <x:v>Omega Healthcare Investors Inc. REIT</x:v>
      </x:c>
      <x:c r="C47" s="12" t="str">
        <x:v>Long</x:v>
      </x:c>
      <x:c r="D47" s="14" t="n">
        <x:v>0.003987</x:v>
      </x:c>
      <x:c r="E47" s="15" t="n">
        <x:v>0.12887613982159576</x:v>
      </x:c>
      <x:c r="F47" s="15" t="n">
        <x:v>0.05251383074076414</x:v>
      </x:c>
      <x:c r="G47" s="12" t="str">
        <x:v>Low Beta</x:v>
      </x:c>
      <x:c r="H47" s="12" t="str">
        <x:v>Low Bad Beta</x:v>
      </x:c>
      <x:c r="I47" s="12" t="str">
        <x:v>Low Beta / Low Bad Beta</x:v>
      </x:c>
      <x:c r="J47" s="15" t="n">
        <x:v>1</x:v>
      </x:c>
      <x:c r="K47" s="18" t="n">
        <x:v>46213</x:v>
      </x:c>
      <x:c r="L47" s="15" t="n">
        <x:v>48.29999923706055</x:v>
      </x:c>
      <x:c r="M47" s="19" t="n">
        <x:v>14321298180</x:v>
      </x:c>
      <x:c r="N47" s="12" t="str">
        <x:v>Nasdaq screener</x:v>
      </x:c>
      <x:c r="O47" s="12" t="str">
        <x:v>Real Estate</x:v>
      </x:c>
      <x:c r="P47" s="12" t="str">
        <x:v>Real Estate Investment Trusts</x:v>
      </x:c>
      <x:c r="Q47" s="12" t="n">
        <x:v>6798</x:v>
      </x:c>
      <x:c r="R47" s="12" t="str">
        <x:v>Real Estate Investment Trusts</x:v>
      </x:c>
      <x:c r="S47" s="18" t="n">
        <x:v>46112</x:v>
      </x:c>
      <x:c r="T47" s="18" t="n">
        <x:v>46022</x:v>
      </x:c>
      <x:c r="U47" s="15" t="n">
        <x:v>-0.36280603515014287</x:v>
      </x:c>
      <x:c r="V47" s="16" t="n">
        <x:v>0.27586206896551724</x:v>
      </x:c>
      <x:c r="W47" s="17" t="n">
        <x:v>0.12201611989580219</x:v>
      </x:c>
      <x:c r="X47" s="15" t="n">
        <x:v>-0.4899050407204289</x:v>
      </x:c>
      <x:c r="Y47" s="17"/>
      <x:c r="Z47" s="15"/>
      <x:c r="AA47" s="17" t="n">
        <x:v>0.8214177564352105</x:v>
      </x:c>
      <x:c r="AB47" s="15" t="n">
        <x:v>-0.23570702957985679</x:v>
      </x:c>
      <x:c r="AC47" s="13" t="b">
        <x:v>1</x:v>
      </x:c>
      <x:c r="AD47" s="15" t="n">
        <x:v>1.8332472431577391</x:v>
      </x:c>
      <x:c r="AE47" s="16" t="n">
        <x:v>0.8363636363636363</x:v>
      </x:c>
      <x:c r="AF47" s="15" t="n">
        <x:v>0.12999999999999995</x:v>
      </x:c>
      <x:c r="AG47" s="12" t="n">
        <x:v>8</x:v>
      </x:c>
      <x:c r="AH47" s="12" t="n">
        <x:v>64</x:v>
      </x:c>
      <x:c r="AI47" s="17" t="n">
        <x:v>0.012345634954489593</x:v>
      </x:c>
      <x:c r="AJ47" s="16" t="n">
        <x:v>0.7391304347826086</x:v>
      </x:c>
      <x:c r="AK47" s="18" t="n">
        <x:v>46140</x:v>
      </x:c>
      <x:c r="AL47" s="18" t="n">
        <x:v>46140</x:v>
      </x:c>
      <x:c r="AM47" s="12" t="str">
        <x:v>2026-04-27 to 2026-04-28 to 2026-04-29</x:v>
      </x:c>
      <x:c r="AN47" s="12" t="str">
        <x:v>8-K Item 2.02 filing date</x:v>
      </x:c>
      <x:c r="AO47" s="12" t="str">
        <x:v>SUE + CAR3</x:v>
      </x:c>
      <x:c r="AP47" s="17" t="n">
        <x:v>0.044144182465447414</x:v>
      </x:c>
      <x:c r="AQ47" s="16" t="n">
        <x:v>0.4482758620689655</x:v>
      </x:c>
      <x:c r="AR47" s="17"/>
      <x:c r="AS47" s="16"/>
      <x:c r="AT47" s="17" t="n">
        <x:v>0.3617897578053221</x:v>
      </x:c>
      <x:c r="AU47" s="16" t="n">
        <x:v>0.5344827586206896</x:v>
      </x:c>
      <x:c r="AV47" s="17" t="n">
        <x:v>0.04959336156146361</x:v>
      </x:c>
      <x:c r="AW47" s="16"/>
      <x:c r="AX47" s="17" t="n">
        <x:v>0.015272748507737743</x:v>
      </x:c>
      <x:c r="AY47" s="16" t="n">
        <x:v>0.8189655172413793</x:v>
      </x:c>
      <x:c r="AZ47" s="17"/>
      <x:c r="BA47" s="16"/>
      <x:c r="BB47" s="17" t="n">
        <x:v>0.022057078627211436</x:v>
      </x:c>
      <x:c r="BC47" s="16" t="n">
        <x:v>0.3448275862068966</x:v>
      </x:c>
      <x:c r="BD47" s="17" t="n">
        <x:v>0.05449135896701231</x:v>
      </x:c>
      <x:c r="BE47" s="17" t="n">
        <x:v>-0.03243428033980087</x:v>
      </x:c>
      <x:c r="BF47" s="17" t="n">
        <x:v>-0.12757256424477714</x:v>
      </x:c>
      <x:c r="BG47" s="17" t="n">
        <x:v>-0.03243428033980087</x:v>
      </x:c>
      <x:c r="BH47" s="12" t="str">
        <x:v>cash repurchases less issuance</x:v>
      </x:c>
      <x:c r="BI47" s="17"/>
      <x:c r="BJ47" s="19" t="n">
        <x:v>780387000</x:v>
      </x:c>
      <x:c r="BK47" s="19" t="n">
        <x:v>142267000</x:v>
      </x:c>
      <x:c r="BL47" s="19" t="n">
        <x:v>606768000</x:v>
      </x:c>
      <x:c r="BM47" s="19" t="n">
        <x:v>919971000</x:v>
      </x:c>
      <x:c r="BN47" s="19" t="n">
        <x:v>632202000</x:v>
      </x:c>
      <x:c r="BO47" s="19" t="n">
        <x:v>912101000</x:v>
      </x:c>
      <x:c r="BP47" s="19"/>
      <x:c r="BQ47" s="19"/>
      <x:c r="BR47" s="19" t="n">
        <x:v>10049059000</x:v>
      </x:c>
      <x:c r="BS47" s="19" t="n">
        <x:v>9897891000</x:v>
      </x:c>
      <x:c r="BT47" s="19" t="n">
        <x:v>5181299000</x:v>
      </x:c>
      <x:c r="BU47" s="19" t="n">
        <x:v>27024000</x:v>
      </x:c>
      <x:c r="BV47" s="19" t="n">
        <x:v>4256011000</x:v>
      </x:c>
      <x:c r="BW47" s="19" t="n">
        <x:v>4838859000</x:v>
      </x:c>
      <x:c r="BX47" s="12" t="n">
        <x:v>297802000</x:v>
      </x:c>
      <x:c r="BY47" s="17" t="n">
        <x:v>0.12757256424477714</x:v>
      </x:c>
      <x:c r="BZ47" s="12" t="n">
        <x:v>5</x:v>
      </x:c>
      <x:c r="CA47" s="12" t="str">
        <x:v>OK</x:v>
      </x:c>
      <x:c r="CB47" s="20" t="str">
        <x:v>https://query1.finance.yahoo.com/v8/finance/chart/OHI?period1=1704067200&amp;period2=1783728000&amp;interval=1d&amp;events=div%2Csplits</x:v>
      </x:c>
      <x:c r="CC47" s="20" t="str">
        <x:v>https://data.sec.gov/api/xbrl/companyfacts/CIK0000888491.json</x:v>
      </x:c>
      <x:c r="CD47" s="20" t="str">
        <x:v>https://data.sec.gov/submissions/CIK0000888491.json</x:v>
      </x:c>
      <x:c r="CE47" s="20" t="str">
        <x:v>https://api.nasdaq.com/api/screener/stocks?tableonly=true&amp;limit=25000&amp;download=true</x:v>
      </x:c>
    </x:row>
    <x:row r="48">
      <x:c r="A48" s="12" t="str">
        <x:v>MO</x:v>
      </x:c>
      <x:c r="B48" s="12" t="str">
        <x:v>Altria Group Inc.</x:v>
      </x:c>
      <x:c r="C48" s="12" t="str">
        <x:v>Long</x:v>
      </x:c>
      <x:c r="D48" s="14" t="n">
        <x:v>0.00395</x:v>
      </x:c>
      <x:c r="E48" s="15" t="n">
        <x:v>0.2672918655161141</x:v>
      </x:c>
      <x:c r="F48" s="15" t="n">
        <x:v>0.011651213706512195</x:v>
      </x:c>
      <x:c r="G48" s="12" t="str">
        <x:v>Low Beta</x:v>
      </x:c>
      <x:c r="H48" s="12" t="str">
        <x:v>Low Bad Beta</x:v>
      </x:c>
      <x:c r="I48" s="12" t="str">
        <x:v>Low Beta / Low Bad Beta</x:v>
      </x:c>
      <x:c r="J48" s="15" t="n">
        <x:v>1</x:v>
      </x:c>
      <x:c r="K48" s="18" t="n">
        <x:v>46213</x:v>
      </x:c>
      <x:c r="L48" s="15" t="n">
        <x:v>71.79000091552734</x:v>
      </x:c>
      <x:c r="M48" s="19" t="n">
        <x:v>118679170071</x:v>
      </x:c>
      <x:c r="N48" s="12" t="str">
        <x:v>Nasdaq screener</x:v>
      </x:c>
      <x:c r="O48" s="12" t="str">
        <x:v>Health Care</x:v>
      </x:c>
      <x:c r="P48" s="12" t="str">
        <x:v> Medicinal Chemicals and Botanical Products </x:v>
      </x:c>
      <x:c r="Q48" s="12" t="n">
        <x:v>2111</x:v>
      </x:c>
      <x:c r="R48" s="12" t="str">
        <x:v>Cigarettes</x:v>
      </x:c>
      <x:c r="S48" s="18" t="n">
        <x:v>46112</x:v>
      </x:c>
      <x:c r="T48" s="18" t="n">
        <x:v>46022</x:v>
      </x:c>
      <x:c r="U48" s="15" t="n">
        <x:v>-1.257629183597826</x:v>
      </x:c>
      <x:c r="V48" s="16" t="n">
        <x:v>0.0689655172413793</x:v>
      </x:c>
      <x:c r="W48" s="17" t="n">
        <x:v>-2.299543118218161</x:v>
      </x:c>
      <x:c r="X48" s="15" t="n">
        <x:v>-1.029601712582685</x:v>
      </x:c>
      <x:c r="Y48" s="17" t="n">
        <x:v>-0.05208422372282531</x:v>
      </x:c>
      <x:c r="Z48" s="15" t="n">
        <x:v>0.8415959669768392</x:v>
      </x:c>
      <x:c r="AA48" s="17" t="n">
        <x:v>-7.341233580810965</x:v>
      </x:c>
      <x:c r="AB48" s="15" t="n">
        <x:v>-3.5848818051876323</x:v>
      </x:c>
      <x:c r="AC48" s="13" t="b">
        <x:v>0</x:v>
      </x:c>
      <x:c r="AD48" s="15" t="n">
        <x:v>0.8729211689411626</x:v>
      </x:c>
      <x:c r="AE48" s="16" t="n">
        <x:v>0.6454545454545455</x:v>
      </x:c>
      <x:c r="AF48" s="15" t="n">
        <x:v>0.67</x:v>
      </x:c>
      <x:c r="AG48" s="12" t="n">
        <x:v>8</x:v>
      </x:c>
      <x:c r="AH48" s="12" t="n">
        <x:v>68</x:v>
      </x:c>
      <x:c r="AI48" s="17" t="n">
        <x:v>0.0840295514661149</x:v>
      </x:c>
      <x:c r="AJ48" s="16" t="n">
        <x:v>0.9565217391304348</x:v>
      </x:c>
      <x:c r="AK48" s="18" t="n">
        <x:v>46142</x:v>
      </x:c>
      <x:c r="AL48" s="18" t="n">
        <x:v>46142</x:v>
      </x:c>
      <x:c r="AM48" s="12" t="str">
        <x:v>2026-04-29 to 2026-04-30 to 2026-05-01</x:v>
      </x:c>
      <x:c r="AN48" s="12" t="str">
        <x:v>8-K Item 2.02 filing date</x:v>
      </x:c>
      <x:c r="AO48" s="12" t="str">
        <x:v>SUE + CAR3</x:v>
      </x:c>
      <x:c r="AP48" s="17" t="n">
        <x:v>0.06785520993433203</x:v>
      </x:c>
      <x:c r="AQ48" s="16" t="n">
        <x:v>0.7155172413793104</x:v>
      </x:c>
      <x:c r="AR48" s="17" t="n">
        <x:v>0.07265807466332362</x:v>
      </x:c>
      <x:c r="AS48" s="16" t="n">
        <x:v>0.74</x:v>
      </x:c>
      <x:c r="AT48" s="17" t="n">
        <x:v>-0.029508126808646562</x:v>
      </x:c>
      <x:c r="AU48" s="16" t="n">
        <x:v>0.034482758620689655</x:v>
      </x:c>
      <x:c r="AV48" s="17" t="n">
        <x:v>0.1675884578960174</x:v>
      </x:c>
      <x:c r="AW48" s="16" t="n">
        <x:v>0.26956521739130435</x:v>
      </x:c>
      <x:c r="AX48" s="17" t="n">
        <x:v>-0.004548426528697691</x:v>
      </x:c>
      <x:c r="AY48" s="16" t="n">
        <x:v>0.8793103448275862</x:v>
      </x:c>
      <x:c r="AZ48" s="17" t="n">
        <x:v>0.007721457674445109</x:v>
      </x:c>
      <x:c r="BA48" s="16" t="n">
        <x:v>0.8</x:v>
      </x:c>
      <x:c r="BB48" s="17" t="n">
        <x:v>0.06047396519293443</x:v>
      </x:c>
      <x:c r="BC48" s="16" t="n">
        <x:v>0.7758620689655172</x:v>
      </x:c>
      <x:c r="BD48" s="17" t="n">
        <x:v>0.05864550616452886</x:v>
      </x:c>
      <x:c r="BE48" s="17" t="n">
        <x:v>0.008426078471915066</x:v>
      </x:c>
      <x:c r="BF48" s="17" t="n">
        <x:v>0.02037252619324792</x:v>
      </x:c>
      <x:c r="BG48" s="17" t="n">
        <x:v>0.008426078471915066</x:v>
      </x:c>
      <x:c r="BH48" s="12" t="str">
        <x:v>cash repurchases less issuance</x:v>
      </x:c>
      <x:c r="BI48" s="17" t="n">
        <x:v>-0.006597619443509497</x:v>
      </x:c>
      <x:c r="BJ48" s="19" t="n">
        <x:v>6960000000</x:v>
      </x:c>
      <x:c r="BK48" s="19" t="n">
        <x:v>1000000000</x:v>
      </x:c>
      <x:c r="BL48" s="19" t="n">
        <x:v>0</x:v>
      </x:c>
      <x:c r="BM48" s="19" t="n">
        <x:v>23448000000</x:v>
      </x:c>
      <x:c r="BN48" s="19" t="n">
        <x:v>8053000000</x:v>
      </x:c>
      <x:c r="BO48" s="19" t="n">
        <x:v>8894000000</x:v>
      </x:c>
      <x:c r="BP48" s="19" t="n">
        <x:v>271000000</x:v>
      </x:c>
      <x:c r="BQ48" s="19" t="n">
        <x:v>8623000000</x:v>
      </x:c>
      <x:c r="BR48" s="19" t="n">
        <x:v>35017000000</x:v>
      </x:c>
      <x:c r="BS48" s="19" t="n">
        <x:v>35177000000</x:v>
      </x:c>
      <x:c r="BT48" s="19" t="n">
        <x:v>-3502000000</x:v>
      </x:c>
      <x:c r="BU48" s="19" t="n">
        <x:v>4474000000</x:v>
      </x:c>
      <x:c r="BV48" s="19" t="n">
        <x:v>25709000000</x:v>
      </x:c>
      <x:c r="BW48" s="19" t="n">
        <x:v>24926000000</x:v>
      </x:c>
      <x:c r="BX48" s="12" t="n">
        <x:v>1669891235</x:v>
      </x:c>
      <x:c r="BY48" s="17" t="n">
        <x:v>-0.02037252619324792</x:v>
      </x:c>
      <x:c r="BZ48" s="12" t="n">
        <x:v>5</x:v>
      </x:c>
      <x:c r="CA48" s="12" t="str">
        <x:v>OK</x:v>
      </x:c>
      <x:c r="CB48" s="20" t="str">
        <x:v>https://query1.finance.yahoo.com/v8/finance/chart/MO?period1=1704067200&amp;period2=1783728000&amp;interval=1d&amp;events=div%2Csplits</x:v>
      </x:c>
      <x:c r="CC48" s="20" t="str">
        <x:v>https://data.sec.gov/api/xbrl/companyfacts/CIK0000764180.json</x:v>
      </x:c>
      <x:c r="CD48" s="20" t="str">
        <x:v>https://data.sec.gov/submissions/CIK0000764180.json</x:v>
      </x:c>
      <x:c r="CE48" s="20" t="str">
        <x:v>https://api.nasdaq.com/api/screener/stocks?tableonly=true&amp;limit=25000&amp;download=true</x:v>
      </x:c>
    </x:row>
    <x:row r="49">
      <x:c r="A49" s="12" t="str">
        <x:v>JKHY</x:v>
      </x:c>
      <x:c r="B49" s="12" t="str">
        <x:v>Jack Henry and Associates Inc.</x:v>
      </x:c>
      <x:c r="C49" s="12" t="str">
        <x:v>Long</x:v>
      </x:c>
      <x:c r="D49" s="14" t="n">
        <x:v>0.004394</x:v>
      </x:c>
      <x:c r="E49" s="15" t="n">
        <x:v>0.23487700697968236</x:v>
      </x:c>
      <x:c r="F49" s="15" t="n">
        <x:v>-0.08138725044551728</x:v>
      </x:c>
      <x:c r="G49" s="12" t="str">
        <x:v>Low Beta</x:v>
      </x:c>
      <x:c r="H49" s="12" t="str">
        <x:v>Low Bad Beta</x:v>
      </x:c>
      <x:c r="I49" s="12" t="str">
        <x:v>Low Beta / Low Bad Beta</x:v>
      </x:c>
      <x:c r="J49" s="15" t="n">
        <x:v>1</x:v>
      </x:c>
      <x:c r="K49" s="18" t="n">
        <x:v>46213</x:v>
      </x:c>
      <x:c r="L49" s="15" t="n">
        <x:v>150.32000732421875</x:v>
      </x:c>
      <x:c r="M49" s="19" t="n">
        <x:v>10627775672</x:v>
      </x:c>
      <x:c r="N49" s="12" t="str">
        <x:v>Nasdaq screener</x:v>
      </x:c>
      <x:c r="O49" s="12" t="str">
        <x:v>Technology</x:v>
      </x:c>
      <x:c r="P49" s="12" t="str">
        <x:v>EDP Services</x:v>
      </x:c>
      <x:c r="Q49" s="12" t="n">
        <x:v>7373</x:v>
      </x:c>
      <x:c r="R49" s="12" t="str">
        <x:v>Services-Computer Integrated Systems Design</x:v>
      </x:c>
      <x:c r="S49" s="18" t="n">
        <x:v>46112</x:v>
      </x:c>
      <x:c r="T49" s="18" t="n">
        <x:v>45838</x:v>
      </x:c>
      <x:c r="U49" s="15" t="n">
        <x:v>0.1517745853737312</x:v>
      </x:c>
      <x:c r="V49" s="16" t="n">
        <x:v>0.6637931034482759</x:v>
      </x:c>
      <x:c r="W49" s="17" t="n">
        <x:v>0.2436381657493411</x:v>
      </x:c>
      <x:c r="X49" s="15" t="n">
        <x:v>0.2166740800852492</x:v>
      </x:c>
      <x:c r="Y49" s="17" t="n">
        <x:v>0.0765585576559144</x:v>
      </x:c>
      <x:c r="Z49" s="15" t="n">
        <x:v>-0.43993851929525934</x:v>
      </x:c>
      <x:c r="AA49" s="17" t="n">
        <x:v>0</x:v>
      </x:c>
      <x:c r="AB49" s="15" t="n">
        <x:v>0.6785881953312037</x:v>
      </x:c>
      <x:c r="AC49" s="13" t="b">
        <x:v>0</x:v>
      </x:c>
      <x:c r="AD49" s="15" t="n">
        <x:v>1.3624109816294232</x:v>
      </x:c>
      <x:c r="AE49" s="16" t="n">
        <x:v>0.7454545454545455</x:v>
      </x:c>
      <x:c r="AF49" s="15" t="n">
        <x:v>0.17999999999999994</x:v>
      </x:c>
      <x:c r="AG49" s="12" t="n">
        <x:v>8</x:v>
      </x:c>
      <x:c r="AH49" s="12" t="n">
        <x:v>63</x:v>
      </x:c>
      <x:c r="AI49" s="17" t="n">
        <x:v>-0.09236785799170655</x:v>
      </x:c>
      <x:c r="AJ49" s="16" t="n">
        <x:v>0.1391304347826087</x:v>
      </x:c>
      <x:c r="AK49" s="18" t="n">
        <x:v>46147</x:v>
      </x:c>
      <x:c r="AL49" s="18" t="n">
        <x:v>46147</x:v>
      </x:c>
      <x:c r="AM49" s="12" t="str">
        <x:v>2026-05-04 to 2026-05-05 to 2026-05-06</x:v>
      </x:c>
      <x:c r="AN49" s="12" t="str">
        <x:v>8-K Item 2.02 filing date</x:v>
      </x:c>
      <x:c r="AO49" s="12" t="str">
        <x:v>SUE + CAR3</x:v>
      </x:c>
      <x:c r="AP49" s="17" t="n">
        <x:v>0.04884860351049382</x:v>
      </x:c>
      <x:c r="AQ49" s="16" t="n">
        <x:v>0.5086206896551724</x:v>
      </x:c>
      <x:c r="AR49" s="17" t="n">
        <x:v>0.06846305590707617</x:v>
      </x:c>
      <x:c r="AS49" s="16" t="n">
        <x:v>0.69</x:v>
      </x:c>
      <x:c r="AT49" s="17" t="n">
        <x:v>0.2004965164642967</x:v>
      </x:c>
      <x:c r="AU49" s="16" t="n">
        <x:v>0.28448275862068967</x:v>
      </x:c>
      <x:c r="AV49" s="17" t="n">
        <x:v>0.2367088916477461</x:v>
      </x:c>
      <x:c r="AW49" s="16" t="n">
        <x:v>0.391304347826087</x:v>
      </x:c>
      <x:c r="AX49" s="17" t="n">
        <x:v>0.04085818988052914</x:v>
      </x:c>
      <x:c r="AY49" s="16" t="n">
        <x:v>0.7068965517241379</x:v>
      </x:c>
      <x:c r="AZ49" s="17" t="n">
        <x:v>0.01969958369432873</x:v>
      </x:c>
      <x:c r="BA49" s="16" t="n">
        <x:v>0.5700000000000001</x:v>
      </x:c>
      <x:c r="BB49" s="17" t="n">
        <x:v>0.024435310643993804</x:v>
      </x:c>
      <x:c r="BC49" s="16" t="n">
        <x:v>0.4051724137931034</x:v>
      </x:c>
      <x:c r="BD49" s="17" t="n">
        <x:v>0.01549185879353589</x:v>
      </x:c>
      <x:c r="BE49" s="17" t="n">
        <x:v>0.0032978678776915005</x:v>
      </x:c>
      <x:c r="BF49" s="17" t="n">
        <x:v>-0.0002738788086271704</x:v>
      </x:c>
      <x:c r="BG49" s="17" t="n">
        <x:v>0.0032978678776915005</x:v>
      </x:c>
      <x:c r="BH49" s="12" t="str">
        <x:v>cash repurchases less issuance</x:v>
      </x:c>
      <x:c r="BI49" s="17" t="n">
        <x:v>0.0056455839727664135</x:v>
      </x:c>
      <x:c r="BJ49" s="19" t="n">
        <x:v>164644000</x:v>
      </x:c>
      <x:c r="BK49" s="19" t="n">
        <x:v>35051000</x:v>
      </x:c>
      <x:c r="BL49" s="19" t="n">
        <x:v>2000</x:v>
      </x:c>
      <x:c r="BM49" s="19" t="n">
        <x:v>2515689000</x:v>
      </x:c>
      <x:c r="BN49" s="19" t="n">
        <x:v>519152000</x:v>
      </x:c>
      <x:c r="BO49" s="19" t="n">
        <x:v>786398000</x:v>
      </x:c>
      <x:c r="BP49" s="19" t="n">
        <x:v>58788000</x:v>
      </x:c>
      <x:c r="BQ49" s="19" t="n">
        <x:v>727610000</x:v>
      </x:c>
      <x:c r="BR49" s="19" t="n">
        <x:v>3043970000</x:v>
      </x:c>
      <x:c r="BS49" s="19" t="n">
        <x:v>2924481000</x:v>
      </x:c>
      <x:c r="BT49" s="19" t="n">
        <x:v>2130832000</x:v>
      </x:c>
      <x:c r="BU49" s="19"/>
      <x:c r="BV49" s="19" t="n">
        <x:v>0</x:v>
      </x:c>
      <x:c r="BW49" s="19" t="n">
        <x:v>60000000</x:v>
      </x:c>
      <x:c r="BX49" s="12" t="n">
        <x:v>71050780</x:v>
      </x:c>
      <x:c r="BY49" s="17" t="n">
        <x:v>0.0002738788086271704</x:v>
      </x:c>
      <x:c r="BZ49" s="12" t="n">
        <x:v>5</x:v>
      </x:c>
      <x:c r="CA49" s="12" t="str">
        <x:v>OK</x:v>
      </x:c>
      <x:c r="CB49" s="20" t="str">
        <x:v>https://query1.finance.yahoo.com/v8/finance/chart/JKHY?period1=1704067200&amp;period2=1783728000&amp;interval=1d&amp;events=div%2Csplits</x:v>
      </x:c>
      <x:c r="CC49" s="20" t="str">
        <x:v>https://data.sec.gov/api/xbrl/companyfacts/CIK0000779152.json</x:v>
      </x:c>
      <x:c r="CD49" s="20" t="str">
        <x:v>https://data.sec.gov/submissions/CIK0000779152.json</x:v>
      </x:c>
      <x:c r="CE49" s="20" t="str">
        <x:v>https://api.nasdaq.com/api/screener/stocks?tableonly=true&amp;limit=25000&amp;download=true</x:v>
      </x:c>
    </x:row>
    <x:row r="50">
      <x:c r="A50" s="12" t="str">
        <x:v>FCN</x:v>
      </x:c>
      <x:c r="B50" s="12" t="str">
        <x:v>FTI Consulting Inc.</x:v>
      </x:c>
      <x:c r="C50" s="12" t="str">
        <x:v>Long</x:v>
      </x:c>
      <x:c r="D50" s="14" t="n">
        <x:v>0.004046</x:v>
      </x:c>
      <x:c r="E50" s="15" t="n">
        <x:v>-0.2105017413707191</x:v>
      </x:c>
      <x:c r="F50" s="15" t="n">
        <x:v>-0.06790713138490298</x:v>
      </x:c>
      <x:c r="G50" s="12" t="str">
        <x:v>Low Beta</x:v>
      </x:c>
      <x:c r="H50" s="12" t="str">
        <x:v>Low Bad Beta</x:v>
      </x:c>
      <x:c r="I50" s="12" t="str">
        <x:v>Low Beta / Low Bad Beta</x:v>
      </x:c>
      <x:c r="J50" s="15" t="n">
        <x:v>1</x:v>
      </x:c>
      <x:c r="K50" s="18" t="n">
        <x:v>46213</x:v>
      </x:c>
      <x:c r="L50" s="15" t="n">
        <x:v>156.86000061035156</x:v>
      </x:c>
      <x:c r="M50" s="19" t="n">
        <x:v>4875045354</x:v>
      </x:c>
      <x:c r="N50" s="12" t="str">
        <x:v>Nasdaq screener</x:v>
      </x:c>
      <x:c r="O50" s="12" t="str">
        <x:v>Consumer Discretionary</x:v>
      </x:c>
      <x:c r="P50" s="12" t="str">
        <x:v>Professional Services</x:v>
      </x:c>
      <x:c r="Q50" s="12" t="n">
        <x:v>8742</x:v>
      </x:c>
      <x:c r="R50" s="12" t="str">
        <x:v>Services-Management Consulting Services</x:v>
      </x:c>
      <x:c r="S50" s="18" t="n">
        <x:v>46112</x:v>
      </x:c>
      <x:c r="T50" s="18" t="n">
        <x:v>46022</x:v>
      </x:c>
      <x:c r="U50" s="15" t="n">
        <x:v>-0.0670537368790225</x:v>
      </x:c>
      <x:c r="V50" s="16" t="n">
        <x:v>0.4310344827586206</x:v>
      </x:c>
      <x:c r="W50" s="17" t="n">
        <x:v>0.15381740304580122</x:v>
      </x:c>
      <x:c r="X50" s="15" t="n">
        <x:v>-0.3051513430587569</x:v>
      </x:c>
      <x:c r="Y50" s="17" t="n">
        <x:v>0.06655314998903682</x:v>
      </x:c>
      <x:c r="Z50" s="15" t="n">
        <x:v>-0.3402650293653069</x:v>
      </x:c>
      <x:c r="AA50" s="17" t="n">
        <x:v>0.21052862295246494</x:v>
      </x:c>
      <x:c r="AB50" s="15" t="n">
        <x:v>0.4442551617869963</x:v>
      </x:c>
      <x:c r="AC50" s="13" t="b">
        <x:v>0</x:v>
      </x:c>
      <x:c r="AD50" s="15" t="n">
        <x:v>0.26613453356318273</x:v>
      </x:c>
      <x:c r="AE50" s="16" t="n">
        <x:v>0.43636363636363634</x:v>
      </x:c>
      <x:c r="AF50" s="15" t="n">
        <x:v>0.15999999999999992</x:v>
      </x:c>
      <x:c r="AG50" s="12" t="n">
        <x:v>8</x:v>
      </x:c>
      <x:c r="AH50" s="12" t="n">
        <x:v>64</x:v>
      </x:c>
      <x:c r="AI50" s="17" t="n">
        <x:v>-0.07470885430702989</x:v>
      </x:c>
      <x:c r="AJ50" s="16" t="n">
        <x:v>0.16521739130434782</x:v>
      </x:c>
      <x:c r="AK50" s="18" t="n">
        <x:v>46143</x:v>
      </x:c>
      <x:c r="AL50" s="18" t="n">
        <x:v>46143</x:v>
      </x:c>
      <x:c r="AM50" s="12" t="str">
        <x:v>2026-04-30 to 2026-05-01 to 2026-05-04</x:v>
      </x:c>
      <x:c r="AN50" s="12" t="str">
        <x:v>8-K Item 2.02 filing date</x:v>
      </x:c>
      <x:c r="AO50" s="12" t="str">
        <x:v>SUE + CAR3</x:v>
      </x:c>
      <x:c r="AP50" s="17" t="n">
        <x:v>0.05470267056719571</x:v>
      </x:c>
      <x:c r="AQ50" s="16" t="n">
        <x:v>0.6206896551724138</x:v>
      </x:c>
      <x:c r="AR50" s="17" t="n">
        <x:v>0.052506793560386636</x:v>
      </x:c>
      <x:c r="AS50" s="16" t="n">
        <x:v>0.55</x:v>
      </x:c>
      <x:c r="AT50" s="17" t="n">
        <x:v>0.35563381960692214</x:v>
      </x:c>
      <x:c r="AU50" s="16" t="n">
        <x:v>0.5258620689655172</x:v>
      </x:c>
      <x:c r="AV50" s="17" t="n">
        <x:v>0.778684531423944</x:v>
      </x:c>
      <x:c r="AW50" s="16" t="n">
        <x:v>0.7913043478260869</x:v>
      </x:c>
      <x:c r="AX50" s="17" t="n">
        <x:v>-0.02955435758709757</x:v>
      </x:c>
      <x:c r="AY50" s="16" t="n">
        <x:v>0.9568965517241379</x:v>
      </x:c>
      <x:c r="AZ50" s="17" t="n">
        <x:v>0.014489461376157378</x:v>
      </x:c>
      <x:c r="BA50" s="16" t="n">
        <x:v>0.65</x:v>
      </x:c>
      <x:c r="BB50" s="17" t="n">
        <x:v>0.10098141950537431</x:v>
      </x:c>
      <x:c r="BC50" s="16" t="n">
        <x:v>0.9137931034482759</x:v>
      </x:c>
      <x:c r="BD50" s="17" t="n">
        <x:v>0</x:v>
      </x:c>
      <x:c r="BE50" s="17" t="n">
        <x:v>0.17585251782254496</x:v>
      </x:c>
      <x:c r="BF50" s="17" t="n">
        <x:v>0.08268935695354995</x:v>
      </x:c>
      <x:c r="BG50" s="17" t="n">
        <x:v>0.17585251782254496</x:v>
      </x:c>
      <x:c r="BH50" s="12" t="str">
        <x:v>cash repurchases less issuance</x:v>
      </x:c>
      <x:c r="BI50" s="17" t="n">
        <x:v>-0.07487109831717065</x:v>
      </x:c>
      <x:c r="BJ50" s="19" t="n">
        <x:v>0</x:v>
      </x:c>
      <x:c r="BK50" s="19" t="n">
        <x:v>858681000</x:v>
      </x:c>
      <x:c r="BL50" s="19" t="n">
        <x:v>1392000</x:v>
      </x:c>
      <x:c r="BM50" s="19" t="n">
        <x:v>3873920000</x:v>
      </x:c>
      <x:c r="BN50" s="19" t="n">
        <x:v>266678000</x:v>
      </x:c>
      <x:c r="BO50" s="19" t="n">
        <x:v>307319000</x:v>
      </x:c>
      <x:c r="BP50" s="19" t="n">
        <x:v>51346000</x:v>
      </x:c>
      <x:c r="BQ50" s="19" t="n">
        <x:v>255973000</x:v>
      </x:c>
      <x:c r="BR50" s="19" t="n">
        <x:v>3490528000</x:v>
      </x:c>
      <x:c r="BS50" s="19" t="n">
        <x:v>3596830000</x:v>
      </x:c>
      <x:c r="BT50" s="19" t="n">
        <x:v>1733731000</x:v>
      </x:c>
      <x:c r="BU50" s="19" t="n">
        <x:v>265091000</x:v>
      </x:c>
      <x:c r="BV50" s="19" t="n">
        <x:v>365000000</x:v>
      </x:c>
      <x:c r="BW50" s="19" t="n">
        <x:v>0</x:v>
      </x:c>
      <x:c r="BX50" s="12" t="n">
        <x:v>30144043</x:v>
      </x:c>
      <x:c r="BY50" s="17" t="n">
        <x:v>-0.08268935695354995</x:v>
      </x:c>
      <x:c r="BZ50" s="12" t="n">
        <x:v>5</x:v>
      </x:c>
      <x:c r="CA50" s="12" t="str">
        <x:v>OK</x:v>
      </x:c>
      <x:c r="CB50" s="20" t="str">
        <x:v>https://query1.finance.yahoo.com/v8/finance/chart/FCN?period1=1704067200&amp;period2=1783728000&amp;interval=1d&amp;events=div%2Csplits</x:v>
      </x:c>
      <x:c r="CC50" s="20" t="str">
        <x:v>https://data.sec.gov/api/xbrl/companyfacts/CIK0000887936.json</x:v>
      </x:c>
      <x:c r="CD50" s="20" t="str">
        <x:v>https://data.sec.gov/submissions/CIK0000887936.json</x:v>
      </x:c>
      <x:c r="CE50" s="20" t="str">
        <x:v>https://api.nasdaq.com/api/screener/stocks?tableonly=true&amp;limit=25000&amp;download=true</x:v>
      </x:c>
    </x:row>
    <x:row r="51">
      <x:c r="A51" s="12" t="str">
        <x:v>INTU</x:v>
      </x:c>
      <x:c r="B51" s="12" t="str">
        <x:v>Intuit Inc.</x:v>
      </x:c>
      <x:c r="C51" s="12" t="str">
        <x:v>Long</x:v>
      </x:c>
      <x:c r="D51" s="14" t="n">
        <x:v>0.003783</x:v>
      </x:c>
      <x:c r="E51" s="15" t="n">
        <x:v>0.2809583383821748</x:v>
      </x:c>
      <x:c r="F51" s="15" t="n">
        <x:v>0.032968021737332494</x:v>
      </x:c>
      <x:c r="G51" s="12" t="str">
        <x:v>Low Beta</x:v>
      </x:c>
      <x:c r="H51" s="12" t="str">
        <x:v>Low Bad Beta</x:v>
      </x:c>
      <x:c r="I51" s="12" t="str">
        <x:v>Low Beta / Low Bad Beta</x:v>
      </x:c>
      <x:c r="J51" s="15" t="n">
        <x:v>1</x:v>
      </x:c>
      <x:c r="K51" s="18" t="n">
        <x:v>46213</x:v>
      </x:c>
      <x:c r="L51" s="15" t="n">
        <x:v>274.9599914550781</x:v>
      </x:c>
      <x:c r="M51" s="19" t="n">
        <x:v>77575093200</x:v>
      </x:c>
      <x:c r="N51" s="12" t="str">
        <x:v>Nasdaq screener</x:v>
      </x:c>
      <x:c r="O51" s="12" t="str">
        <x:v>Technology</x:v>
      </x:c>
      <x:c r="P51" s="12" t="str">
        <x:v>Computer Software: Prepackaged Software</x:v>
      </x:c>
      <x:c r="Q51" s="12" t="n">
        <x:v>7372</x:v>
      </x:c>
      <x:c r="R51" s="12" t="str">
        <x:v>Services-Prepackaged Software</x:v>
      </x:c>
      <x:c r="S51" s="18" t="n">
        <x:v>46142</x:v>
      </x:c>
      <x:c r="T51" s="18" t="n">
        <x:v>45869</x:v>
      </x:c>
      <x:c r="U51" s="15" t="n">
        <x:v>0.08622647597225848</x:v>
      </x:c>
      <x:c r="V51" s="16" t="n">
        <x:v>0.5862068965517241</x:v>
      </x:c>
      <x:c r="W51" s="17" t="n">
        <x:v>0.232572298325723</x:v>
      </x:c>
      <x:c r="X51" s="15" t="n">
        <x:v>0.1523854815810926</x:v>
      </x:c>
      <x:c r="Y51" s="17" t="n">
        <x:v>0.055984947170357506</x:v>
      </x:c>
      <x:c r="Z51" s="15" t="n">
        <x:v>-0.2349849955779325</x:v>
      </x:c>
      <x:c r="AA51" s="17" t="n">
        <x:v>0.3030441400304414</x:v>
      </x:c>
      <x:c r="AB51" s="15" t="n">
        <x:v>0.34127894191361535</x:v>
      </x:c>
      <x:c r="AC51" s="13" t="b">
        <x:v>0</x:v>
      </x:c>
      <x:c r="AD51" s="15" t="n">
        <x:v>1.4404470402450316</x:v>
      </x:c>
      <x:c r="AE51" s="16" t="n">
        <x:v>0.7545454545454545</x:v>
      </x:c>
      <x:c r="AF51" s="15" t="n">
        <x:v>1.0099999999999998</x:v>
      </x:c>
      <x:c r="AG51" s="12" t="n">
        <x:v>8</x:v>
      </x:c>
      <x:c r="AH51" s="12" t="n">
        <x:v>66</x:v>
      </x:c>
      <x:c r="AI51" s="17" t="n">
        <x:v>-0.25582310808640085</x:v>
      </x:c>
      <x:c r="AJ51" s="16" t="n">
        <x:v>0</x:v>
      </x:c>
      <x:c r="AK51" s="18" t="n">
        <x:v>46162</x:v>
      </x:c>
      <x:c r="AL51" s="18" t="n">
        <x:v>46162</x:v>
      </x:c>
      <x:c r="AM51" s="12" t="str">
        <x:v>2026-05-19 to 2026-05-20 to 2026-05-21</x:v>
      </x:c>
      <x:c r="AN51" s="12" t="str">
        <x:v>8-K Item 2.02 filing date</x:v>
      </x:c>
      <x:c r="AO51" s="12" t="str">
        <x:v>SUE + CAR3</x:v>
      </x:c>
      <x:c r="AP51" s="17" t="n">
        <x:v>0.059091131069372665</x:v>
      </x:c>
      <x:c r="AQ51" s="16" t="n">
        <x:v>0.6637931034482759</x:v>
      </x:c>
      <x:c r="AR51" s="17" t="n">
        <x:v>0.09996765301984839</x:v>
      </x:c>
      <x:c r="AS51" s="16" t="n">
        <x:v>0.84</x:v>
      </x:c>
      <x:c r="AT51" s="17" t="n">
        <x:v>0.25407639471582355</x:v>
      </x:c>
      <x:c r="AU51" s="16" t="n">
        <x:v>0.3706896551724138</x:v>
      </x:c>
      <x:c r="AV51" s="17" t="n">
        <x:v>0.2594091022398055</x:v>
      </x:c>
      <x:c r="AW51" s="16" t="n">
        <x:v>0.4434782608695652</x:v>
      </x:c>
      <x:c r="AX51" s="17" t="n">
        <x:v>0.15019295406448396</x:v>
      </x:c>
      <x:c r="AY51" s="16" t="n">
        <x:v>0.13793103448275867</x:v>
      </x:c>
      <x:c r="AZ51" s="17" t="n">
        <x:v>0.003850050658561297</x:v>
      </x:c>
      <x:c r="BA51" s="16" t="n">
        <x:v>0.84</x:v>
      </x:c>
      <x:c r="BB51" s="17" t="n">
        <x:v>0.048881668633303045</x:v>
      </x:c>
      <x:c r="BC51" s="16" t="n">
        <x:v>0.6810344827586207</x:v>
      </x:c>
      <x:c r="BD51" s="17" t="n">
        <x:v>0.015327084389503512</x:v>
      </x:c>
      <x:c r="BE51" s="17" t="n">
        <x:v>0.03271668644285947</x:v>
      </x:c>
      <x:c r="BF51" s="17" t="n">
        <x:v>0.0035211267605633756</x:v>
      </x:c>
      <x:c r="BG51" s="17" t="n">
        <x:v>0.03271668644285947</x:v>
      </x:c>
      <x:c r="BH51" s="12" t="str">
        <x:v>cash repurchases less issuance</x:v>
      </x:c>
      <x:c r="BI51" s="17" t="n">
        <x:v>0.0008378978009400574</x:v>
      </x:c>
      <x:c r="BJ51" s="19" t="n">
        <x:v>1189000000</x:v>
      </x:c>
      <x:c r="BK51" s="19" t="n">
        <x:v>2772000000</x:v>
      </x:c>
      <x:c r="BL51" s="19" t="n">
        <x:v>234000000</x:v>
      </x:c>
      <x:c r="BM51" s="19" t="n">
        <x:v>20925000000</x:v>
      </x:c>
      <x:c r="BN51" s="19" t="n">
        <x:v>4584000000</x:v>
      </x:c>
      <x:c r="BO51" s="19" t="n">
        <x:v>7888000000</x:v>
      </x:c>
      <x:c r="BP51" s="19" t="n">
        <x:v>133000000</x:v>
      </x:c>
      <x:c r="BQ51" s="19" t="n">
        <x:v>7755000000</x:v>
      </x:c>
      <x:c r="BR51" s="19" t="n">
        <x:v>36958000000</x:v>
      </x:c>
      <x:c r="BS51" s="19" t="n">
        <x:v>32132000000</x:v>
      </x:c>
      <x:c r="BT51" s="19" t="n">
        <x:v>19710000000</x:v>
      </x:c>
      <x:c r="BU51" s="19" t="n">
        <x:v>2884000000</x:v>
      </x:c>
      <x:c r="BV51" s="19" t="n">
        <x:v>5973000000</x:v>
      </x:c>
      <x:c r="BW51" s="19" t="n">
        <x:v>6038000000</x:v>
      </x:c>
      <x:c r="BX51" s="12" t="n">
        <x:v>273537000</x:v>
      </x:c>
      <x:c r="BY51" s="17" t="n">
        <x:v>-0.0035211267605633756</x:v>
      </x:c>
      <x:c r="BZ51" s="12" t="n">
        <x:v>5</x:v>
      </x:c>
      <x:c r="CA51" s="12" t="str">
        <x:v>OK</x:v>
      </x:c>
      <x:c r="CB51" s="20" t="str">
        <x:v>https://query1.finance.yahoo.com/v8/finance/chart/INTU?period1=1704067200&amp;period2=1783728000&amp;interval=1d&amp;events=div%2Csplits</x:v>
      </x:c>
      <x:c r="CC51" s="20" t="str">
        <x:v>https://data.sec.gov/api/xbrl/companyfacts/CIK0000896878.json</x:v>
      </x:c>
      <x:c r="CD51" s="20" t="str">
        <x:v>https://data.sec.gov/submissions/CIK0000896878.json</x:v>
      </x:c>
      <x:c r="CE51" s="20" t="str">
        <x:v>https://api.nasdaq.com/api/screener/stocks?tableonly=true&amp;limit=25000&amp;download=true</x:v>
      </x:c>
    </x:row>
    <x:row r="52">
      <x:c r="A52" s="12" t="str">
        <x:v>TSCO</x:v>
      </x:c>
      <x:c r="B52" s="12" t="str">
        <x:v>Tractor Supply Co.</x:v>
      </x:c>
      <x:c r="C52" s="12" t="str">
        <x:v>Long</x:v>
      </x:c>
      <x:c r="D52" s="14" t="n">
        <x:v>0.003872</x:v>
      </x:c>
      <x:c r="E52" s="15" t="n">
        <x:v>0.28816253291639826</x:v>
      </x:c>
      <x:c r="F52" s="15" t="n">
        <x:v>0.08401604455484028</x:v>
      </x:c>
      <x:c r="G52" s="12" t="str">
        <x:v>Low Beta</x:v>
      </x:c>
      <x:c r="H52" s="12" t="str">
        <x:v>Low Bad Beta</x:v>
      </x:c>
      <x:c r="I52" s="12" t="str">
        <x:v>Low Beta / Low Bad Beta</x:v>
      </x:c>
      <x:c r="J52" s="15" t="n">
        <x:v>1</x:v>
      </x:c>
      <x:c r="K52" s="18" t="n">
        <x:v>46213</x:v>
      </x:c>
      <x:c r="L52" s="15" t="n">
        <x:v>30.43000030517578</x:v>
      </x:c>
      <x:c r="M52" s="19" t="n">
        <x:v>16250071352</x:v>
      </x:c>
      <x:c r="N52" s="12" t="str">
        <x:v>Nasdaq screener</x:v>
      </x:c>
      <x:c r="O52" s="12" t="str">
        <x:v>Consumer Discretionary</x:v>
      </x:c>
      <x:c r="P52" s="12" t="str">
        <x:v>RETAIL: Building Materials</x:v>
      </x:c>
      <x:c r="Q52" s="12" t="n">
        <x:v>5200</x:v>
      </x:c>
      <x:c r="R52" s="12" t="str">
        <x:v>Retail-Building Materials, Hardware, Garden Supply</x:v>
      </x:c>
      <x:c r="S52" s="18" t="n">
        <x:v>46109</x:v>
      </x:c>
      <x:c r="T52" s="18" t="n">
        <x:v>46018</x:v>
      </x:c>
      <x:c r="U52" s="15" t="n">
        <x:v>0.6058407264548091</x:v>
      </x:c>
      <x:c r="V52" s="16" t="n">
        <x:v>0.9310344827586206</x:v>
      </x:c>
      <x:c r="W52" s="17" t="n">
        <x:v>0.41887612138567765</x:v>
      </x:c>
      <x:c r="X52" s="15" t="n">
        <x:v>1.2347418140749766</x:v>
      </x:c>
      <x:c r="Y52" s="17" t="n">
        <x:v>0.035521296808299505</x:v>
      </x:c>
      <x:c r="Z52" s="15" t="n">
        <x:v>-0.03112689042096546</x:v>
      </x:c>
      <x:c r="AA52" s="17" t="n">
        <x:v>0.058110412107420586</x:v>
      </x:c>
      <x:c r="AB52" s="15" t="n">
        <x:v>0.6139072557104163</x:v>
      </x:c>
      <x:c r="AC52" s="13" t="b">
        <x:v>0</x:v>
      </x:c>
      <x:c r="AD52" s="15" t="n">
        <x:v>-0.007351320387004242</x:v>
      </x:c>
      <x:c r="AE52" s="16" t="n">
        <x:v>0.3</x:v>
      </x:c>
      <x:c r="AF52" s="15" t="n">
        <x:v>-0.030000000000000027</x:v>
      </x:c>
      <x:c r="AG52" s="12" t="n">
        <x:v>8</x:v>
      </x:c>
      <x:c r="AH52" s="12" t="n">
        <x:v>64</x:v>
      </x:c>
      <x:c r="AI52" s="17" t="n">
        <x:v>-0.1388341672263531</x:v>
      </x:c>
      <x:c r="AJ52" s="16" t="n">
        <x:v>0.02608695652173913</x:v>
      </x:c>
      <x:c r="AK52" s="18" t="n">
        <x:v>46133</x:v>
      </x:c>
      <x:c r="AL52" s="18" t="n">
        <x:v>46133</x:v>
      </x:c>
      <x:c r="AM52" s="12" t="str">
        <x:v>2026-04-20 to 2026-04-21 to 2026-04-22</x:v>
      </x:c>
      <x:c r="AN52" s="12" t="str">
        <x:v>8-K Item 2.02 filing date</x:v>
      </x:c>
      <x:c r="AO52" s="12" t="str">
        <x:v>SUE + CAR3</x:v>
      </x:c>
      <x:c r="AP52" s="17" t="n">
        <x:v>0.06653767707099481</x:v>
      </x:c>
      <x:c r="AQ52" s="16" t="n">
        <x:v>0.6982758620689655</x:v>
      </x:c>
      <x:c r="AR52" s="17" t="n">
        <x:v>0.034061635054413265</x:v>
      </x:c>
      <x:c r="AS52" s="16" t="n">
        <x:v>0.27</x:v>
      </x:c>
      <x:c r="AT52" s="17" t="n">
        <x:v>0.15884810251508857</x:v>
      </x:c>
      <x:c r="AU52" s="16" t="n">
        <x:v>0.21551724137931033</x:v>
      </x:c>
      <x:c r="AV52" s="17" t="n">
        <x:v>0.965640833916211</x:v>
      </x:c>
      <x:c r="AW52" s="16" t="n">
        <x:v>0.8695652173913043</x:v>
      </x:c>
      <x:c r="AX52" s="17" t="n">
        <x:v>0.11505743979007677</x:v>
      </x:c>
      <x:c r="AY52" s="16" t="n">
        <x:v>0.22413793103448276</x:v>
      </x:c>
      <x:c r="AZ52" s="17" t="n">
        <x:v>0.09220236649847602</x:v>
      </x:c>
      <x:c r="BA52" s="16" t="n">
        <x:v>0.08999999999999997</x:v>
      </x:c>
      <x:c r="BB52" s="17" t="n">
        <x:v>0.05224161676653295</x:v>
      </x:c>
      <x:c r="BC52" s="16" t="n">
        <x:v>0.7068965517241379</x:v>
      </x:c>
      <x:c r="BD52" s="17" t="n">
        <x:v>0.030010268228144087</x:v>
      </x:c>
      <x:c r="BE52" s="17" t="n">
        <x:v>0.022231348538388866</x:v>
      </x:c>
      <x:c r="BF52" s="17" t="n">
        <x:v>0.013849666081104162</x:v>
      </x:c>
      <x:c r="BG52" s="17" t="n">
        <x:v>0.022231348538388866</x:v>
      </x:c>
      <x:c r="BH52" s="12" t="str">
        <x:v>cash repurchases less issuance</x:v>
      </x:c>
      <x:c r="BI52" s="17" t="n">
        <x:v>0</x:v>
      </x:c>
      <x:c r="BJ52" s="19" t="n">
        <x:v>487669000</x:v>
      </x:c>
      <x:c r="BK52" s="19" t="n">
        <x:v>361261000</x:v>
      </x:c>
      <x:c r="BL52" s="19" t="n">
        <x:v>0</x:v>
      </x:c>
      <x:c r="BM52" s="19" t="n">
        <x:v>15649139000</x:v>
      </x:c>
      <x:c r="BN52" s="19" t="n">
        <x:v>1081242000</x:v>
      </x:c>
      <x:c r="BO52" s="19" t="n">
        <x:v>1509604000</x:v>
      </x:c>
      <x:c r="BP52" s="19" t="n">
        <x:v>956100000</x:v>
      </x:c>
      <x:c r="BQ52" s="19" t="n">
        <x:v>553504000</x:v>
      </x:c>
      <x:c r="BR52" s="19" t="n">
        <x:v>10933679000</x:v>
      </x:c>
      <x:c r="BS52" s="19" t="n">
        <x:v>9805485000</x:v>
      </x:c>
      <x:c r="BT52" s="19" t="n">
        <x:v>2581293000</x:v>
      </x:c>
      <x:c r="BU52" s="19" t="n">
        <x:v>194109000</x:v>
      </x:c>
      <x:c r="BV52" s="19" t="n">
        <x:v>150000000</x:v>
      </x:c>
      <x:c r="BW52" s="19" t="n">
        <x:v>150000000</x:v>
      </x:c>
      <x:c r="BX52" s="12" t="n">
        <x:v>524449616</x:v>
      </x:c>
      <x:c r="BY52" s="17" t="n">
        <x:v>-0.013849666081104162</x:v>
      </x:c>
      <x:c r="BZ52" s="12" t="n">
        <x:v>5</x:v>
      </x:c>
      <x:c r="CA52" s="12" t="str">
        <x:v>OK</x:v>
      </x:c>
      <x:c r="CB52" s="20" t="str">
        <x:v>https://query1.finance.yahoo.com/v8/finance/chart/TSCO?period1=1704067200&amp;period2=1783728000&amp;interval=1d&amp;events=div%2Csplits</x:v>
      </x:c>
      <x:c r="CC52" s="20" t="str">
        <x:v>https://data.sec.gov/api/xbrl/companyfacts/CIK0000916365.json</x:v>
      </x:c>
      <x:c r="CD52" s="20" t="str">
        <x:v>https://data.sec.gov/submissions/CIK0000916365.json</x:v>
      </x:c>
      <x:c r="CE52" s="20" t="str">
        <x:v>https://api.nasdaq.com/api/screener/stocks?tableonly=true&amp;limit=25000&amp;download=true</x:v>
      </x:c>
    </x:row>
    <x:row r="53">
      <x:c r="A53" s="12" t="str">
        <x:v>FE</x:v>
      </x:c>
      <x:c r="B53" s="12" t="str">
        <x:v>FirstEnergy Corp.</x:v>
      </x:c>
      <x:c r="C53" s="12" t="str">
        <x:v>Long</x:v>
      </x:c>
      <x:c r="D53" s="14" t="n">
        <x:v>0.004202</x:v>
      </x:c>
      <x:c r="E53" s="15" t="n">
        <x:v>0.0984156002552517</x:v>
      </x:c>
      <x:c r="F53" s="15" t="n">
        <x:v>0.05171476862294961</x:v>
      </x:c>
      <x:c r="G53" s="12" t="str">
        <x:v>Low Beta</x:v>
      </x:c>
      <x:c r="H53" s="12" t="str">
        <x:v>Low Bad Beta</x:v>
      </x:c>
      <x:c r="I53" s="12" t="str">
        <x:v>Low Beta / Low Bad Beta</x:v>
      </x:c>
      <x:c r="J53" s="15" t="n">
        <x:v>1</x:v>
      </x:c>
      <x:c r="K53" s="18" t="n">
        <x:v>46213</x:v>
      </x:c>
      <x:c r="L53" s="15" t="n">
        <x:v>47.91999816894531</x:v>
      </x:c>
      <x:c r="M53" s="19" t="n">
        <x:v>28387146187</x:v>
      </x:c>
      <x:c r="N53" s="12" t="str">
        <x:v>Nasdaq screener</x:v>
      </x:c>
      <x:c r="O53" s="12" t="str">
        <x:v>Utilities</x:v>
      </x:c>
      <x:c r="P53" s="12" t="str">
        <x:v>Electric Utilities: Central</x:v>
      </x:c>
      <x:c r="Q53" s="12" t="n">
        <x:v>4911</x:v>
      </x:c>
      <x:c r="R53" s="12" t="str">
        <x:v>Electric Services</x:v>
      </x:c>
      <x:c r="S53" s="18" t="n">
        <x:v>46112</x:v>
      </x:c>
      <x:c r="T53" s="18" t="n">
        <x:v>46022</x:v>
      </x:c>
      <x:c r="U53" s="15" t="n">
        <x:v>0.0872525799624766</x:v>
      </x:c>
      <x:c r="V53" s="16" t="n">
        <x:v>0.5948275862068966</x:v>
      </x:c>
      <x:c r="W53" s="17" t="n">
        <x:v>0.08513189448441247</x:v>
      </x:c>
      <x:c r="X53" s="15" t="n">
        <x:v>-0.7041887536762398</x:v>
      </x:c>
      <x:c r="Y53" s="17" t="n">
        <x:v>0.0006484603698076851</x:v>
      </x:c>
      <x:c r="Z53" s="15" t="n">
        <x:v>0.31627497737975196</x:v>
      </x:c>
      <x:c r="AA53" s="17" t="n">
        <x:v>0.02597921662669864</x:v>
      </x:c>
      <x:c r="AB53" s="15" t="n">
        <x:v>0.6496715161839176</x:v>
      </x:c>
      <x:c r="AC53" s="13" t="b">
        <x:v>0</x:v>
      </x:c>
      <x:c r="AD53" s="15" t="n">
        <x:v>0.2738717860329872</x:v>
      </x:c>
      <x:c r="AE53" s="16" t="n">
        <x:v>0.45454545454545453</x:v>
      </x:c>
      <x:c r="AF53" s="15" t="n">
        <x:v>0.07999999999999996</x:v>
      </x:c>
      <x:c r="AG53" s="12" t="n">
        <x:v>8</x:v>
      </x:c>
      <x:c r="AH53" s="12" t="n">
        <x:v>67</x:v>
      </x:c>
      <x:c r="AI53" s="17" t="n">
        <x:v>-0.004245559884983319</x:v>
      </x:c>
      <x:c r="AJ53" s="16" t="n">
        <x:v>0.6086956521739131</x:v>
      </x:c>
      <x:c r="AK53" s="18" t="n">
        <x:v>46140</x:v>
      </x:c>
      <x:c r="AL53" s="18" t="n">
        <x:v>46140</x:v>
      </x:c>
      <x:c r="AM53" s="12" t="str">
        <x:v>2026-04-27 to 2026-04-28 to 2026-04-29</x:v>
      </x:c>
      <x:c r="AN53" s="12" t="str">
        <x:v>8-K Item 2.02 filing date</x:v>
      </x:c>
      <x:c r="AO53" s="12" t="str">
        <x:v>SUE + CAR3</x:v>
      </x:c>
      <x:c r="AP53" s="17" t="n">
        <x:v>0.037516980149548136</x:v>
      </x:c>
      <x:c r="AQ53" s="16" t="n">
        <x:v>0.3017241379310345</x:v>
      </x:c>
      <x:c r="AR53" s="17" t="n">
        <x:v>-0.061436256695598074</x:v>
      </x:c>
      <x:c r="AS53" s="16" t="n">
        <x:v>0.04</x:v>
      </x:c>
      <x:c r="AT53" s="17" t="n">
        <x:v>0.44069241471441045</x:v>
      </x:c>
      <x:c r="AU53" s="16" t="n">
        <x:v>0.603448275862069</x:v>
      </x:c>
      <x:c r="AV53" s="17" t="n">
        <x:v>0.5418572949749649</x:v>
      </x:c>
      <x:c r="AW53" s="16" t="n">
        <x:v>0.7130434782608696</x:v>
      </x:c>
      <x:c r="AX53" s="17" t="n">
        <x:v>0.0741680116824226</x:v>
      </x:c>
      <x:c r="AY53" s="16" t="n">
        <x:v>0.43103448275862066</x:v>
      </x:c>
      <x:c r="AZ53" s="17" t="n">
        <x:v>0.09180346092563085</x:v>
      </x:c>
      <x:c r="BA53" s="16" t="n">
        <x:v>0.09999999999999998</x:v>
      </x:c>
      <x:c r="BB53" s="17" t="n">
        <x:v>0.04371696935736078</x:v>
      </x:c>
      <x:c r="BC53" s="16" t="n">
        <x:v>0.6120689655172413</x:v>
      </x:c>
      <x:c r="BD53" s="17" t="n">
        <x:v>0.03579084679055484</x:v>
      </x:c>
      <x:c r="BE53" s="17" t="n">
        <x:v>0</x:v>
      </x:c>
      <x:c r="BF53" s="17" t="n">
        <x:v>-0.0017331022530329143</x:v>
      </x:c>
      <x:c r="BG53" s="17" t="n">
        <x:v>0</x:v>
      </x:c>
      <x:c r="BH53" s="12" t="str">
        <x:v>cash repurchases less issuance</x:v>
      </x:c>
      <x:c r="BI53" s="17" t="n">
        <x:v>0.007926122566805943</x:v>
      </x:c>
      <x:c r="BJ53" s="19" t="n">
        <x:v>1016000000</x:v>
      </x:c>
      <x:c r="BK53" s="19" t="n">
        <x:v>0</x:v>
      </x:c>
      <x:c r="BL53" s="19" t="n">
        <x:v>0</x:v>
      </x:c>
      <x:c r="BM53" s="19" t="n">
        <x:v>15527000000</x:v>
      </x:c>
      <x:c r="BN53" s="19" t="n">
        <x:v>1065000000</x:v>
      </x:c>
      <x:c r="BO53" s="19" t="n">
        <x:v>3211000000</x:v>
      </x:c>
      <x:c r="BP53" s="19" t="n">
        <x:v>4955000000</x:v>
      </x:c>
      <x:c r="BQ53" s="19" t="n">
        <x:v>-1744000000</x:v>
      </x:c>
      <x:c r="BR53" s="19" t="n">
        <x:v>55904000000</x:v>
      </x:c>
      <x:c r="BS53" s="19" t="n">
        <x:v>52044000000</x:v>
      </x:c>
      <x:c r="BT53" s="19" t="n">
        <x:v>12510000000</x:v>
      </x:c>
      <x:c r="BU53" s="19" t="n">
        <x:v>57000000</x:v>
      </x:c>
      <x:c r="BV53" s="19" t="n">
        <x:v>325000000</x:v>
      </x:c>
      <x:c r="BW53" s="19" t="n">
        <x:v>550000000</x:v>
      </x:c>
      <x:c r="BX53" s="12" t="n">
        <x:v>578431175</x:v>
      </x:c>
      <x:c r="BY53" s="17" t="n">
        <x:v>0.0017331022530329143</x:v>
      </x:c>
      <x:c r="BZ53" s="12" t="n">
        <x:v>5</x:v>
      </x:c>
      <x:c r="CA53" s="12" t="str">
        <x:v>OK</x:v>
      </x:c>
      <x:c r="CB53" s="20" t="str">
        <x:v>https://query1.finance.yahoo.com/v8/finance/chart/FE?period1=1704067200&amp;period2=1783728000&amp;interval=1d&amp;events=div%2Csplits</x:v>
      </x:c>
      <x:c r="CC53" s="20" t="str">
        <x:v>https://data.sec.gov/api/xbrl/companyfacts/CIK0001031296.json</x:v>
      </x:c>
      <x:c r="CD53" s="20" t="str">
        <x:v>https://data.sec.gov/submissions/CIK0001031296.json</x:v>
      </x:c>
      <x:c r="CE53" s="20" t="str">
        <x:v>https://api.nasdaq.com/api/screener/stocks?tableonly=true&amp;limit=25000&amp;download=true</x:v>
      </x:c>
    </x:row>
    <x:row r="54">
      <x:c r="A54" s="12" t="str">
        <x:v>WTM</x:v>
      </x:c>
      <x:c r="B54" s="12" t="str">
        <x:v>White Mountains Insurance Group Ltd.</x:v>
      </x:c>
      <x:c r="C54" s="12" t="str">
        <x:v>Long</x:v>
      </x:c>
      <x:c r="D54" s="14" t="n">
        <x:v>0.003751</x:v>
      </x:c>
      <x:c r="E54" s="15" t="n">
        <x:v>0.3528792619549839</x:v>
      </x:c>
      <x:c r="F54" s="15" t="n">
        <x:v>0.13989213045537238</x:v>
      </x:c>
      <x:c r="G54" s="12" t="str">
        <x:v>Low Beta</x:v>
      </x:c>
      <x:c r="H54" s="12" t="str">
        <x:v>Low Bad Beta</x:v>
      </x:c>
      <x:c r="I54" s="12" t="str">
        <x:v>Low Beta / Low Bad Beta</x:v>
      </x:c>
      <x:c r="J54" s="15" t="n">
        <x:v>1</x:v>
      </x:c>
      <x:c r="K54" s="18" t="n">
        <x:v>46213</x:v>
      </x:c>
      <x:c r="L54" s="15" t="n">
        <x:v>2181.18994140625</x:v>
      </x:c>
      <x:c r="M54" s="19" t="n">
        <x:v>5363290802</x:v>
      </x:c>
      <x:c r="N54" s="12" t="str">
        <x:v>Nasdaq screener</x:v>
      </x:c>
      <x:c r="O54" s="12" t="str">
        <x:v>Finance</x:v>
      </x:c>
      <x:c r="P54" s="12" t="str">
        <x:v>Property-Casualty Insurers</x:v>
      </x:c>
      <x:c r="Q54" s="12" t="n">
        <x:v>6331</x:v>
      </x:c>
      <x:c r="R54" s="12" t="str">
        <x:v>Fire, Marine &amp; Casualty Insurance</x:v>
      </x:c>
      <x:c r="S54" s="18" t="n">
        <x:v>46112</x:v>
      </x:c>
      <x:c r="T54" s="18" t="n">
        <x:v>46022</x:v>
      </x:c>
      <x:c r="U54" s="15" t="n">
        <x:v>0.21371266349933282</x:v>
      </x:c>
      <x:c r="V54" s="16" t="n">
        <x:v>0.7327586206896551</x:v>
      </x:c>
      <x:c r="W54" s="17" t="n">
        <x:v>0.19266782172743024</x:v>
      </x:c>
      <x:c r="X54" s="15" t="n">
        <x:v>-0.07944477413575787</x:v>
      </x:c>
      <x:c r="Y54" s="17"/>
      <x:c r="Z54" s="15"/>
      <x:c r="AA54" s="17" t="n">
        <x:v>0.15427433921922806</x:v>
      </x:c>
      <x:c r="AB54" s="15" t="n">
        <x:v>0.5068701011344235</x:v>
      </x:c>
      <x:c r="AC54" s="13" t="b">
        <x:v>1</x:v>
      </x:c>
      <x:c r="AD54" s="15" t="n">
        <x:v>-0.1606183326453313</x:v>
      </x:c>
      <x:c r="AE54" s="16" t="n">
        <x:v>0.23636363636363636</x:v>
      </x:c>
      <x:c r="AF54" s="15" t="n">
        <x:v>-25.78</x:v>
      </x:c>
      <x:c r="AG54" s="12" t="n">
        <x:v>8</x:v>
      </x:c>
      <x:c r="AH54" s="12" t="n">
        <x:v>62</x:v>
      </x:c>
      <x:c r="AI54" s="17" t="n">
        <x:v>-0.05211918296770668</x:v>
      </x:c>
      <x:c r="AJ54" s="16" t="n">
        <x:v>0.25217391304347825</x:v>
      </x:c>
      <x:c r="AK54" s="18" t="n">
        <x:v>46148</x:v>
      </x:c>
      <x:c r="AL54" s="18" t="n">
        <x:v>46148</x:v>
      </x:c>
      <x:c r="AM54" s="12" t="str">
        <x:v>2026-05-05 to 2026-05-06 to 2026-05-07</x:v>
      </x:c>
      <x:c r="AN54" s="12" t="str">
        <x:v>8-K Item 2.02 filing date</x:v>
      </x:c>
      <x:c r="AO54" s="12" t="str">
        <x:v>SUE + CAR3</x:v>
      </x:c>
      <x:c r="AP54" s="17" t="n">
        <x:v>0.1948989973861201</x:v>
      </x:c>
      <x:c r="AQ54" s="16" t="n">
        <x:v>0.9741379310344828</x:v>
      </x:c>
      <x:c r="AR54" s="17"/>
      <x:c r="AS54" s="16"/>
      <x:c r="AT54" s="17" t="n">
        <x:v>1.0115804270722817</x:v>
      </x:c>
      <x:c r="AU54" s="16" t="n">
        <x:v>0.9741379310344828</x:v>
      </x:c>
      <x:c r="AV54" s="17" t="n">
        <x:v>0.5927141350877562</x:v>
      </x:c>
      <x:c r="AW54" s="16"/>
      <x:c r="AX54" s="17" t="n">
        <x:v>0.2398746675263963</x:v>
      </x:c>
      <x:c r="AY54" s="16" t="n">
        <x:v>0.06034482758620685</x:v>
      </x:c>
      <x:c r="AZ54" s="17"/>
      <x:c r="BA54" s="16"/>
      <x:c r="BB54" s="17" t="n">
        <x:v>0.038260092091870125</x:v>
      </x:c>
      <x:c r="BC54" s="16" t="n">
        <x:v>0.5689655172413793</x:v>
      </x:c>
      <x:c r="BD54" s="17" t="n">
        <x:v>0.00048477699531609324</x:v>
      </x:c>
      <x:c r="BE54" s="17" t="n">
        <x:v>0.03777531509655403</x:v>
      </x:c>
      <x:c r="BF54" s="17" t="n">
        <x:v>-0.0008293183792749126</x:v>
      </x:c>
      <x:c r="BG54" s="17" t="n">
        <x:v>0.03777531509655403</x:v>
      </x:c>
      <x:c r="BH54" s="12" t="str">
        <x:v>cash repurchases less issuance</x:v>
      </x:c>
      <x:c r="BI54" s="17"/>
      <x:c r="BJ54" s="19" t="n">
        <x:v>2600000</x:v>
      </x:c>
      <x:c r="BK54" s="19" t="n">
        <x:v>202600000</x:v>
      </x:c>
      <x:c r="BL54" s="19" t="n">
        <x:v>0</x:v>
      </x:c>
      <x:c r="BM54" s="19" t="n">
        <x:v>3675000000</x:v>
      </x:c>
      <x:c r="BN54" s="19" t="n">
        <x:v>1045300000</x:v>
      </x:c>
      <x:c r="BO54" s="19" t="n">
        <x:v>621200000</x:v>
      </x:c>
      <x:c r="BP54" s="19"/>
      <x:c r="BQ54" s="19"/>
      <x:c r="BR54" s="19" t="n">
        <x:v>12306500000</x:v>
      </x:c>
      <x:c r="BS54" s="19" t="n">
        <x:v>9925600000</x:v>
      </x:c>
      <x:c r="BT54" s="19" t="n">
        <x:v>5425400000</x:v>
      </x:c>
      <x:c r="BU54" s="19"/>
      <x:c r="BV54" s="19" t="n">
        <x:v>837000000</x:v>
      </x:c>
      <x:c r="BW54" s="19" t="n">
        <x:v>562500000</x:v>
      </x:c>
      <x:c r="BX54" s="12" t="n">
        <x:v>2476670</x:v>
      </x:c>
      <x:c r="BY54" s="17" t="n">
        <x:v>0.0008293183792749126</x:v>
      </x:c>
      <x:c r="BZ54" s="12" t="n">
        <x:v>5</x:v>
      </x:c>
      <x:c r="CA54" s="12" t="str">
        <x:v>OK</x:v>
      </x:c>
      <x:c r="CB54" s="20" t="str">
        <x:v>https://query1.finance.yahoo.com/v8/finance/chart/WTM?period1=1704067200&amp;period2=1783728000&amp;interval=1d&amp;events=div%2Csplits</x:v>
      </x:c>
      <x:c r="CC54" s="20" t="str">
        <x:v>https://data.sec.gov/api/xbrl/companyfacts/CIK0000776867.json</x:v>
      </x:c>
      <x:c r="CD54" s="20" t="str">
        <x:v>https://data.sec.gov/submissions/CIK0000776867.json</x:v>
      </x:c>
      <x:c r="CE54" s="20" t="str">
        <x:v>https://api.nasdaq.com/api/screener/stocks?tableonly=true&amp;limit=25000&amp;download=true</x:v>
      </x:c>
    </x:row>
    <x:row r="55">
      <x:c r="A55" s="12" t="str">
        <x:v>TW</x:v>
      </x:c>
      <x:c r="B55" s="12" t="str">
        <x:v>Tradeweb Markets Inc.</x:v>
      </x:c>
      <x:c r="C55" s="12" t="str">
        <x:v>Long</x:v>
      </x:c>
      <x:c r="D55" s="14" t="n">
        <x:v>0.003702</x:v>
      </x:c>
      <x:c r="E55" s="15" t="n">
        <x:v>-0.16368729402752658</x:v>
      </x:c>
      <x:c r="F55" s="15" t="n">
        <x:v>-0.19884644534204612</x:v>
      </x:c>
      <x:c r="G55" s="12" t="str">
        <x:v>Low Beta</x:v>
      </x:c>
      <x:c r="H55" s="12" t="str">
        <x:v>Low Bad Beta</x:v>
      </x:c>
      <x:c r="I55" s="12" t="str">
        <x:v>Low Beta / Low Bad Beta</x:v>
      </x:c>
      <x:c r="J55" s="15" t="n">
        <x:v>1</x:v>
      </x:c>
      <x:c r="K55" s="18" t="n">
        <x:v>46213</x:v>
      </x:c>
      <x:c r="L55" s="15" t="n">
        <x:v>97.86000061035156</x:v>
      </x:c>
      <x:c r="M55" s="19" t="n">
        <x:v>23630925223</x:v>
      </x:c>
      <x:c r="N55" s="12" t="str">
        <x:v>Nasdaq screener</x:v>
      </x:c>
      <x:c r="O55" s="12" t="str">
        <x:v>Finance</x:v>
      </x:c>
      <x:c r="P55" s="12" t="str">
        <x:v>Investment Bankers/Brokers/Service</x:v>
      </x:c>
      <x:c r="Q55" s="12" t="n">
        <x:v>6200</x:v>
      </x:c>
      <x:c r="R55" s="12" t="str">
        <x:v>Security &amp; Commodity Brokers, Dealers, Exchanges &amp; Services</x:v>
      </x:c>
      <x:c r="S55" s="18" t="n">
        <x:v>46112</x:v>
      </x:c>
      <x:c r="T55" s="18" t="n">
        <x:v>46022</x:v>
      </x:c>
      <x:c r="U55" s="15" t="n">
        <x:v>0.1281057387031418</x:v>
      </x:c>
      <x:c r="V55" s="16" t="n">
        <x:v>0.6379310344827587</x:v>
      </x:c>
      <x:c r="W55" s="17" t="n">
        <x:v>0.13363963455907604</x:v>
      </x:c>
      <x:c r="X55" s="15" t="n">
        <x:v>-0.42237671792492015</x:v>
      </x:c>
      <x:c r="Y55" s="17"/>
      <x:c r="Z55" s="15"/>
      <x:c r="AA55" s="17" t="n">
        <x:v>0</x:v>
      </x:c>
      <x:c r="AB55" s="15" t="n">
        <x:v>0.6785881953312037</x:v>
      </x:c>
      <x:c r="AC55" s="13" t="b">
        <x:v>1</x:v>
      </x:c>
      <x:c r="AD55" s="15" t="n">
        <x:v>1.022405357832953</x:v>
      </x:c>
      <x:c r="AE55" s="16" t="n">
        <x:v>0.6727272727272727</x:v>
      </x:c>
      <x:c r="AF55" s="15" t="n">
        <x:v>0.26</x:v>
      </x:c>
      <x:c r="AG55" s="12" t="n">
        <x:v>8</x:v>
      </x:c>
      <x:c r="AH55" s="12" t="n">
        <x:v>28</x:v>
      </x:c>
      <x:c r="AI55" s="17" t="n">
        <x:v>0.013541514733532267</x:v>
      </x:c>
      <x:c r="AJ55" s="16" t="n">
        <x:v>0.7565217391304347</x:v>
      </x:c>
      <x:c r="AK55" s="18" t="n">
        <x:v>46141</x:v>
      </x:c>
      <x:c r="AL55" s="18" t="n">
        <x:v>46141</x:v>
      </x:c>
      <x:c r="AM55" s="12" t="str">
        <x:v>2026-04-28 to 2026-04-29 to 2026-04-30</x:v>
      </x:c>
      <x:c r="AN55" s="12" t="str">
        <x:v>8-K Item 2.02 filing date</x:v>
      </x:c>
      <x:c r="AO55" s="12" t="str">
        <x:v>SUE + CAR3</x:v>
      </x:c>
      <x:c r="AP55" s="17" t="n">
        <x:v>0.03680321408463203</x:v>
      </x:c>
      <x:c r="AQ55" s="16" t="n">
        <x:v>0.28448275862068967</x:v>
      </x:c>
      <x:c r="AR55" s="17" t="n">
        <x:v>0.04920522531501559</x:v>
      </x:c>
      <x:c r="AS55" s="16"/>
      <x:c r="AT55" s="17" t="n">
        <x:v>0.27539146007139814</x:v>
      </x:c>
      <x:c r="AU55" s="16" t="n">
        <x:v>0.4051724137931034</x:v>
      </x:c>
      <x:c r="AV55" s="17" t="n">
        <x:v>0.10027370865725205</x:v>
      </x:c>
      <x:c r="AW55" s="16"/>
      <x:c r="AX55" s="17" t="n">
        <x:v>0.12679759047649064</x:v>
      </x:c>
      <x:c r="AY55" s="16" t="n">
        <x:v>0.18103448275862066</x:v>
      </x:c>
      <x:c r="AZ55" s="17" t="n">
        <x:v>0.0062756387655223496</x:v>
      </x:c>
      <x:c r="BA55" s="16"/>
      <x:c r="BB55" s="17" t="n">
        <x:v>0.008739268481921175</x:v>
      </x:c>
      <x:c r="BC55" s="16" t="n">
        <x:v>0.20689655172413793</x:v>
      </x:c>
      <x:c r="BD55" s="17" t="n">
        <x:v>0.004330934952152804</x:v>
      </x:c>
      <x:c r="BE55" s="17" t="n">
        <x:v>0.00440833352976837</x:v>
      </x:c>
      <x:c r="BF55" s="17" t="n">
        <x:v>0.00012340597532722875</x:v>
      </x:c>
      <x:c r="BG55" s="17" t="n">
        <x:v>0.00440833352976837</x:v>
      </x:c>
      <x:c r="BH55" s="12" t="str">
        <x:v>cash repurchases less issuance</x:v>
      </x:c>
      <x:c r="BI55" s="17"/>
      <x:c r="BJ55" s="19" t="n">
        <x:v>102344000</x:v>
      </x:c>
      <x:c r="BK55" s="19" t="n">
        <x:v>104173000</x:v>
      </x:c>
      <x:c r="BL55" s="19" t="n">
        <x:v>0</x:v>
      </x:c>
      <x:c r="BM55" s="19" t="n">
        <x:v>2160516000</x:v>
      </x:c>
      <x:c r="BN55" s="19" t="n">
        <x:v>869694000</x:v>
      </x:c>
      <x:c r="BO55" s="19" t="n">
        <x:v>1211268000</x:v>
      </x:c>
      <x:c r="BP55" s="19" t="n">
        <x:v>48503000</x:v>
      </x:c>
      <x:c r="BQ55" s="19" t="n">
        <x:v>1162765000</x:v>
      </x:c>
      <x:c r="BR55" s="19" t="n">
        <x:v>8189557000</x:v>
      </x:c>
      <x:c r="BS55" s="19" t="n">
        <x:v>7267993000</x:v>
      </x:c>
      <x:c r="BT55" s="19" t="n">
        <x:v>6507755000</x:v>
      </x:c>
      <x:c r="BU55" s="19" t="n">
        <x:v>2084739000</x:v>
      </x:c>
      <x:c r="BV55" s="19"/>
      <x:c r="BW55" s="19"/>
      <x:c r="BX55" s="12" t="n">
        <x:v>0</x:v>
      </x:c>
      <x:c r="BY55" s="17" t="n">
        <x:v>-0.00012340597532722875</x:v>
      </x:c>
      <x:c r="BZ55" s="12" t="n">
        <x:v>5</x:v>
      </x:c>
      <x:c r="CA55" s="12" t="str">
        <x:v>OK</x:v>
      </x:c>
      <x:c r="CB55" s="20" t="str">
        <x:v>https://query1.finance.yahoo.com/v8/finance/chart/TW?period1=1704067200&amp;period2=1783728000&amp;interval=1d&amp;events=div%2Csplits</x:v>
      </x:c>
      <x:c r="CC55" s="20" t="str">
        <x:v>https://data.sec.gov/api/xbrl/companyfacts/CIK0001758730.json</x:v>
      </x:c>
      <x:c r="CD55" s="20" t="str">
        <x:v>https://data.sec.gov/submissions/CIK0001758730.json</x:v>
      </x:c>
      <x:c r="CE55" s="20" t="str">
        <x:v>https://api.nasdaq.com/api/screener/stocks?tableonly=true&amp;limit=25000&amp;download=true</x:v>
      </x:c>
    </x:row>
    <x:row r="56">
      <x:c r="A56" s="12" t="str">
        <x:v>EA</x:v>
      </x:c>
      <x:c r="B56" s="12" t="str">
        <x:v>Electronic Arts Inc.</x:v>
      </x:c>
      <x:c r="C56" s="12" t="str">
        <x:v>Long</x:v>
      </x:c>
      <x:c r="D56" s="14" t="n">
        <x:v>0.004259</x:v>
      </x:c>
      <x:c r="E56" s="15" t="n">
        <x:v>0.28364013553360456</x:v>
      </x:c>
      <x:c r="F56" s="15" t="n">
        <x:v>0.06621724465537841</x:v>
      </x:c>
      <x:c r="G56" s="12" t="str">
        <x:v>Low Beta</x:v>
      </x:c>
      <x:c r="H56" s="12" t="str">
        <x:v>Low Bad Beta</x:v>
      </x:c>
      <x:c r="I56" s="12" t="str">
        <x:v>Low Beta / Low Bad Beta</x:v>
      </x:c>
      <x:c r="J56" s="15" t="n">
        <x:v>1</x:v>
      </x:c>
      <x:c r="K56" s="18" t="n">
        <x:v>46213</x:v>
      </x:c>
      <x:c r="L56" s="15" t="n">
        <x:v>206.41000366210938</x:v>
      </x:c>
      <x:c r="M56" s="19" t="n">
        <x:v>52005857782</x:v>
      </x:c>
      <x:c r="N56" s="12" t="str">
        <x:v>Nasdaq screener</x:v>
      </x:c>
      <x:c r="O56" s="12" t="str">
        <x:v>Consumer Discretionary</x:v>
      </x:c>
      <x:c r="P56" s="12" t="str">
        <x:v>Services-Misc. Amusement &amp; Recreation</x:v>
      </x:c>
      <x:c r="Q56" s="12" t="n">
        <x:v>7372</x:v>
      </x:c>
      <x:c r="R56" s="12" t="str">
        <x:v>Services-Prepackaged Software</x:v>
      </x:c>
      <x:c r="S56" s="18" t="n">
        <x:v>46112</x:v>
      </x:c>
      <x:c r="T56" s="18" t="n">
        <x:v>46112</x:v>
      </x:c>
      <x:c r="U56" s="15" t="n">
        <x:v>0.08968113170372634</x:v>
      </x:c>
      <x:c r="V56" s="16" t="n">
        <x:v>0.603448275862069</x:v>
      </x:c>
      <x:c r="W56" s="17" t="n">
        <x:v>0.13113542282672974</x:v>
      </x:c>
      <x:c r="X56" s="15" t="n">
        <x:v>-0.43692526224297334</x:v>
      </x:c>
      <x:c r="Y56" s="17" t="n">
        <x:v>0.02964822149888231</x:v>
      </x:c>
      <x:c r="Z56" s="15" t="n">
        <x:v>0.027380462022948616</x:v>
      </x:c>
      <x:c r="AA56" s="17" t="n">
        <x:v>0</x:v>
      </x:c>
      <x:c r="AB56" s="15" t="n">
        <x:v>0.6785881953312037</x:v>
      </x:c>
      <x:c r="AC56" s="13" t="b">
        <x:v>0</x:v>
      </x:c>
      <x:c r="AD56" s="15" t="n">
        <x:v>1.6138594044591394</x:v>
      </x:c>
      <x:c r="AE56" s="16" t="n">
        <x:v>0.8</x:v>
      </x:c>
      <x:c r="AF56" s="15" t="n">
        <x:v>0.8499999999999994</x:v>
      </x:c>
      <x:c r="AG56" s="12" t="n">
        <x:v>8</x:v>
      </x:c>
      <x:c r="AH56" s="12" t="n">
        <x:v>60</x:v>
      </x:c>
      <x:c r="AI56" s="17" t="n">
        <x:v>-0.024902348207135994</x:v>
      </x:c>
      <x:c r="AJ56" s="16" t="n">
        <x:v>0.4782608695652174</x:v>
      </x:c>
      <x:c r="AK56" s="18" t="n">
        <x:v>46147</x:v>
      </x:c>
      <x:c r="AL56" s="18" t="n">
        <x:v>46147</x:v>
      </x:c>
      <x:c r="AM56" s="12" t="str">
        <x:v>2026-05-04 to 2026-05-05 to 2026-05-06</x:v>
      </x:c>
      <x:c r="AN56" s="12" t="str">
        <x:v>8-K Item 2.02 filing date</x:v>
      </x:c>
      <x:c r="AO56" s="12" t="str">
        <x:v>SUE + CAR3</x:v>
      </x:c>
      <x:c r="AP56" s="17" t="n">
        <x:v>0.01705577098099522</x:v>
      </x:c>
      <x:c r="AQ56" s="16" t="n">
        <x:v>0.07758620689655173</x:v>
      </x:c>
      <x:c r="AR56" s="17"/>
      <x:c r="AS56" s="16"/>
      <x:c r="AT56" s="17" t="n">
        <x:v>0.13006227160704809</x:v>
      </x:c>
      <x:c r="AU56" s="16" t="n">
        <x:v>0.15517241379310345</x:v>
      </x:c>
      <x:c r="AV56" s="17" t="n">
        <x:v>0.14481061021180947</x:v>
      </x:c>
      <x:c r="AW56" s="16" t="n">
        <x:v>0.20869565217391303</x:v>
      </x:c>
      <x:c r="AX56" s="17" t="n">
        <x:v>0.06169146183699881</x:v>
      </x:c>
      <x:c r="AY56" s="16" t="n">
        <x:v>0.5258620689655172</x:v>
      </x:c>
      <x:c r="AZ56" s="17"/>
      <x:c r="BA56" s="16"/>
      <x:c r="BB56" s="17" t="n">
        <x:v>0.018459459009870813</x:v>
      </x:c>
      <x:c r="BC56" s="16" t="n">
        <x:v>0.3017241379310345</x:v>
      </x:c>
      <x:c r="BD56" s="17" t="n">
        <x:v>0.0036726631988388803</x:v>
      </x:c>
      <x:c r="BE56" s="17" t="n">
        <x:v>0.014786795811031933</x:v>
      </x:c>
      <x:c r="BF56" s="17" t="n">
        <x:v>0.04166666666666663</x:v>
      </x:c>
      <x:c r="BG56" s="17" t="n">
        <x:v>0.014786795811031933</x:v>
      </x:c>
      <x:c r="BH56" s="12" t="str">
        <x:v>cash repurchases less issuance</x:v>
      </x:c>
      <x:c r="BI56" s="17"/>
      <x:c r="BJ56" s="19" t="n">
        <x:v>191000000</x:v>
      </x:c>
      <x:c r="BK56" s="19" t="n">
        <x:v>769000000</x:v>
      </x:c>
      <x:c r="BL56" s="19" t="n">
        <x:v>0</x:v>
      </x:c>
      <x:c r="BM56" s="19" t="n">
        <x:v>7531000000</x:v>
      </x:c>
      <x:c r="BN56" s="19" t="n">
        <x:v>887000000</x:v>
      </x:c>
      <x:c r="BO56" s="19" t="n">
        <x:v>2553000000</x:v>
      </x:c>
      <x:c r="BP56" s="19"/>
      <x:c r="BQ56" s="19"/>
      <x:c r="BR56" s="19" t="n">
        <x:v>13131000000</x:v>
      </x:c>
      <x:c r="BS56" s="19" t="n">
        <x:v>12368000000</x:v>
      </x:c>
      <x:c r="BT56" s="19" t="n">
        <x:v>6764000000</x:v>
      </x:c>
      <x:c r="BU56" s="19"/>
      <x:c r="BV56" s="19"/>
      <x:c r="BW56" s="19"/>
      <x:c r="BX56" s="12" t="n">
        <x:v>250751484</x:v>
      </x:c>
      <x:c r="BY56" s="17" t="n">
        <x:v>-0.04166666666666663</x:v>
      </x:c>
      <x:c r="BZ56" s="12" t="n">
        <x:v>5</x:v>
      </x:c>
      <x:c r="CA56" s="12" t="str">
        <x:v>OK</x:v>
      </x:c>
      <x:c r="CB56" s="20" t="str">
        <x:v>https://query1.finance.yahoo.com/v8/finance/chart/EA?period1=1704067200&amp;period2=1783728000&amp;interval=1d&amp;events=div%2Csplits</x:v>
      </x:c>
      <x:c r="CC56" s="20" t="str">
        <x:v>https://data.sec.gov/api/xbrl/companyfacts/CIK0000712515.json</x:v>
      </x:c>
      <x:c r="CD56" s="20" t="str">
        <x:v>https://data.sec.gov/submissions/CIK0000712515.json</x:v>
      </x:c>
      <x:c r="CE56" s="20" t="str">
        <x:v>https://api.nasdaq.com/api/screener/stocks?tableonly=true&amp;limit=25000&amp;download=true</x:v>
      </x:c>
    </x:row>
    <x:row r="57">
      <x:c r="A57" s="12" t="str">
        <x:v>VRSK</x:v>
      </x:c>
      <x:c r="B57" s="12" t="str">
        <x:v>Verisk Analytics Inc.</x:v>
      </x:c>
      <x:c r="C57" s="12" t="str">
        <x:v>Long</x:v>
      </x:c>
      <x:c r="D57" s="14" t="n">
        <x:v>0.004463</x:v>
      </x:c>
      <x:c r="E57" s="15" t="n">
        <x:v>0.3024343096505785</x:v>
      </x:c>
      <x:c r="F57" s="15" t="n">
        <x:v>0.05602668777327396</x:v>
      </x:c>
      <x:c r="G57" s="12" t="str">
        <x:v>Low Beta</x:v>
      </x:c>
      <x:c r="H57" s="12" t="str">
        <x:v>Low Bad Beta</x:v>
      </x:c>
      <x:c r="I57" s="12" t="str">
        <x:v>Low Beta / Low Bad Beta</x:v>
      </x:c>
      <x:c r="J57" s="15" t="n">
        <x:v>1</x:v>
      </x:c>
      <x:c r="K57" s="18" t="n">
        <x:v>46213</x:v>
      </x:c>
      <x:c r="L57" s="15" t="n">
        <x:v>185.38999938964844</x:v>
      </x:c>
      <x:c r="M57" s="19" t="n">
        <x:v>25280664028</x:v>
      </x:c>
      <x:c r="N57" s="12" t="str">
        <x:v>Nasdaq screener</x:v>
      </x:c>
      <x:c r="O57" s="12" t="str">
        <x:v>Industrials</x:v>
      </x:c>
      <x:c r="P57" s="12" t="str">
        <x:v>Diversified Commercial Services</x:v>
      </x:c>
      <x:c r="Q57" s="12" t="n">
        <x:v>7374</x:v>
      </x:c>
      <x:c r="R57" s="12" t="str">
        <x:v>Services-Computer Processing &amp; Data Preparation</x:v>
      </x:c>
      <x:c r="S57" s="18" t="n">
        <x:v>46112</x:v>
      </x:c>
      <x:c r="T57" s="18" t="n">
        <x:v>46022</x:v>
      </x:c>
      <x:c r="U57" s="15" t="n">
        <x:v>0.24335206179539462</x:v>
      </x:c>
      <x:c r="V57" s="16" t="n">
        <x:v>0.793103448275862</x:v>
      </x:c>
      <x:c r="W57" s="17" t="n">
        <x:v>2.9456310679611653</x:v>
      </x:c>
      <x:c r="X57" s="15" t="n">
        <x:v>3.9922030756990665</x:v>
      </x:c>
      <x:c r="Y57" s="17" t="n">
        <x:v>0</x:v>
      </x:c>
      <x:c r="Z57" s="15" t="n">
        <x:v>0.32273491487474965</x:v>
      </x:c>
      <x:c r="AA57" s="17" t="n">
        <x:v>15.44822006472492</x:v>
      </x:c>
      <x:c r="AB57" s="15" t="n">
        <x:v>-3.5848818051876323</x:v>
      </x:c>
      <x:c r="AC57" s="13" t="b">
        <x:v>0</x:v>
      </x:c>
      <x:c r="AD57" s="15" t="n">
        <x:v>0.21062074147817791</x:v>
      </x:c>
      <x:c r="AE57" s="16" t="n">
        <x:v>0.41818181818181815</x:v>
      </x:c>
      <x:c r="AF57" s="15" t="n">
        <x:v>0.07000000000000006</x:v>
      </x:c>
      <x:c r="AG57" s="12" t="n">
        <x:v>8</x:v>
      </x:c>
      <x:c r="AH57" s="12" t="n">
        <x:v>52</x:v>
      </x:c>
      <x:c r="AI57" s="17" t="n">
        <x:v>0.05091997307612095</x:v>
      </x:c>
      <x:c r="AJ57" s="16" t="n">
        <x:v>0.8956521739130435</x:v>
      </x:c>
      <x:c r="AK57" s="18" t="n">
        <x:v>46141</x:v>
      </x:c>
      <x:c r="AL57" s="18" t="n">
        <x:v>46141</x:v>
      </x:c>
      <x:c r="AM57" s="12" t="str">
        <x:v>2026-04-28 to 2026-04-29 to 2026-04-30</x:v>
      </x:c>
      <x:c r="AN57" s="12" t="str">
        <x:v>8-K Item 2.02 filing date</x:v>
      </x:c>
      <x:c r="AO57" s="12" t="str">
        <x:v>SUE + CAR3</x:v>
      </x:c>
      <x:c r="AP57" s="17" t="n">
        <x:v>0.036003801126105454</x:v>
      </x:c>
      <x:c r="AQ57" s="16" t="n">
        <x:v>0.2672413793103448</x:v>
      </x:c>
      <x:c r="AR57" s="17" t="n">
        <x:v>0.04459139201214972</x:v>
      </x:c>
      <x:c r="AS57" s="16" t="n">
        <x:v>0.41</x:v>
      </x:c>
      <x:c r="AT57" s="17" t="n">
        <x:v>0.012222780210905938</x:v>
      </x:c>
      <x:c r="AU57" s="16" t="n">
        <x:v>0.07758620689655173</x:v>
      </x:c>
      <x:c r="AV57" s="17" t="n">
        <x:v>0.11128942471312907</x:v>
      </x:c>
      <x:c r="AW57" s="16" t="n">
        <x:v>0.1391304347826087</x:v>
      </x:c>
      <x:c r="AX57" s="17" t="n">
        <x:v>0.4527399348137031</x:v>
      </x:c>
      <x:c r="AY57" s="16" t="n">
        <x:v>0.025862068965517238</x:v>
      </x:c>
      <x:c r="AZ57" s="17" t="n">
        <x:v>0.04864151737060477</x:v>
      </x:c>
      <x:c r="BA57" s="16" t="n">
        <x:v>0.33999999999999997</x:v>
      </x:c>
      <x:c r="BB57" s="17" t="n">
        <x:v>-0.03417631748292145</x:v>
      </x:c>
      <x:c r="BC57" s="16" t="n">
        <x:v>0.08620689655172414</x:v>
      </x:c>
      <x:c r="BD57" s="17" t="n">
        <x:v>0.009932492268474048</x:v>
      </x:c>
      <x:c r="BE57" s="17" t="n">
        <x:v>0.022432163940468472</x:v>
      </x:c>
      <x:c r="BF57" s="17" t="n">
        <x:v>0.01931842845864784</x:v>
      </x:c>
      <x:c r="BG57" s="17" t="n">
        <x:v>0.022432163940468472</x:v>
      </x:c>
      <x:c r="BH57" s="12" t="str">
        <x:v>cash repurchases less issuance</x:v>
      </x:c>
      <x:c r="BI57" s="17" t="n">
        <x:v>-0.06654097369186397</x:v>
      </x:c>
      <x:c r="BJ57" s="19" t="n">
        <x:v>251100000</x:v>
      </x:c>
      <x:c r="BK57" s="19" t="n">
        <x:v>624000000</x:v>
      </x:c>
      <x:c r="BL57" s="19" t="n">
        <x:v>56900000</x:v>
      </x:c>
      <x:c r="BM57" s="19" t="n">
        <x:v>3102300000</x:v>
      </x:c>
      <x:c r="BN57" s="19" t="n">
        <x:v>910200000</x:v>
      </x:c>
      <x:c r="BO57" s="19" t="n">
        <x:v>1381700000</x:v>
      </x:c>
      <x:c r="BP57" s="19" t="n">
        <x:v>254400000</x:v>
      </x:c>
      <x:c r="BQ57" s="19" t="n">
        <x:v>1127300000</x:v>
      </x:c>
      <x:c r="BR57" s="19" t="n">
        <x:v>6195500000</x:v>
      </x:c>
      <x:c r="BS57" s="19" t="n">
        <x:v>4264700000</x:v>
      </x:c>
      <x:c r="BT57" s="19" t="n">
        <x:v>309000000</x:v>
      </x:c>
      <x:c r="BU57" s="19" t="n">
        <x:v>2178200000</x:v>
      </x:c>
      <x:c r="BV57" s="19" t="n">
        <x:v>4773500000</x:v>
      </x:c>
      <x:c r="BW57" s="19" t="n">
        <x:v>3091300000</x:v>
      </x:c>
      <x:c r="BX57" s="12" t="n">
        <x:v>131021840</x:v>
      </x:c>
      <x:c r="BY57" s="17" t="n">
        <x:v>-0.01931842845864784</x:v>
      </x:c>
      <x:c r="BZ57" s="12" t="n">
        <x:v>5</x:v>
      </x:c>
      <x:c r="CA57" s="12" t="str">
        <x:v>OK</x:v>
      </x:c>
      <x:c r="CB57" s="20" t="str">
        <x:v>https://query1.finance.yahoo.com/v8/finance/chart/VRSK?period1=1704067200&amp;period2=1783728000&amp;interval=1d&amp;events=div%2Csplits</x:v>
      </x:c>
      <x:c r="CC57" s="20" t="str">
        <x:v>https://data.sec.gov/api/xbrl/companyfacts/CIK0001442145.json</x:v>
      </x:c>
      <x:c r="CD57" s="20" t="str">
        <x:v>https://data.sec.gov/submissions/CIK0001442145.json</x:v>
      </x:c>
      <x:c r="CE57" s="20" t="str">
        <x:v>https://api.nasdaq.com/api/screener/stocks?tableonly=true&amp;limit=25000&amp;download=true</x:v>
      </x:c>
    </x:row>
    <x:row r="58">
      <x:c r="A58" s="12" t="str">
        <x:v>CNA</x:v>
      </x:c>
      <x:c r="B58" s="12" t="str">
        <x:v>CNA Financial Corp.</x:v>
      </x:c>
      <x:c r="C58" s="12" t="str">
        <x:v>Long</x:v>
      </x:c>
      <x:c r="D58" s="14" t="n">
        <x:v>0.004587</x:v>
      </x:c>
      <x:c r="E58" s="15" t="n">
        <x:v>0.12410604245515483</x:v>
      </x:c>
      <x:c r="F58" s="15" t="n">
        <x:v>-0.06834039730512419</x:v>
      </x:c>
      <x:c r="G58" s="12" t="str">
        <x:v>Low Beta</x:v>
      </x:c>
      <x:c r="H58" s="12" t="str">
        <x:v>Low Bad Beta</x:v>
      </x:c>
      <x:c r="I58" s="12" t="str">
        <x:v>Low Beta / Low Bad Beta</x:v>
      </x:c>
      <x:c r="J58" s="15" t="n">
        <x:v>1</x:v>
      </x:c>
      <x:c r="K58" s="18" t="n">
        <x:v>46213</x:v>
      </x:c>
      <x:c r="L58" s="15" t="n">
        <x:v>51.29999923706055</x:v>
      </x:c>
      <x:c r="M58" s="19" t="n">
        <x:v>13656426334</x:v>
      </x:c>
      <x:c r="N58" s="12" t="str">
        <x:v>Nasdaq screener</x:v>
      </x:c>
      <x:c r="O58" s="12" t="str">
        <x:v>Finance</x:v>
      </x:c>
      <x:c r="P58" s="12" t="str">
        <x:v>Property-Casualty Insurers</x:v>
      </x:c>
      <x:c r="Q58" s="12" t="n">
        <x:v>6331</x:v>
      </x:c>
      <x:c r="R58" s="12" t="str">
        <x:v>Fire, Marine &amp; Casualty Insurance</x:v>
      </x:c>
      <x:c r="S58" s="18" t="n">
        <x:v>46112</x:v>
      </x:c>
      <x:c r="T58" s="18" t="n">
        <x:v>46022</x:v>
      </x:c>
      <x:c r="U58" s="15" t="n">
        <x:v>-0.09867067127908846</x:v>
      </x:c>
      <x:c r="V58" s="16" t="n">
        <x:v>0.4224137931034483</x:v>
      </x:c>
      <x:c r="W58" s="17" t="n">
        <x:v>0.10455210394974615</x:v>
      </x:c>
      <x:c r="X58" s="15" t="n">
        <x:v>-0.5913645166427505</x:v>
      </x:c>
      <x:c r="Y58" s="17"/>
      <x:c r="Z58" s="15"/>
      <x:c r="AA58" s="17" t="n">
        <x:v>0.255657860769297</x:v>
      </x:c>
      <x:c r="AB58" s="15" t="n">
        <x:v>0.39402317408457355</x:v>
      </x:c>
      <x:c r="AC58" s="13" t="b">
        <x:v>1</x:v>
      </x:c>
      <x:c r="AD58" s="15" t="n">
        <x:v>-0.3451289081507021</x:v>
      </x:c>
      <x:c r="AE58" s="16" t="n">
        <x:v>0.17272727272727273</x:v>
      </x:c>
      <x:c r="AF58" s="15" t="n">
        <x:v>-0.22999999999999998</x:v>
      </x:c>
      <x:c r="AG58" s="12" t="n">
        <x:v>8</x:v>
      </x:c>
      <x:c r="AH58" s="12" t="n">
        <x:v>58</x:v>
      </x:c>
      <x:c r="AI58" s="17" t="n">
        <x:v>-0.08439635567649462</x:v>
      </x:c>
      <x:c r="AJ58" s="16" t="n">
        <x:v>0.14782608695652175</x:v>
      </x:c>
      <x:c r="AK58" s="18" t="n">
        <x:v>46146</x:v>
      </x:c>
      <x:c r="AL58" s="18" t="n">
        <x:v>46146</x:v>
      </x:c>
      <x:c r="AM58" s="12" t="str">
        <x:v>2026-05-01 to 2026-05-04 to 2026-05-05</x:v>
      </x:c>
      <x:c r="AN58" s="12" t="str">
        <x:v>8-K Item 2.02 filing date</x:v>
      </x:c>
      <x:c r="AO58" s="12" t="str">
        <x:v>SUE + CAR3</x:v>
      </x:c>
      <x:c r="AP58" s="17" t="n">
        <x:v>0.08896910291787322</x:v>
      </x:c>
      <x:c r="AQ58" s="16" t="n">
        <x:v>0.8189655172413793</x:v>
      </x:c>
      <x:c r="AR58" s="17" t="n">
        <x:v>0.1584601964726565</x:v>
      </x:c>
      <x:c r="AS58" s="16"/>
      <x:c r="AT58" s="17" t="n">
        <x:v>0.8509546872498803</x:v>
      </x:c>
      <x:c r="AU58" s="16" t="n">
        <x:v>0.9396551724137931</x:v>
      </x:c>
      <x:c r="AV58" s="17" t="n">
        <x:v>0.09346004419351168</x:v>
      </x:c>
      <x:c r="AW58" s="16"/>
      <x:c r="AX58" s="17" t="n">
        <x:v>0.04438127895085131</x:v>
      </x:c>
      <x:c r="AY58" s="16" t="n">
        <x:v>0.6896551724137931</x:v>
      </x:c>
      <x:c r="AZ58" s="17" t="n">
        <x:v>0.001191746055099864</x:v>
      </x:c>
      <x:c r="BA58" s="16"/>
      <x:c r="BB58" s="17" t="n">
        <x:v>0.07901042143900017</x:v>
      </x:c>
      <x:c r="BC58" s="16" t="n">
        <x:v>0.8706896551724138</x:v>
      </x:c>
      <x:c r="BD58" s="17" t="n">
        <x:v>0.07666720226750062</x:v>
      </x:c>
      <x:c r="BE58" s="17" t="n">
        <x:v>0.0023432191714995412</x:v>
      </x:c>
      <x:c r="BF58" s="17" t="n">
        <x:v>0.0011001100110010764</x:v>
      </x:c>
      <x:c r="BG58" s="17" t="n">
        <x:v>0.0023432191714995412</x:v>
      </x:c>
      <x:c r="BH58" s="12" t="str">
        <x:v>cash repurchases less issuance</x:v>
      </x:c>
      <x:c r="BI58" s="17"/>
      <x:c r="BJ58" s="19" t="n">
        <x:v>1047000000</x:v>
      </x:c>
      <x:c r="BK58" s="19" t="n">
        <x:v>34000000</x:v>
      </x:c>
      <x:c r="BL58" s="19" t="n">
        <x:v>2000000</x:v>
      </x:c>
      <x:c r="BM58" s="19" t="n">
        <x:v>1554000000</x:v>
      </x:c>
      <x:c r="BN58" s="19" t="n">
        <x:v>1215000000</x:v>
      </x:c>
      <x:c r="BO58" s="19" t="n">
        <x:v>2245000000</x:v>
      </x:c>
      <x:c r="BP58" s="19" t="n">
        <x:v>81000000</x:v>
      </x:c>
      <x:c r="BQ58" s="19" t="n">
        <x:v>2164000000</x:v>
      </x:c>
      <x:c r="BR58" s="19" t="n">
        <x:v>69443000000</x:v>
      </x:c>
      <x:c r="BS58" s="19" t="n">
        <x:v>66492000000</x:v>
      </x:c>
      <x:c r="BT58" s="19" t="n">
        <x:v>11621000000</x:v>
      </x:c>
      <x:c r="BU58" s="19"/>
      <x:c r="BV58" s="19" t="n">
        <x:v>2971000000</x:v>
      </x:c>
      <x:c r="BW58" s="19" t="n">
        <x:v>2973000000</x:v>
      </x:c>
      <x:c r="BX58" s="12" t="n">
        <x:v>270531425</x:v>
      </x:c>
      <x:c r="BY58" s="17" t="n">
        <x:v>-0.0011001100110010764</x:v>
      </x:c>
      <x:c r="BZ58" s="12" t="n">
        <x:v>5</x:v>
      </x:c>
      <x:c r="CA58" s="12" t="str">
        <x:v>OK</x:v>
      </x:c>
      <x:c r="CB58" s="20" t="str">
        <x:v>https://query1.finance.yahoo.com/v8/finance/chart/CNA?period1=1704067200&amp;period2=1783728000&amp;interval=1d&amp;events=div%2Csplits</x:v>
      </x:c>
      <x:c r="CC58" s="20" t="str">
        <x:v>https://data.sec.gov/api/xbrl/companyfacts/CIK0000021175.json</x:v>
      </x:c>
      <x:c r="CD58" s="20" t="str">
        <x:v>https://data.sec.gov/submissions/CIK0000021175.json</x:v>
      </x:c>
      <x:c r="CE58" s="20" t="str">
        <x:v>https://api.nasdaq.com/api/screener/stocks?tableonly=true&amp;limit=25000&amp;download=true</x:v>
      </x:c>
    </x:row>
    <x:row r="59">
      <x:c r="A59" s="12" t="str">
        <x:v>DLB</x:v>
      </x:c>
      <x:c r="B59" s="12" t="str">
        <x:v>Dolby Laboratories Inc.</x:v>
      </x:c>
      <x:c r="C59" s="12" t="str">
        <x:v>Long</x:v>
      </x:c>
      <x:c r="D59" s="14" t="n">
        <x:v>0.003682</x:v>
      </x:c>
      <x:c r="E59" s="15" t="n">
        <x:v>0.49078032651442527</x:v>
      </x:c>
      <x:c r="F59" s="15" t="n">
        <x:v>0.12315525009675633</x:v>
      </x:c>
      <x:c r="G59" s="12" t="str">
        <x:v>Low Beta</x:v>
      </x:c>
      <x:c r="H59" s="12" t="str">
        <x:v>Low Bad Beta</x:v>
      </x:c>
      <x:c r="I59" s="12" t="str">
        <x:v>Low Beta / Low Bad Beta</x:v>
      </x:c>
      <x:c r="J59" s="15" t="n">
        <x:v>1</x:v>
      </x:c>
      <x:c r="K59" s="18" t="n">
        <x:v>46213</x:v>
      </x:c>
      <x:c r="L59" s="15" t="n">
        <x:v>49.79999923706055</x:v>
      </x:c>
      <x:c r="M59" s="19" t="n">
        <x:v>4705783231</x:v>
      </x:c>
      <x:c r="N59" s="12" t="str">
        <x:v>Nasdaq screener</x:v>
      </x:c>
      <x:c r="O59" s="12" t="str">
        <x:v>Miscellaneous</x:v>
      </x:c>
      <x:c r="P59" s="12" t="str">
        <x:v>Multi-Sector Companies</x:v>
      </x:c>
      <x:c r="Q59" s="12" t="n">
        <x:v>6794</x:v>
      </x:c>
      <x:c r="R59" s="12" t="str">
        <x:v>Patent Owners &amp; Lessors</x:v>
      </x:c>
      <x:c r="S59" s="18" t="n">
        <x:v>46108</x:v>
      </x:c>
      <x:c r="T59" s="18" t="n">
        <x:v>45926</x:v>
      </x:c>
      <x:c r="U59" s="15" t="n">
        <x:v>0.009775103635944304</x:v>
      </x:c>
      <x:c r="V59" s="16" t="n">
        <x:v>0.4913793103448276</x:v>
      </x:c>
      <x:c r="W59" s="17" t="n">
        <x:v>0.09290360514566509</x:v>
      </x:c>
      <x:c r="X59" s="15" t="n">
        <x:v>-0.6590379880593151</x:v>
      </x:c>
      <x:c r="Y59" s="17"/>
      <x:c r="Z59" s="15"/>
      <x:c r="AA59" s="17" t="n">
        <x:v>0</x:v>
      </x:c>
      <x:c r="AB59" s="15" t="n">
        <x:v>0.6785881953312037</x:v>
      </x:c>
      <x:c r="AC59" s="13" t="b">
        <x:v>1</x:v>
      </x:c>
      <x:c r="AD59" s="15" t="n">
        <x:v>0.23499924674469322</x:v>
      </x:c>
      <x:c r="AE59" s="16" t="n">
        <x:v>0.42727272727272725</x:v>
      </x:c>
      <x:c r="AF59" s="15" t="n">
        <x:v>0.050000000000000044</x:v>
      </x:c>
      <x:c r="AG59" s="12" t="n">
        <x:v>8</x:v>
      </x:c>
      <x:c r="AH59" s="12" t="n">
        <x:v>63</x:v>
      </x:c>
      <x:c r="AI59" s="17" t="n">
        <x:v>-0.0985840601001059</x:v>
      </x:c>
      <x:c r="AJ59" s="16" t="n">
        <x:v>0.11304347826086956</x:v>
      </x:c>
      <x:c r="AK59" s="18" t="n">
        <x:v>46142</x:v>
      </x:c>
      <x:c r="AL59" s="18" t="n">
        <x:v>46142</x:v>
      </x:c>
      <x:c r="AM59" s="12" t="str">
        <x:v>2026-04-29 to 2026-04-30 to 2026-05-01</x:v>
      </x:c>
      <x:c r="AN59" s="12" t="str">
        <x:v>8-K Item 2.02 filing date</x:v>
      </x:c>
      <x:c r="AO59" s="12" t="str">
        <x:v>SUE + CAR3</x:v>
      </x:c>
      <x:c r="AP59" s="17" t="n">
        <x:v>0.05177565307193811</x:v>
      </x:c>
      <x:c r="AQ59" s="16" t="n">
        <x:v>0.5862068965517241</x:v>
      </x:c>
      <x:c r="AR59" s="17" t="n">
        <x:v>0.06406266187827299</x:v>
      </x:c>
      <x:c r="AS59" s="16"/>
      <x:c r="AT59" s="17" t="n">
        <x:v>0.557305101247236</x:v>
      </x:c>
      <x:c r="AU59" s="16" t="n">
        <x:v>0.7413793103448276</x:v>
      </x:c>
      <x:c r="AV59" s="17" t="n">
        <x:v>0.34089495996475033</x:v>
      </x:c>
      <x:c r="AW59" s="16"/>
      <x:c r="AX59" s="17" t="n">
        <x:v>0.0378889800664195</x:v>
      </x:c>
      <x:c r="AY59" s="16" t="n">
        <x:v>0.7327586206896552</x:v>
      </x:c>
      <x:c r="AZ59" s="17" t="n">
        <x:v>0.011474846978898298</x:v>
      </x:c>
      <x:c r="BA59" s="16"/>
      <x:c r="BB59" s="17" t="n">
        <x:v>0.04417840554797965</x:v>
      </x:c>
      <x:c r="BC59" s="16" t="n">
        <x:v>0.6379310344827587</x:v>
      </x:c>
      <x:c r="BD59" s="17" t="n">
        <x:v>0.026902854165914723</x:v>
      </x:c>
      <x:c r="BE59" s="17" t="n">
        <x:v>0.017275551382064925</x:v>
      </x:c>
      <x:c r="BF59" s="17" t="n">
        <x:v>-0.0015823272540456124</x:v>
      </x:c>
      <x:c r="BG59" s="17" t="n">
        <x:v>0.017275551382064925</x:v>
      </x:c>
      <x:c r="BH59" s="12" t="str">
        <x:v>cash repurchases less issuance</x:v>
      </x:c>
      <x:c r="BI59" s="17"/>
      <x:c r="BJ59" s="19" t="n">
        <x:v>126599000</x:v>
      </x:c>
      <x:c r="BK59" s="19" t="n">
        <x:v>124992000</x:v>
      </x:c>
      <x:c r="BL59" s="19" t="n">
        <x:v>43697000</x:v>
      </x:c>
      <x:c r="BM59" s="19" t="n">
        <x:v>1364906000</x:v>
      </x:c>
      <x:c r="BN59" s="19" t="n">
        <x:v>243645000</x:v>
      </x:c>
      <x:c r="BO59" s="19" t="n">
        <x:v>337827000</x:v>
      </x:c>
      <x:c r="BP59" s="19" t="n">
        <x:v>36362000</x:v>
      </x:c>
      <x:c r="BQ59" s="19" t="n">
        <x:v>301465000</x:v>
      </x:c>
      <x:c r="BR59" s="19" t="n">
        <x:v>3227760000</x:v>
      </x:c>
      <x:c r="BS59" s="19" t="n">
        <x:v>3109928000</x:v>
      </x:c>
      <x:c r="BT59" s="19" t="n">
        <x:v>2622557000</x:v>
      </x:c>
      <x:c r="BU59" s="19" t="n">
        <x:v>701893000</x:v>
      </x:c>
      <x:c r="BV59" s="19"/>
      <x:c r="BW59" s="19"/>
      <x:c r="BX59" s="12"/>
      <x:c r="BY59" s="17" t="n">
        <x:v>0.0015823272540456124</x:v>
      </x:c>
      <x:c r="BZ59" s="12" t="n">
        <x:v>5</x:v>
      </x:c>
      <x:c r="CA59" s="12" t="str">
        <x:v>OK</x:v>
      </x:c>
      <x:c r="CB59" s="20" t="str">
        <x:v>https://query1.finance.yahoo.com/v8/finance/chart/DLB?period1=1704067200&amp;period2=1783728000&amp;interval=1d&amp;events=div%2Csplits</x:v>
      </x:c>
      <x:c r="CC59" s="20" t="str">
        <x:v>https://data.sec.gov/api/xbrl/companyfacts/CIK0001308547.json</x:v>
      </x:c>
      <x:c r="CD59" s="20" t="str">
        <x:v>https://data.sec.gov/submissions/CIK0001308547.json</x:v>
      </x:c>
      <x:c r="CE59" s="20" t="str">
        <x:v>https://api.nasdaq.com/api/screener/stocks?tableonly=true&amp;limit=25000&amp;download=true</x:v>
      </x:c>
    </x:row>
    <x:row r="60">
      <x:c r="A60" s="12" t="str">
        <x:v>DTM</x:v>
      </x:c>
      <x:c r="B60" s="12" t="str">
        <x:v>DT Midstream Inc.</x:v>
      </x:c>
      <x:c r="C60" s="12" t="str">
        <x:v>Short</x:v>
      </x:c>
      <x:c r="D60" s="14" t="n">
        <x:v>-0.003495</x:v>
      </x:c>
      <x:c r="E60" s="15" t="n">
        <x:v>0.5194535769586267</x:v>
      </x:c>
      <x:c r="F60" s="15" t="n">
        <x:v>0.12189031175199418</x:v>
      </x:c>
      <x:c r="G60" s="12" t="str">
        <x:v>Low Beta</x:v>
      </x:c>
      <x:c r="H60" s="12" t="str">
        <x:v>Low Bad Beta</x:v>
      </x:c>
      <x:c r="I60" s="12" t="str">
        <x:v>Low Beta / Low Bad Beta</x:v>
      </x:c>
      <x:c r="J60" s="15" t="n">
        <x:v>1</x:v>
      </x:c>
      <x:c r="K60" s="18" t="n">
        <x:v>46213</x:v>
      </x:c>
      <x:c r="L60" s="15" t="n">
        <x:v>145.1699981689453</x:v>
      </x:c>
      <x:c r="M60" s="19" t="n">
        <x:v>14913443910</x:v>
      </x:c>
      <x:c r="N60" s="12" t="str">
        <x:v>Nasdaq screener</x:v>
      </x:c>
      <x:c r="O60" s="12" t="str">
        <x:v>Utilities</x:v>
      </x:c>
      <x:c r="P60" s="12" t="str">
        <x:v>Natural Gas Distribution</x:v>
      </x:c>
      <x:c r="Q60" s="12" t="n">
        <x:v>4922</x:v>
      </x:c>
      <x:c r="R60" s="12" t="str">
        <x:v>Natural Gas Transmission</x:v>
      </x:c>
      <x:c r="S60" s="18" t="n">
        <x:v>46112</x:v>
      </x:c>
      <x:c r="T60" s="18" t="n">
        <x:v>46022</x:v>
      </x:c>
      <x:c r="U60" s="15" t="n">
        <x:v>-0.17008412750125695</x:v>
      </x:c>
      <x:c r="V60" s="16" t="n">
        <x:v>0.3706896551724138</x:v>
      </x:c>
      <x:c r="W60" s="17" t="n">
        <x:v>0.09776182432432433</x:v>
      </x:c>
      <x:c r="X60" s="15" t="n">
        <x:v>-0.6308135307921506</x:v>
      </x:c>
      <x:c r="Y60" s="17" t="n">
        <x:v>0.009992505620784412</x:v>
      </x:c>
      <x:c r="Z60" s="15" t="n">
        <x:v>0.22318995463635602</x:v>
      </x:c>
      <x:c r="AA60" s="17" t="n">
        <x:v>0.7018581081081081</x:v>
      </x:c>
      <x:c r="AB60" s="15" t="n">
        <x:v>-0.10262880634797626</x:v>
      </x:c>
      <x:c r="AC60" s="13" t="b">
        <x:v>0</x:v>
      </x:c>
      <x:c r="AD60" s="15" t="n">
        <x:v>0.7971490989011796</x:v>
      </x:c>
      <x:c r="AE60" s="16" t="n">
        <x:v>0.6090909090909091</x:v>
      </x:c>
      <x:c r="AF60" s="15" t="n">
        <x:v>0.20999999999999996</x:v>
      </x:c>
      <x:c r="AG60" s="12" t="n">
        <x:v>8</x:v>
      </x:c>
      <x:c r="AH60" s="12" t="n">
        <x:v>20</x:v>
      </x:c>
      <x:c r="AI60" s="17" t="n">
        <x:v>0.05008258774987506</x:v>
      </x:c>
      <x:c r="AJ60" s="16" t="n">
        <x:v>0.8869565217391304</x:v>
      </x:c>
      <x:c r="AK60" s="18" t="n">
        <x:v>46142</x:v>
      </x:c>
      <x:c r="AL60" s="18" t="n">
        <x:v>46142</x:v>
      </x:c>
      <x:c r="AM60" s="12" t="str">
        <x:v>2026-04-29 to 2026-04-30 to 2026-05-01</x:v>
      </x:c>
      <x:c r="AN60" s="12" t="str">
        <x:v>8-K Item 2.02 filing date</x:v>
      </x:c>
      <x:c r="AO60" s="12" t="str">
        <x:v>SUE + CAR3</x:v>
      </x:c>
      <x:c r="AP60" s="17" t="n">
        <x:v>0.031045813615830337</x:v>
      </x:c>
      <x:c r="AQ60" s="16" t="n">
        <x:v>0.1724137931034483</x:v>
      </x:c>
      <x:c r="AR60" s="17" t="n">
        <x:v>0.03131402798832131</x:v>
      </x:c>
      <x:c r="AS60" s="16" t="n">
        <x:v>0.24</x:v>
      </x:c>
      <x:c r="AT60" s="17" t="n">
        <x:v>0.3175658170293142</x:v>
      </x:c>
      <x:c r="AU60" s="16" t="n">
        <x:v>0.47413793103448276</x:v>
      </x:c>
      <x:c r="AV60" s="17" t="n">
        <x:v>0.07017372541283352</x:v>
      </x:c>
      <x:c r="AW60" s="16" t="n">
        <x:v>0.043478260869565216</x:v>
      </x:c>
      <x:c r="AX60" s="17" t="n">
        <x:v>0.014594866633115267</x:v>
      </x:c>
      <x:c r="AY60" s="16" t="n">
        <x:v>0.8275862068965517</x:v>
      </x:c>
      <x:c r="AZ60" s="17" t="n">
        <x:v>0.0432675493379965</x:v>
      </x:c>
      <x:c r="BA60" s="16" t="n">
        <x:v>0.38</x:v>
      </x:c>
      <x:c r="BB60" s="17" t="n">
        <x:v>0.0234687575929603</x:v>
      </x:c>
      <x:c r="BC60" s="16" t="n">
        <x:v>0.3793103448275862</x:v>
      </x:c>
      <x:c r="BD60" s="17" t="n">
        <x:v>0.02172536417176896</x:v>
      </x:c>
      <x:c r="BE60" s="17" t="n">
        <x:v>0</x:v>
      </x:c>
      <x:c r="BF60" s="17" t="n">
        <x:v>-0.04166666666666674</x:v>
      </x:c>
      <x:c r="BG60" s="17" t="n">
        <x:v>0</x:v>
      </x:c>
      <x:c r="BH60" s="12" t="str">
        <x:v>cash repurchases less issuance</x:v>
      </x:c>
      <x:c r="BI60" s="17" t="n">
        <x:v>0.0017433934211913363</x:v>
      </x:c>
      <x:c r="BJ60" s="19" t="n">
        <x:v>324000000</x:v>
      </x:c>
      <x:c r="BK60" s="19" t="n">
        <x:v>0</x:v>
      </x:c>
      <x:c r="BL60" s="19" t="n">
        <x:v>0</x:v>
      </x:c>
      <x:c r="BM60" s="19" t="n">
        <x:v>1276000000</x:v>
      </x:c>
      <x:c r="BN60" s="19" t="n">
        <x:v>463000000</x:v>
      </x:c>
      <x:c r="BO60" s="19" t="n">
        <x:v>900000000</x:v>
      </x:c>
      <x:c r="BP60" s="19" t="n">
        <x:v>433000000</x:v>
      </x:c>
      <x:c r="BQ60" s="19" t="n">
        <x:v>467000000</x:v>
      </x:c>
      <x:c r="BR60" s="19" t="n">
        <x:v>10080000000</x:v>
      </x:c>
      <x:c r="BS60" s="19" t="n">
        <x:v>9935000000</x:v>
      </x:c>
      <x:c r="BT60" s="19" t="n">
        <x:v>4736000000</x:v>
      </x:c>
      <x:c r="BU60" s="19" t="n">
        <x:v>54000000</x:v>
      </x:c>
      <x:c r="BV60" s="19" t="n">
        <x:v>3324000000</x:v>
      </x:c>
      <x:c r="BW60" s="19" t="n">
        <x:v>3350000000</x:v>
      </x:c>
      <x:c r="BX60" s="12" t="n">
        <x:v>102014118</x:v>
      </x:c>
      <x:c r="BY60" s="17" t="n">
        <x:v>0.04166666666666674</x:v>
      </x:c>
      <x:c r="BZ60" s="12" t="n">
        <x:v>5</x:v>
      </x:c>
      <x:c r="CA60" s="12" t="str">
        <x:v>OK</x:v>
      </x:c>
      <x:c r="CB60" s="20" t="str">
        <x:v>https://query1.finance.yahoo.com/v8/finance/chart/DTM?period1=1704067200&amp;period2=1783728000&amp;interval=1d&amp;events=div%2Csplits</x:v>
      </x:c>
      <x:c r="CC60" s="20" t="str">
        <x:v>https://data.sec.gov/api/xbrl/companyfacts/CIK0001842022.json</x:v>
      </x:c>
      <x:c r="CD60" s="20" t="str">
        <x:v>https://data.sec.gov/submissions/CIK0001842022.json</x:v>
      </x:c>
      <x:c r="CE60" s="20" t="str">
        <x:v>https://api.nasdaq.com/api/screener/stocks?tableonly=true&amp;limit=25000&amp;download=true</x:v>
      </x:c>
    </x:row>
    <x:row r="61">
      <x:c r="A61" s="12" t="str">
        <x:v>VRSN</x:v>
      </x:c>
      <x:c r="B61" s="12" t="str">
        <x:v>VeriSign Inc.</x:v>
      </x:c>
      <x:c r="C61" s="12" t="str">
        <x:v>Long</x:v>
      </x:c>
      <x:c r="D61" s="14" t="n">
        <x:v>0.003716</x:v>
      </x:c>
      <x:c r="E61" s="15" t="n">
        <x:v>0.11493391432051168</x:v>
      </x:c>
      <x:c r="F61" s="15" t="n">
        <x:v>0.16665986925978252</x:v>
      </x:c>
      <x:c r="G61" s="12" t="str">
        <x:v>Low Beta</x:v>
      </x:c>
      <x:c r="H61" s="12" t="str">
        <x:v>Low Bad Beta</x:v>
      </x:c>
      <x:c r="I61" s="12" t="str">
        <x:v>Low Beta / Low Bad Beta</x:v>
      </x:c>
      <x:c r="J61" s="15" t="n">
        <x:v>1</x:v>
      </x:c>
      <x:c r="K61" s="18" t="n">
        <x:v>46213</x:v>
      </x:c>
      <x:c r="L61" s="15" t="n">
        <x:v>270.1099853515625</x:v>
      </x:c>
      <x:c r="M61" s="19" t="n">
        <x:v>24611860000</x:v>
      </x:c>
      <x:c r="N61" s="12" t="str">
        <x:v>Nasdaq screener</x:v>
      </x:c>
      <x:c r="O61" s="12" t="str">
        <x:v>Technology</x:v>
      </x:c>
      <x:c r="P61" s="12" t="str">
        <x:v>EDP Services</x:v>
      </x:c>
      <x:c r="Q61" s="12" t="n">
        <x:v>7371</x:v>
      </x:c>
      <x:c r="R61" s="12" t="str">
        <x:v>Services-Computer Programming Services</x:v>
      </x:c>
      <x:c r="S61" s="18" t="n">
        <x:v>41639</x:v>
      </x:c>
      <x:c r="T61" s="18" t="n">
        <x:v>46022</x:v>
      </x:c>
      <x:c r="U61" s="15" t="n">
        <x:v>-0.7074862824521533</x:v>
      </x:c>
      <x:c r="V61" s="16" t="n">
        <x:v>0.16379310344827586</x:v>
      </x:c>
      <x:c r="W61" s="17" t="n">
        <x:v>-0.39035372760189396</x:v>
      </x:c>
      <x:c r="X61" s="15" t="n">
        <x:v>-1.029601712582685</x:v>
      </x:c>
      <x:c r="Y61" s="17" t="n">
        <x:v>-0.21775728297467428</x:v>
      </x:c>
      <x:c r="Z61" s="15" t="n">
        <x:v>2.4920246704138576</x:v>
      </x:c>
      <x:c r="AA61" s="17" t="n">
        <x:v>0</x:v>
      </x:c>
      <x:c r="AB61" s="15" t="n">
        <x:v>-3.5848818051876323</x:v>
      </x:c>
      <x:c r="AC61" s="13" t="b">
        <x:v>0</x:v>
      </x:c>
      <x:c r="AD61" s="15" t="n">
        <x:v>3.176944122136661</x:v>
      </x:c>
      <x:c r="AE61" s="16" t="n">
        <x:v>0.9818181818181818</x:v>
      </x:c>
      <x:c r="AF61" s="15" t="n">
        <x:v>1.3800000000000001</x:v>
      </x:c>
      <x:c r="AG61" s="12" t="n">
        <x:v>8</x:v>
      </x:c>
      <x:c r="AH61" s="12" t="n">
        <x:v>19</x:v>
      </x:c>
      <x:c r="AI61" s="17" t="n">
        <x:v>-0.013517323145216809</x:v>
      </x:c>
      <x:c r="AJ61" s="16" t="n">
        <x:v>0.5391304347826087</x:v>
      </x:c>
      <x:c r="AK61" s="18" t="n">
        <x:v>46135</x:v>
      </x:c>
      <x:c r="AL61" s="18" t="n">
        <x:v>46135</x:v>
      </x:c>
      <x:c r="AM61" s="12" t="str">
        <x:v>2026-04-22 to 2026-04-23 to 2026-04-24</x:v>
      </x:c>
      <x:c r="AN61" s="12" t="str">
        <x:v>8-K Item 2.02 filing date</x:v>
      </x:c>
      <x:c r="AO61" s="12" t="str">
        <x:v>SUE + CAR3</x:v>
      </x:c>
      <x:c r="AP61" s="17" t="n">
        <x:v>0.03416645470923368</x:v>
      </x:c>
      <x:c r="AQ61" s="16" t="n">
        <x:v>0.2413793103448276</x:v>
      </x:c>
      <x:c r="AR61" s="17" t="n">
        <x:v>0.042581097080838265</x:v>
      </x:c>
      <x:c r="AS61" s="16" t="n">
        <x:v>0.36</x:v>
      </x:c>
      <x:c r="AT61" s="17" t="n">
        <x:v>-0.08752690775910475</x:v>
      </x:c>
      <x:c r="AU61" s="16" t="n">
        <x:v>0.008620689655172414</x:v>
      </x:c>
      <x:c r="AV61" s="17" t="n">
        <x:v>0.06925620351580565</x:v>
      </x:c>
      <x:c r="AW61" s="16" t="n">
        <x:v>0.034782608695652174</x:v>
      </x:c>
      <x:c r="AX61" s="17" t="n">
        <x:v>-0.0573053679345894</x:v>
      </x:c>
      <x:c r="AY61" s="16" t="n">
        <x:v>0.9913793103448276</x:v>
      </x:c>
      <x:c r="AZ61" s="17" t="n">
        <x:v>0.017713365539452495</x:v>
      </x:c>
      <x:c r="BA61" s="16" t="n">
        <x:v>0.6</x:v>
      </x:c>
      <x:c r="BB61" s="17" t="n">
        <x:v>0.044563880990709355</x:v>
      </x:c>
      <x:c r="BC61" s="16" t="n">
        <x:v>0.6551724137931034</x:v>
      </x:c>
      <x:c r="BD61" s="17" t="n">
        <x:v>0.008743751995988926</x:v>
      </x:c>
      <x:c r="BE61" s="17" t="n">
        <x:v>0.03582012899472043</x:v>
      </x:c>
      <x:c r="BF61" s="17" t="n">
        <x:v>0.044806517311609007</x:v>
      </x:c>
      <x:c r="BG61" s="17" t="n">
        <x:v>0.03582012899472043</x:v>
      </x:c>
      <x:c r="BH61" s="12" t="str">
        <x:v>cash repurchases less issuance</x:v>
      </x:c>
      <x:c r="BI61" s="17"/>
      <x:c r="BJ61" s="19" t="n">
        <x:v>215200000</x:v>
      </x:c>
      <x:c r="BK61" s="19" t="n">
        <x:v>881600000</x:v>
      </x:c>
      <x:c r="BL61" s="19" t="n">
        <x:v>0</x:v>
      </x:c>
      <x:c r="BM61" s="19" t="n">
        <x:v>1683200000</x:v>
      </x:c>
      <x:c r="BN61" s="19" t="n">
        <x:v>840900000</x:v>
      </x:c>
      <x:c r="BO61" s="19" t="n">
        <x:v>1072200000</x:v>
      </x:c>
      <x:c r="BP61" s="19" t="n">
        <x:v>24200000</x:v>
      </x:c>
      <x:c r="BQ61" s="19" t="n">
        <x:v>1048000000</x:v>
      </x:c>
      <x:c r="BR61" s="19" t="n">
        <x:v>1325900000</x:v>
      </x:c>
      <x:c r="BS61" s="19" t="n">
        <x:v>1406500000</x:v>
      </x:c>
      <x:c r="BT61" s="19" t="n">
        <x:v>-2154200000</x:v>
      </x:c>
      <x:c r="BU61" s="19" t="n">
        <x:v>307900000</x:v>
      </x:c>
      <x:c r="BV61" s="19"/>
      <x:c r="BW61" s="19"/>
      <x:c r="BX61" s="12" t="n">
        <x:v>91000000</x:v>
      </x:c>
      <x:c r="BY61" s="17" t="n">
        <x:v>-0.044806517311609007</x:v>
      </x:c>
      <x:c r="BZ61" s="12" t="n">
        <x:v>5</x:v>
      </x:c>
      <x:c r="CA61" s="12" t="str">
        <x:v>OK</x:v>
      </x:c>
      <x:c r="CB61" s="20" t="str">
        <x:v>https://query1.finance.yahoo.com/v8/finance/chart/VRSN?period1=1704067200&amp;period2=1783728000&amp;interval=1d&amp;events=div%2Csplits</x:v>
      </x:c>
      <x:c r="CC61" s="20" t="str">
        <x:v>https://data.sec.gov/api/xbrl/companyfacts/CIK0001014473.json</x:v>
      </x:c>
      <x:c r="CD61" s="20" t="str">
        <x:v>https://data.sec.gov/submissions/CIK0001014473.json</x:v>
      </x:c>
      <x:c r="CE61" s="20" t="str">
        <x:v>https://api.nasdaq.com/api/screener/stocks?tableonly=true&amp;limit=25000&amp;download=true</x:v>
      </x:c>
    </x:row>
    <x:row r="62">
      <x:c r="A62" s="12" t="str">
        <x:v>NOC</x:v>
      </x:c>
      <x:c r="B62" s="12" t="str">
        <x:v>Northrop Grumman Corp.</x:v>
      </x:c>
      <x:c r="C62" s="12" t="str">
        <x:v>Long</x:v>
      </x:c>
      <x:c r="D62" s="14" t="n">
        <x:v>0.003712</x:v>
      </x:c>
      <x:c r="E62" s="15" t="n">
        <x:v>-0.27778542862983985</x:v>
      </x:c>
      <x:c r="F62" s="15" t="n">
        <x:v>-0.21231979454560476</x:v>
      </x:c>
      <x:c r="G62" s="12" t="str">
        <x:v>Low Beta</x:v>
      </x:c>
      <x:c r="H62" s="12" t="str">
        <x:v>Low Bad Beta</x:v>
      </x:c>
      <x:c r="I62" s="12" t="str">
        <x:v>Low Beta / Low Bad Beta</x:v>
      </x:c>
      <x:c r="J62" s="15" t="n">
        <x:v>1</x:v>
      </x:c>
      <x:c r="K62" s="18" t="n">
        <x:v>46213</x:v>
      </x:c>
      <x:c r="L62" s="15" t="n">
        <x:v>539.6300048828125</x:v>
      </x:c>
      <x:c r="M62" s="19" t="n">
        <x:v>75313250649</x:v>
      </x:c>
      <x:c r="N62" s="12" t="str">
        <x:v>Nasdaq screener</x:v>
      </x:c>
      <x:c r="O62" s="12" t="str">
        <x:v>Industrials</x:v>
      </x:c>
      <x:c r="P62" s="12" t="str">
        <x:v>Industrial Machinery/Components</x:v>
      </x:c>
      <x:c r="Q62" s="12" t="n">
        <x:v>3812</x:v>
      </x:c>
      <x:c r="R62" s="12" t="str">
        <x:v>Search, Detection, Navigation, Guidance, Aeronautical Sys</x:v>
      </x:c>
      <x:c r="S62" s="18" t="n">
        <x:v>46112</x:v>
      </x:c>
      <x:c r="T62" s="18" t="n">
        <x:v>46022</x:v>
      </x:c>
      <x:c r="U62" s="15" t="n">
        <x:v>0.06654407071679704</x:v>
      </x:c>
      <x:c r="V62" s="16" t="n">
        <x:v>0.5517241379310345</x:v>
      </x:c>
      <x:c r="W62" s="17" t="n">
        <x:v>0.27443924673143816</x:v>
      </x:c>
      <x:c r="X62" s="15" t="n">
        <x:v>0.39561697294204917</x:v>
      </x:c>
      <x:c r="Y62" s="17" t="n">
        <x:v>0.015009529860228717</x:v>
      </x:c>
      <x:c r="Z62" s="15" t="n">
        <x:v>0.17321055033241972</x:v>
      </x:c>
      <x:c r="AA62" s="17" t="n">
        <x:v>0.9413458078445484</x:v>
      </x:c>
      <x:c r="AB62" s="15" t="n">
        <x:v>-0.3691953111240778</x:v>
      </x:c>
      <x:c r="AC62" s="13" t="b">
        <x:v>0</x:v>
      </x:c>
      <x:c r="AD62" s="15" t="n">
        <x:v>0.6484798053454828</x:v>
      </x:c>
      <x:c r="AE62" s="16" t="n">
        <x:v>0.5454545454545454</x:v>
      </x:c>
      <x:c r="AF62" s="15" t="n">
        <x:v>2.83</x:v>
      </x:c>
      <x:c r="AG62" s="12" t="n">
        <x:v>8</x:v>
      </x:c>
      <x:c r="AH62" s="12" t="n">
        <x:v>68</x:v>
      </x:c>
      <x:c r="AI62" s="17" t="n">
        <x:v>-0.11946929249863858</x:v>
      </x:c>
      <x:c r="AJ62" s="16" t="n">
        <x:v>0.08695652173913043</x:v>
      </x:c>
      <x:c r="AK62" s="18" t="n">
        <x:v>46133</x:v>
      </x:c>
      <x:c r="AL62" s="18" t="n">
        <x:v>46133</x:v>
      </x:c>
      <x:c r="AM62" s="12" t="str">
        <x:v>2026-04-20 to 2026-04-21 to 2026-04-22</x:v>
      </x:c>
      <x:c r="AN62" s="12" t="str">
        <x:v>8-K Item 2.02 filing date</x:v>
      </x:c>
      <x:c r="AO62" s="12" t="str">
        <x:v>SUE + CAR3</x:v>
      </x:c>
      <x:c r="AP62" s="17" t="n">
        <x:v>0.06075956037705245</x:v>
      </x:c>
      <x:c r="AQ62" s="16" t="n">
        <x:v>0.6724137931034483</x:v>
      </x:c>
      <x:c r="AR62" s="17" t="n">
        <x:v>0.04388338003631083</x:v>
      </x:c>
      <x:c r="AS62" s="16" t="n">
        <x:v>0.37</x:v>
      </x:c>
      <x:c r="AT62" s="17" t="n">
        <x:v>0.22139530369907617</x:v>
      </x:c>
      <x:c r="AU62" s="16" t="n">
        <x:v>0.3103448275862069</x:v>
      </x:c>
      <x:c r="AV62" s="17" t="n">
        <x:v>0.4891910189220181</x:v>
      </x:c>
      <x:c r="AW62" s="16" t="n">
        <x:v>0.6695652173913044</x:v>
      </x:c>
      <x:c r="AX62" s="17" t="n">
        <x:v>0.04088413460564433</x:v>
      </x:c>
      <x:c r="AY62" s="16" t="n">
        <x:v>0.6982758620689655</x:v>
      </x:c>
      <x:c r="AZ62" s="17" t="n">
        <x:v>0.02702112452350699</x:v>
      </x:c>
      <x:c r="BA62" s="16" t="n">
        <x:v>0.47</x:v>
      </x:c>
      <x:c r="BB62" s="17" t="n">
        <x:v>0.04396304729204997</x:v>
      </x:c>
      <x:c r="BC62" s="16" t="n">
        <x:v>0.6206896551724138</x:v>
      </x:c>
      <x:c r="BD62" s="17" t="n">
        <x:v>0.017168293611785145</x:v>
      </x:c>
      <x:c r="BE62" s="17" t="n">
        <x:v>0.019120141377394127</x:v>
      </x:c>
      <x:c r="BF62" s="17" t="n">
        <x:v>0.023761031907671426</x:v>
      </x:c>
      <x:c r="BG62" s="17" t="n">
        <x:v>0.019120141377394127</x:v>
      </x:c>
      <x:c r="BH62" s="12" t="str">
        <x:v>cash repurchases less issuance</x:v>
      </x:c>
      <x:c r="BI62" s="17" t="n">
        <x:v>0.007674612302870698</x:v>
      </x:c>
      <x:c r="BJ62" s="19" t="n">
        <x:v>1293000000</x:v>
      </x:c>
      <x:c r="BK62" s="19" t="n">
        <x:v>1624000000</x:v>
      </x:c>
      <x:c r="BL62" s="19" t="n">
        <x:v>184000000</x:v>
      </x:c>
      <x:c r="BM62" s="19" t="n">
        <x:v>42367000000</x:v>
      </x:c>
      <x:c r="BN62" s="19" t="n">
        <x:v>4576000000</x:v>
      </x:c>
      <x:c r="BO62" s="19" t="n">
        <x:v>4666000000</x:v>
      </x:c>
      <x:c r="BP62" s="19" t="n">
        <x:v>1361000000</x:v>
      </x:c>
      <x:c r="BQ62" s="19" t="n">
        <x:v>3305000000</x:v>
      </x:c>
      <x:c r="BR62" s="19" t="n">
        <x:v>51377000000</x:v>
      </x:c>
      <x:c r="BS62" s="19" t="n">
        <x:v>49359000000</x:v>
      </x:c>
      <x:c r="BT62" s="19" t="n">
        <x:v>16674000000</x:v>
      </x:c>
      <x:c r="BU62" s="19" t="n">
        <x:v>4403000000</x:v>
      </x:c>
      <x:c r="BV62" s="19" t="n">
        <x:v>15696000000</x:v>
      </x:c>
      <x:c r="BW62" s="19" t="n">
        <x:v>16274000000</x:v>
      </x:c>
      <x:c r="BX62" s="12" t="n">
        <x:v>142033476</x:v>
      </x:c>
      <x:c r="BY62" s="17" t="n">
        <x:v>-0.023761031907671426</x:v>
      </x:c>
      <x:c r="BZ62" s="12" t="n">
        <x:v>5</x:v>
      </x:c>
      <x:c r="CA62" s="12" t="str">
        <x:v>OK</x:v>
      </x:c>
      <x:c r="CB62" s="20" t="str">
        <x:v>https://query1.finance.yahoo.com/v8/finance/chart/NOC?period1=1704067200&amp;period2=1783728000&amp;interval=1d&amp;events=div%2Csplits</x:v>
      </x:c>
      <x:c r="CC62" s="20" t="str">
        <x:v>https://data.sec.gov/api/xbrl/companyfacts/CIK0001133421.json</x:v>
      </x:c>
      <x:c r="CD62" s="20" t="str">
        <x:v>https://data.sec.gov/submissions/CIK0001133421.json</x:v>
      </x:c>
      <x:c r="CE62" s="20" t="str">
        <x:v>https://api.nasdaq.com/api/screener/stocks?tableonly=true&amp;limit=25000&amp;download=true</x:v>
      </x:c>
    </x:row>
    <x:row r="63">
      <x:c r="A63" s="12" t="str">
        <x:v>DOW</x:v>
      </x:c>
      <x:c r="B63" s="12" t="str">
        <x:v>Dow Inc.</x:v>
      </x:c>
      <x:c r="C63" s="12" t="str">
        <x:v>Long</x:v>
      </x:c>
      <x:c r="D63" s="14" t="n">
        <x:v>0.003245</x:v>
      </x:c>
      <x:c r="E63" s="15" t="n">
        <x:v>-0.07560448730109182</x:v>
      </x:c>
      <x:c r="F63" s="15" t="n">
        <x:v>-0.1756854327282763</x:v>
      </x:c>
      <x:c r="G63" s="12" t="str">
        <x:v>Low Beta</x:v>
      </x:c>
      <x:c r="H63" s="12" t="str">
        <x:v>Low Bad Beta</x:v>
      </x:c>
      <x:c r="I63" s="12" t="str">
        <x:v>Low Beta / Low Bad Beta</x:v>
      </x:c>
      <x:c r="J63" s="15" t="n">
        <x:v>1</x:v>
      </x:c>
      <x:c r="K63" s="18" t="n">
        <x:v>46213</x:v>
      </x:c>
      <x:c r="L63" s="15" t="n">
        <x:v>29.030000686645508</x:v>
      </x:c>
      <x:c r="M63" s="19" t="n">
        <x:v>21153761205</x:v>
      </x:c>
      <x:c r="N63" s="12" t="str">
        <x:v>Nasdaq screener</x:v>
      </x:c>
      <x:c r="O63" s="12" t="str">
        <x:v>Industrials</x:v>
      </x:c>
      <x:c r="P63" s="12" t="str">
        <x:v>Major Chemicals</x:v>
      </x:c>
      <x:c r="Q63" s="12" t="n">
        <x:v>2821</x:v>
      </x:c>
      <x:c r="R63" s="12" t="str">
        <x:v>Plastic Materials, Synth Resins &amp; Nonvulcan Elastomers</x:v>
      </x:c>
      <x:c r="S63" s="18" t="n">
        <x:v>46112</x:v>
      </x:c>
      <x:c r="T63" s="18" t="n">
        <x:v>46022</x:v>
      </x:c>
      <x:c r="U63" s="15" t="n">
        <x:v>-0.17550675862574067</x:v>
      </x:c>
      <x:c r="V63" s="16" t="n">
        <x:v>0.3620689655172414</x:v>
      </x:c>
      <x:c r="W63" s="17" t="n">
        <x:v>-0.16679160419790104</x:v>
      </x:c>
      <x:c r="X63" s="15" t="n">
        <x:v>-1.029601712582685</x:v>
      </x:c>
      <x:c r="Y63" s="17"/>
      <x:c r="Z63" s="15"/>
      <x:c r="AA63" s="17" t="n">
        <x:v>0</x:v>
      </x:c>
      <x:c r="AB63" s="15" t="n">
        <x:v>0.6785881953312037</x:v>
      </x:c>
      <x:c r="AC63" s="13" t="b">
        <x:v>0</x:v>
      </x:c>
      <x:c r="AD63" s="15" t="n">
        <x:v>-0.35217429584183396</x:v>
      </x:c>
      <x:c r="AE63" s="16" t="n">
        <x:v>0.16363636363636364</x:v>
      </x:c>
      <x:c r="AF63" s="15" t="n">
        <x:v>-0.3</x:v>
      </x:c>
      <x:c r="AG63" s="12" t="n">
        <x:v>8</x:v>
      </x:c>
      <x:c r="AH63" s="12" t="n">
        <x:v>28</x:v>
      </x:c>
      <x:c r="AI63" s="17" t="n">
        <x:v>-0.0028954572126315137</x:v>
      </x:c>
      <x:c r="AJ63" s="16" t="n">
        <x:v>0.6260869565217392</x:v>
      </x:c>
      <x:c r="AK63" s="18" t="n">
        <x:v>46135</x:v>
      </x:c>
      <x:c r="AL63" s="18" t="n">
        <x:v>46135</x:v>
      </x:c>
      <x:c r="AM63" s="12" t="str">
        <x:v>2026-04-22 to 2026-04-23 to 2026-04-24</x:v>
      </x:c>
      <x:c r="AN63" s="12" t="str">
        <x:v>8-K Item 2.02 filing date</x:v>
      </x:c>
      <x:c r="AO63" s="12" t="str">
        <x:v>SUE + CAR3</x:v>
      </x:c>
      <x:c r="AP63" s="17" t="n">
        <x:v>-0.12621868868260205</x:v>
      </x:c>
      <x:c r="AQ63" s="16" t="n">
        <x:v>0.008620689655172414</x:v>
      </x:c>
      <x:c r="AR63" s="17" t="n">
        <x:v>-0.010967316769424598</x:v>
      </x:c>
      <x:c r="AS63" s="16" t="n">
        <x:v>0.13</x:v>
      </x:c>
      <x:c r="AT63" s="17" t="n">
        <x:v>0.7567448570902973</x:v>
      </x:c>
      <x:c r="AU63" s="16" t="n">
        <x:v>0.896551724137931</x:v>
      </x:c>
      <x:c r="AV63" s="17" t="n">
        <x:v>2.2685166518879853</x:v>
      </x:c>
      <x:c r="AW63" s="16" t="n">
        <x:v>0.9565217391304348</x:v>
      </x:c>
      <x:c r="AX63" s="17" t="n">
        <x:v>0.021391680625348908</x:v>
      </x:c>
      <x:c r="AY63" s="16" t="n">
        <x:v>0.7931034482758621</x:v>
      </x:c>
      <x:c r="AZ63" s="17" t="n">
        <x:v>0.03965472593871385</x:v>
      </x:c>
      <x:c r="BA63" s="16" t="n">
        <x:v>0.41000000000000003</x:v>
      </x:c>
      <x:c r="BB63" s="17" t="n">
        <x:v>0.06641844853897225</x:v>
      </x:c>
      <x:c r="BC63" s="16" t="n">
        <x:v>0.8103448275862069</x:v>
      </x:c>
      <x:c r="BD63" s="17" t="n">
        <x:v>0.07043664649328729</x:v>
      </x:c>
      <x:c r="BE63" s="17" t="n">
        <x:v>-0.0040181979543150465</x:v>
      </x:c>
      <x:c r="BF63" s="17" t="n">
        <x:v>-0.009218550560204264</x:v>
      </x:c>
      <x:c r="BG63" s="17" t="n">
        <x:v>-0.0040181979543150465</x:v>
      </x:c>
      <x:c r="BH63" s="12" t="str">
        <x:v>cash repurchases less issuance</x:v>
      </x:c>
      <x:c r="BI63" s="17"/>
      <x:c r="BJ63" s="19" t="n">
        <x:v>1490000000</x:v>
      </x:c>
      <x:c r="BK63" s="19" t="n">
        <x:v>0</x:v>
      </x:c>
      <x:c r="BL63" s="19" t="n">
        <x:v>85000000</x:v>
      </x:c>
      <x:c r="BM63" s="19" t="n">
        <x:v>39331000000</x:v>
      </x:c>
      <x:c r="BN63" s="19" t="n">
        <x:v>-2670000000</x:v>
      </x:c>
      <x:c r="BO63" s="19" t="n">
        <x:v>2065000000</x:v>
      </x:c>
      <x:c r="BP63" s="19" t="n">
        <x:v>2297000000</x:v>
      </x:c>
      <x:c r="BQ63" s="19" t="n">
        <x:v>-232000000</x:v>
      </x:c>
      <x:c r="BR63" s="19" t="n">
        <x:v>58538000000</x:v>
      </x:c>
      <x:c r="BS63" s="19" t="n">
        <x:v>57312000000</x:v>
      </x:c>
      <x:c r="BT63" s="19" t="n">
        <x:v>16008000000</x:v>
      </x:c>
      <x:c r="BU63" s="19" t="n">
        <x:v>3816000000</x:v>
      </x:c>
      <x:c r="BV63" s="19"/>
      <x:c r="BW63" s="19"/>
      <x:c r="BX63" s="12" t="n">
        <x:v>720741438</x:v>
      </x:c>
      <x:c r="BY63" s="17" t="n">
        <x:v>0.009218550560204264</x:v>
      </x:c>
      <x:c r="BZ63" s="12" t="n">
        <x:v>5</x:v>
      </x:c>
      <x:c r="CA63" s="12" t="str">
        <x:v>OK</x:v>
      </x:c>
      <x:c r="CB63" s="20" t="str">
        <x:v>https://query1.finance.yahoo.com/v8/finance/chart/DOW?period1=1704067200&amp;period2=1783728000&amp;interval=1d&amp;events=div%2Csplits</x:v>
      </x:c>
      <x:c r="CC63" s="20" t="str">
        <x:v>https://data.sec.gov/api/xbrl/companyfacts/CIK0001751788.json</x:v>
      </x:c>
      <x:c r="CD63" s="20" t="str">
        <x:v>https://data.sec.gov/submissions/CIK0001751788.json</x:v>
      </x:c>
      <x:c r="CE63" s="20" t="str">
        <x:v>https://api.nasdaq.com/api/screener/stocks?tableonly=true&amp;limit=25000&amp;download=true</x:v>
      </x:c>
    </x:row>
    <x:row r="64">
      <x:c r="A64" s="12" t="str">
        <x:v>SO</x:v>
      </x:c>
      <x:c r="B64" s="12" t="str">
        <x:v>The Southern Co.</x:v>
      </x:c>
      <x:c r="C64" s="12" t="str">
        <x:v>Long</x:v>
      </x:c>
      <x:c r="D64" s="14" t="n">
        <x:v>0.00411</x:v>
      </x:c>
      <x:c r="E64" s="15" t="n">
        <x:v>0.09161156049074157</x:v>
      </x:c>
      <x:c r="F64" s="15" t="n">
        <x:v>-0.022205912231701038</x:v>
      </x:c>
      <x:c r="G64" s="12" t="str">
        <x:v>Low Beta</x:v>
      </x:c>
      <x:c r="H64" s="12" t="str">
        <x:v>Low Bad Beta</x:v>
      </x:c>
      <x:c r="I64" s="12" t="str">
        <x:v>Low Beta / Low Bad Beta</x:v>
      </x:c>
      <x:c r="J64" s="15" t="n">
        <x:v>1</x:v>
      </x:c>
      <x:c r="K64" s="18" t="n">
        <x:v>46213</x:v>
      </x:c>
      <x:c r="L64" s="15" t="n">
        <x:v>95.61000061035156</x:v>
      </x:c>
      <x:c r="M64" s="19" t="n">
        <x:v>107856092072</x:v>
      </x:c>
      <x:c r="N64" s="12" t="str">
        <x:v>Nasdaq screener</x:v>
      </x:c>
      <x:c r="O64" s="12" t="str">
        <x:v>Utilities</x:v>
      </x:c>
      <x:c r="P64" s="12" t="str">
        <x:v>Electric Utilities: Central</x:v>
      </x:c>
      <x:c r="Q64" s="12" t="n">
        <x:v>4911</x:v>
      </x:c>
      <x:c r="R64" s="12" t="str">
        <x:v>Electric Services</x:v>
      </x:c>
      <x:c r="S64" s="18" t="n">
        <x:v>46112</x:v>
      </x:c>
      <x:c r="T64" s="18" t="n">
        <x:v>46022</x:v>
      </x:c>
      <x:c r="U64" s="15" t="n">
        <x:v>0.13909139365276585</x:v>
      </x:c>
      <x:c r="V64" s="16" t="n">
        <x:v>0.646551724137931</x:v>
      </x:c>
      <x:c r="W64" s="17" t="n">
        <x:v>0.12114060417592182</x:v>
      </x:c>
      <x:c r="X64" s="15" t="n">
        <x:v>-0.494991463360857</x:v>
      </x:c>
      <x:c r="Y64" s="17" t="n">
        <x:v>0.006699900299102692</x:v>
      </x:c>
      <x:c r="Z64" s="15" t="n">
        <x:v>0.2559907633890461</x:v>
      </x:c>
      <x:c r="AA64" s="17" t="n">
        <x:v>0.02004664593513994</x:v>
      </x:c>
      <x:c r="AB64" s="15" t="n">
        <x:v>0.6562748809301084</x:v>
      </x:c>
      <x:c r="AC64" s="13" t="b">
        <x:v>0</x:v>
      </x:c>
      <x:c r="AD64" s="15" t="n">
        <x:v>0</x:v>
      </x:c>
      <x:c r="AE64" s="16" t="n">
        <x:v>0.3090909090909091</x:v>
      </x:c>
      <x:c r="AF64" s="15" t="n">
        <x:v>0</x:v>
      </x:c>
      <x:c r="AG64" s="12" t="n">
        <x:v>8</x:v>
      </x:c>
      <x:c r="AH64" s="12" t="n">
        <x:v>61</x:v>
      </x:c>
      <x:c r="AI64" s="17" t="n">
        <x:v>0.01141229594619586</x:v>
      </x:c>
      <x:c r="AJ64" s="16" t="n">
        <x:v>0.7304347826086957</x:v>
      </x:c>
      <x:c r="AK64" s="18" t="n">
        <x:v>46142</x:v>
      </x:c>
      <x:c r="AL64" s="18" t="n">
        <x:v>46142</x:v>
      </x:c>
      <x:c r="AM64" s="12" t="str">
        <x:v>2026-04-29 to 2026-04-30 to 2026-05-01</x:v>
      </x:c>
      <x:c r="AN64" s="12" t="str">
        <x:v>8-K Item 2.02 filing date</x:v>
      </x:c>
      <x:c r="AO64" s="12" t="str">
        <x:v>SUE + CAR3</x:v>
      </x:c>
      <x:c r="AP64" s="17" t="n">
        <x:v>0.04045204972833109</x:v>
      </x:c>
      <x:c r="AQ64" s="16" t="n">
        <x:v>0.3879310344827586</x:v>
      </x:c>
      <x:c r="AR64" s="17" t="n">
        <x:v>-0.03213541241310922</x:v>
      </x:c>
      <x:c r="AS64" s="16" t="n">
        <x:v>0.1</x:v>
      </x:c>
      <x:c r="AT64" s="17" t="n">
        <x:v>0.333926432045742</x:v>
      </x:c>
      <x:c r="AU64" s="16" t="n">
        <x:v>0.5086206896551724</x:v>
      </x:c>
      <x:c r="AV64" s="17" t="n">
        <x:v>0.2821606151255187</x:v>
      </x:c>
      <x:c r="AW64" s="16" t="n">
        <x:v>0.5043478260869565</x:v>
      </x:c>
      <x:c r="AX64" s="17" t="n">
        <x:v>0.07259953161592514</x:v>
      </x:c>
      <x:c r="AY64" s="16" t="n">
        <x:v>0.4568965517241379</x:v>
      </x:c>
      <x:c r="AZ64" s="17" t="n">
        <x:v>0.0880292455965437</x:v>
      </x:c>
      <x:c r="BA64" s="16" t="n">
        <x:v>0.12</x:v>
      </x:c>
      <x:c r="BB64" s="17" t="n">
        <x:v>0.018617399920808804</x:v>
      </x:c>
      <x:c r="BC64" s="16" t="n">
        <x:v>0.3103448275862069</x:v>
      </x:c>
      <x:c r="BD64" s="17" t="n">
        <x:v>0.027953914721732344</x:v>
      </x:c>
      <x:c r="BE64" s="17" t="n">
        <x:v>-0.015047828720852934</x:v>
      </x:c>
      <x:c r="BF64" s="17" t="n">
        <x:v>-0.006352087114337657</x:v>
      </x:c>
      <x:c r="BG64" s="17" t="n">
        <x:v>-0.015047828720852934</x:v>
      </x:c>
      <x:c r="BH64" s="12" t="str">
        <x:v>cash repurchases less issuance</x:v>
      </x:c>
      <x:c r="BI64" s="17" t="n">
        <x:v>0.005711313919929395</x:v>
      </x:c>
      <x:c r="BJ64" s="19" t="n">
        <x:v>3015000000</x:v>
      </x:c>
      <x:c r="BK64" s="19" t="n">
        <x:v>0</x:v>
      </x:c>
      <x:c r="BL64" s="19" t="n">
        <x:v>1623000000</x:v>
      </x:c>
      <x:c r="BM64" s="19" t="n">
        <x:v>30174000000</x:v>
      </x:c>
      <x:c r="BN64" s="19" t="n">
        <x:v>4363000000</x:v>
      </x:c>
      <x:c r="BO64" s="19" t="n">
        <x:v>9778000000</x:v>
      </x:c>
      <x:c r="BP64" s="19" t="n">
        <x:v>13244000000</x:v>
      </x:c>
      <x:c r="BQ64" s="19" t="n">
        <x:v>-3466000000</x:v>
      </x:c>
      <x:c r="BR64" s="19" t="n">
        <x:v>155720000000</x:v>
      </x:c>
      <x:c r="BS64" s="19" t="n">
        <x:v>145180000000</x:v>
      </x:c>
      <x:c r="BT64" s="19" t="n">
        <x:v>36016000000</x:v>
      </x:c>
      <x:c r="BU64" s="19" t="n">
        <x:v>1639000000</x:v>
      </x:c>
      <x:c r="BV64" s="19" t="n">
        <x:v>722000000</x:v>
      </x:c>
      <x:c r="BW64" s="19" t="n">
        <x:v>1338000000</x:v>
      </x:c>
      <x:c r="BX64" s="12" t="n">
        <x:v>1127301098</x:v>
      </x:c>
      <x:c r="BY64" s="17" t="n">
        <x:v>0.006352087114337657</x:v>
      </x:c>
      <x:c r="BZ64" s="12" t="n">
        <x:v>5</x:v>
      </x:c>
      <x:c r="CA64" s="12" t="str">
        <x:v>OK</x:v>
      </x:c>
      <x:c r="CB64" s="20" t="str">
        <x:v>https://query1.finance.yahoo.com/v8/finance/chart/SO?period1=1704067200&amp;period2=1783728000&amp;interval=1d&amp;events=div%2Csplits</x:v>
      </x:c>
      <x:c r="CC64" s="20" t="str">
        <x:v>https://data.sec.gov/api/xbrl/companyfacts/CIK0000092122.json</x:v>
      </x:c>
      <x:c r="CD64" s="20" t="str">
        <x:v>https://data.sec.gov/submissions/CIK0000092122.json</x:v>
      </x:c>
      <x:c r="CE64" s="20" t="str">
        <x:v>https://api.nasdaq.com/api/screener/stocks?tableonly=true&amp;limit=25000&amp;download=true</x:v>
      </x:c>
    </x:row>
    <x:row r="65">
      <x:c r="A65" s="12" t="str">
        <x:v>COR</x:v>
      </x:c>
      <x:c r="B65" s="12" t="str">
        <x:v>Cencora Inc.</x:v>
      </x:c>
      <x:c r="C65" s="12" t="str">
        <x:v>Long</x:v>
      </x:c>
      <x:c r="D65" s="14" t="n">
        <x:v>0.004696</x:v>
      </x:c>
      <x:c r="E65" s="15" t="n">
        <x:v>0.24796735153613417</x:v>
      </x:c>
      <x:c r="F65" s="15" t="n">
        <x:v>0.13143462077868343</x:v>
      </x:c>
      <x:c r="G65" s="12" t="str">
        <x:v>Low Beta</x:v>
      </x:c>
      <x:c r="H65" s="12" t="str">
        <x:v>Low Bad Beta</x:v>
      </x:c>
      <x:c r="I65" s="12" t="str">
        <x:v>Low Beta / Low Bad Beta</x:v>
      </x:c>
      <x:c r="J65" s="15" t="n">
        <x:v>1</x:v>
      </x:c>
      <x:c r="K65" s="18" t="n">
        <x:v>46213</x:v>
      </x:c>
      <x:c r="L65" s="15" t="n">
        <x:v>303.44000244140625</x:v>
      </x:c>
      <x:c r="M65" s="19" t="n">
        <x:v>59314857557</x:v>
      </x:c>
      <x:c r="N65" s="12" t="str">
        <x:v>Nasdaq screener</x:v>
      </x:c>
      <x:c r="O65" s="12" t="str">
        <x:v>Health Care</x:v>
      </x:c>
      <x:c r="P65" s="12" t="str">
        <x:v>Other Pharmaceuticals</x:v>
      </x:c>
      <x:c r="Q65" s="12" t="n">
        <x:v>5122</x:v>
      </x:c>
      <x:c r="R65" s="12" t="str">
        <x:v>Wholesale-Drugs, Proprietaries &amp; Druggists' Sundries</x:v>
      </x:c>
      <x:c r="S65" s="18" t="n">
        <x:v>46112</x:v>
      </x:c>
      <x:c r="T65" s="18" t="n">
        <x:v>45930</x:v>
      </x:c>
      <x:c r="U65" s="15" t="n">
        <x:v>0.2036606352557171</x:v>
      </x:c>
      <x:c r="V65" s="16" t="n">
        <x:v>0.7198275862068966</x:v>
      </x:c>
      <x:c r="W65" s="17" t="n">
        <x:v>1.6900828172589337</x:v>
      </x:c>
      <x:c r="X65" s="15" t="n">
        <x:v>3.9922030756990665</x:v>
      </x:c>
      <x:c r="Y65" s="17"/>
      <x:c r="Z65" s="15"/>
      <x:c r="AA65" s="17" t="n">
        <x:v>5.080024190676642</x:v>
      </x:c>
      <x:c r="AB65" s="15" t="n">
        <x:v>-3.5848818051876323</x:v>
      </x:c>
      <x:c r="AC65" s="13" t="b">
        <x:v>0</x:v>
      </x:c>
      <x:c r="AD65" s="15" t="n">
        <x:v>2.257918304003779</x:v>
      </x:c>
      <x:c r="AE65" s="16" t="n">
        <x:v>0.9090909090909091</x:v>
      </x:c>
      <x:c r="AF65" s="15" t="n">
        <x:v>4.739999999999999</x:v>
      </x:c>
      <x:c r="AG65" s="12" t="n">
        <x:v>8</x:v>
      </x:c>
      <x:c r="AH65" s="12" t="n">
        <x:v>68</x:v>
      </x:c>
      <x:c r="AI65" s="17" t="n">
        <x:v>-0.17240991506197578</x:v>
      </x:c>
      <x:c r="AJ65" s="16" t="n">
        <x:v>0.008695652173913044</x:v>
      </x:c>
      <x:c r="AK65" s="18" t="n">
        <x:v>46148</x:v>
      </x:c>
      <x:c r="AL65" s="18" t="n">
        <x:v>46148</x:v>
      </x:c>
      <x:c r="AM65" s="12" t="str">
        <x:v>2026-05-05 to 2026-05-06 to 2026-05-07</x:v>
      </x:c>
      <x:c r="AN65" s="12" t="str">
        <x:v>8-K Item 2.02 filing date</x:v>
      </x:c>
      <x:c r="AO65" s="12" t="str">
        <x:v>SUE + CAR3</x:v>
      </x:c>
      <x:c r="AP65" s="17" t="n">
        <x:v>0.0429686103106762</x:v>
      </x:c>
      <x:c r="AQ65" s="16" t="n">
        <x:v>0.4224137931034483</x:v>
      </x:c>
      <x:c r="AR65" s="17" t="n">
        <x:v>0.026268494339764633</x:v>
      </x:c>
      <x:c r="AS65" s="16" t="n">
        <x:v>0.2</x:v>
      </x:c>
      <x:c r="AT65" s="17" t="n">
        <x:v>0.025423967317983253</x:v>
      </x:c>
      <x:c r="AU65" s="16" t="n">
        <x:v>0.08620689655172414</x:v>
      </x:c>
      <x:c r="AV65" s="17" t="n">
        <x:v>5.248845121202728</x:v>
      </x:c>
      <x:c r="AW65" s="16" t="n">
        <x:v>0.991304347826087</x:v>
      </x:c>
      <x:c r="AX65" s="17" t="n">
        <x:v>0.14140401310745387</x:v>
      </x:c>
      <x:c r="AY65" s="16" t="n">
        <x:v>0.15517241379310343</x:v>
      </x:c>
      <x:c r="AZ65" s="17" t="n">
        <x:v>0.009993918997968561</x:v>
      </x:c>
      <x:c r="BA65" s="16" t="n">
        <x:v>0.74</x:v>
      </x:c>
      <x:c r="BB65" s="17" t="n">
        <x:v>-0.04095564079649906</x:v>
      </x:c>
      <x:c r="BC65" s="16" t="n">
        <x:v>0.06896551724137931</x:v>
      </x:c>
      <x:c r="BD65" s="17" t="n">
        <x:v>0.0073688282835371694</x:v>
      </x:c>
      <x:c r="BE65" s="17" t="n">
        <x:v>0.006850526440352993</x:v>
      </x:c>
      <x:c r="BF65" s="17" t="n">
        <x:v>0.025314054043258594</x:v>
      </x:c>
      <x:c r="BG65" s="17" t="n">
        <x:v>0.006850526440352993</x:v>
      </x:c>
      <x:c r="BH65" s="12" t="str">
        <x:v>cash repurchases less issuance</x:v>
      </x:c>
      <x:c r="BI65" s="17" t="n">
        <x:v>-0.05517499552038922</x:v>
      </x:c>
      <x:c r="BJ65" s="19" t="n">
        <x:v>437081000</x:v>
      </x:c>
      <x:c r="BK65" s="19" t="n">
        <x:v>435471000</x:v>
      </x:c>
      <x:c r="BL65" s="19" t="n">
        <x:v>29133000</x:v>
      </x:c>
      <x:c r="BM65" s="19" t="n">
        <x:v>328680018000</x:v>
      </x:c>
      <x:c r="BN65" s="19" t="n">
        <x:v>2548677000</x:v>
      </x:c>
      <x:c r="BO65" s="19" t="n">
        <x:v>2276134000</x:v>
      </x:c>
      <x:c r="BP65" s="19" t="n">
        <x:v>718022000</x:v>
      </x:c>
      <x:c r="BQ65" s="19" t="n">
        <x:v>1558112000</x:v>
      </x:c>
      <x:c r="BR65" s="19" t="n">
        <x:v>76590112000</x:v>
      </x:c>
      <x:c r="BS65" s="19" t="n">
        <x:v>67101667000</x:v>
      </x:c>
      <x:c r="BT65" s="19" t="n">
        <x:v>1508019000</x:v>
      </x:c>
      <x:c r="BU65" s="19" t="n">
        <x:v>4356138000</x:v>
      </x:c>
      <x:c r="BV65" s="19" t="n">
        <x:v>7660773000</x:v>
      </x:c>
      <x:c r="BW65" s="19" t="n">
        <x:v>4388076000</x:v>
      </x:c>
      <x:c r="BX65" s="12" t="n">
        <x:v>194561060</x:v>
      </x:c>
      <x:c r="BY65" s="17" t="n">
        <x:v>-0.025314054043258594</x:v>
      </x:c>
      <x:c r="BZ65" s="12" t="n">
        <x:v>5</x:v>
      </x:c>
      <x:c r="CA65" s="12" t="str">
        <x:v>OK</x:v>
      </x:c>
      <x:c r="CB65" s="20" t="str">
        <x:v>https://query1.finance.yahoo.com/v8/finance/chart/COR?period1=1704067200&amp;period2=1783728000&amp;interval=1d&amp;events=div%2Csplits</x:v>
      </x:c>
      <x:c r="CC65" s="20" t="str">
        <x:v>https://data.sec.gov/api/xbrl/companyfacts/CIK0001140859.json</x:v>
      </x:c>
      <x:c r="CD65" s="20" t="str">
        <x:v>https://data.sec.gov/submissions/CIK0001140859.json</x:v>
      </x:c>
      <x:c r="CE65" s="20" t="str">
        <x:v>https://api.nasdaq.com/api/screener/stocks?tableonly=true&amp;limit=25000&amp;download=true</x:v>
      </x:c>
    </x:row>
    <x:row r="66">
      <x:c r="A66" s="12" t="str">
        <x:v>ACI</x:v>
      </x:c>
      <x:c r="B66" s="12" t="str">
        <x:v>Albertsons Cos. Inc.</x:v>
      </x:c>
      <x:c r="C66" s="12" t="str">
        <x:v>Long</x:v>
      </x:c>
      <x:c r="D66" s="14" t="n">
        <x:v>0.003629</x:v>
      </x:c>
      <x:c r="E66" s="15" t="n">
        <x:v>0.0244992852002389</x:v>
      </x:c>
      <x:c r="F66" s="15" t="n">
        <x:v>-0.01141846292111721</x:v>
      </x:c>
      <x:c r="G66" s="12" t="str">
        <x:v>Low Beta</x:v>
      </x:c>
      <x:c r="H66" s="12" t="str">
        <x:v>Low Bad Beta</x:v>
      </x:c>
      <x:c r="I66" s="12" t="str">
        <x:v>Low Beta / Low Bad Beta</x:v>
      </x:c>
      <x:c r="J66" s="15" t="n">
        <x:v>1</x:v>
      </x:c>
      <x:c r="K66" s="18" t="n">
        <x:v>46213</x:v>
      </x:c>
      <x:c r="L66" s="15" t="n">
        <x:v>14.760000228881836</x:v>
      </x:c>
      <x:c r="M66" s="19" t="n">
        <x:v>7316642987</x:v>
      </x:c>
      <x:c r="N66" s="12" t="str">
        <x:v>Nasdaq screener</x:v>
      </x:c>
      <x:c r="O66" s="12" t="str">
        <x:v>Consumer Staples</x:v>
      </x:c>
      <x:c r="P66" s="12" t="str">
        <x:v>Food Chains</x:v>
      </x:c>
      <x:c r="Q66" s="12" t="n">
        <x:v>5411</x:v>
      </x:c>
      <x:c r="R66" s="12" t="str">
        <x:v>Retail-Grocery Stores</x:v>
      </x:c>
      <x:c r="S66" s="18" t="n">
        <x:v>46081</x:v>
      </x:c>
      <x:c r="T66" s="18" t="n">
        <x:v>46081</x:v>
      </x:c>
      <x:c r="U66" s="15" t="n">
        <x:v>0.08382779909292865</x:v>
      </x:c>
      <x:c r="V66" s="16" t="n">
        <x:v>0.5689655172413793</x:v>
      </x:c>
      <x:c r="W66" s="17" t="n">
        <x:v>0.1183966888138547</x:v>
      </x:c>
      <x:c r="X66" s="15" t="n">
        <x:v>-0.5109325971453464</x:v>
      </x:c>
      <x:c r="Y66" s="17"/>
      <x:c r="Z66" s="15"/>
      <x:c r="AA66" s="17" t="n">
        <x:v>0</x:v>
      </x:c>
      <x:c r="AB66" s="15" t="n">
        <x:v>0.6785881953312037</x:v>
      </x:c>
      <x:c r="AC66" s="13" t="b">
        <x:v>0</x:v>
      </x:c>
      <x:c r="AD66" s="15" t="n">
        <x:v>-2.926790340102149</x:v>
      </x:c>
      <x:c r="AE66" s="16" t="n">
        <x:v>0</x:v>
      </x:c>
      <x:c r="AF66" s="15" t="n">
        <x:v>-1.1399999999999997</x:v>
      </x:c>
      <x:c r="AG66" s="12" t="n">
        <x:v>8</x:v>
      </x:c>
      <x:c r="AH66" s="12" t="n">
        <x:v>23</x:v>
      </x:c>
      <x:c r="AI66" s="17" t="n">
        <x:v>-0.06935436402495476</x:v>
      </x:c>
      <x:c r="AJ66" s="16" t="n">
        <x:v>0.1826086956521739</x:v>
      </x:c>
      <x:c r="AK66" s="18" t="n">
        <x:v>46126</x:v>
      </x:c>
      <x:c r="AL66" s="18" t="n">
        <x:v>46126</x:v>
      </x:c>
      <x:c r="AM66" s="12" t="str">
        <x:v>2026-04-13 to 2026-04-14 to 2026-04-15</x:v>
      </x:c>
      <x:c r="AN66" s="12" t="str">
        <x:v>8-K Item 2.02 filing date</x:v>
      </x:c>
      <x:c r="AO66" s="12" t="str">
        <x:v>SUE + CAR3</x:v>
      </x:c>
      <x:c r="AP66" s="17" t="n">
        <x:v>0.029713080218109596</x:v>
      </x:c>
      <x:c r="AQ66" s="16" t="n">
        <x:v>0.15517241379310345</x:v>
      </x:c>
      <x:c r="AR66" s="17" t="n">
        <x:v>0.07206857037262737</x:v>
      </x:c>
      <x:c r="AS66" s="16" t="n">
        <x:v>0.72</x:v>
      </x:c>
      <x:c r="AT66" s="17" t="n">
        <x:v>0.25096208784035345</x:v>
      </x:c>
      <x:c r="AU66" s="16" t="n">
        <x:v>0.3620689655172414</x:v>
      </x:c>
      <x:c r="AV66" s="17" t="n">
        <x:v>11.684742583305784</x:v>
      </x:c>
      <x:c r="AW66" s="16" t="n">
        <x:v>1</x:v>
      </x:c>
      <x:c r="AX66" s="17" t="n">
        <x:v>0.000381227177760346</x:v>
      </x:c>
      <x:c r="AY66" s="16" t="n">
        <x:v>0.8620689655172413</x:v>
      </x:c>
      <x:c r="AZ66" s="17" t="n">
        <x:v>0.06873486592329078</x:v>
      </x:c>
      <x:c r="BA66" s="16" t="n">
        <x:v>0.24</x:v>
      </x:c>
      <x:c r="BB66" s="17" t="n">
        <x:v>0.24613747085921606</x:v>
      </x:c>
      <x:c r="BC66" s="16" t="n">
        <x:v>0.9913793103448276</x:v>
      </x:c>
      <x:c r="BD66" s="17" t="n">
        <x:v>0.044104926340312635</x:v>
      </x:c>
      <x:c r="BE66" s="17" t="n">
        <x:v>0.20203254451890343</x:v>
      </x:c>
      <x:c r="BF66" s="17" t="n">
        <x:v>0.0626927029804728</x:v>
      </x:c>
      <x:c r="BG66" s="17" t="n">
        <x:v>0.20203254451890343</x:v>
      </x:c>
      <x:c r="BH66" s="12" t="str">
        <x:v>cash repurchases less issuance</x:v>
      </x:c>
      <x:c r="BI66" s="17"/>
      <x:c r="BJ66" s="19" t="n">
        <x:v>322700000</x:v>
      </x:c>
      <x:c r="BK66" s="19" t="n">
        <x:v>1478200000</x:v>
      </x:c>
      <x:c r="BL66" s="19" t="n">
        <x:v>0</x:v>
      </x:c>
      <x:c r="BM66" s="19" t="n">
        <x:v>83172500000</x:v>
      </x:c>
      <x:c r="BN66" s="19" t="n">
        <x:v>217400000</x:v>
      </x:c>
      <x:c r="BO66" s="19" t="n">
        <x:v>2366700000</x:v>
      </x:c>
      <x:c r="BP66" s="19" t="n">
        <x:v>1839400000</x:v>
      </x:c>
      <x:c r="BQ66" s="19" t="n">
        <x:v>527300000</x:v>
      </x:c>
      <x:c r="BR66" s="19" t="n">
        <x:v>26765900000</x:v>
      </x:c>
      <x:c r="BS66" s="19" t="n">
        <x:v>26755700000</x:v>
      </x:c>
      <x:c r="BT66" s="19" t="n">
        <x:v>1836200000</x:v>
      </x:c>
      <x:c r="BU66" s="19" t="n">
        <x:v>198600000</x:v>
      </x:c>
      <x:c r="BV66" s="19"/>
      <x:c r="BW66" s="19"/>
      <x:c r="BX66" s="12" t="n">
        <x:v>494534842</x:v>
      </x:c>
      <x:c r="BY66" s="17" t="n">
        <x:v>-0.0626927029804728</x:v>
      </x:c>
      <x:c r="BZ66" s="12" t="n">
        <x:v>5</x:v>
      </x:c>
      <x:c r="CA66" s="12" t="str">
        <x:v>OK</x:v>
      </x:c>
      <x:c r="CB66" s="20" t="str">
        <x:v>https://query1.finance.yahoo.com/v8/finance/chart/ACI?period1=1704067200&amp;period2=1783728000&amp;interval=1d&amp;events=div%2Csplits</x:v>
      </x:c>
      <x:c r="CC66" s="20" t="str">
        <x:v>https://data.sec.gov/api/xbrl/companyfacts/CIK0001646972.json</x:v>
      </x:c>
      <x:c r="CD66" s="20" t="str">
        <x:v>https://data.sec.gov/submissions/CIK0001646972.json</x:v>
      </x:c>
      <x:c r="CE66" s="20" t="str">
        <x:v>https://api.nasdaq.com/api/screener/stocks?tableonly=true&amp;limit=25000&amp;download=true</x:v>
      </x:c>
    </x:row>
    <x:row r="67">
      <x:c r="A67" s="12" t="str">
        <x:v>L</x:v>
      </x:c>
      <x:c r="B67" s="12" t="str">
        <x:v>Loews Corp.</x:v>
      </x:c>
      <x:c r="C67" s="12" t="str">
        <x:v>Long</x:v>
      </x:c>
      <x:c r="D67" s="14" t="n">
        <x:v>0.004152</x:v>
      </x:c>
      <x:c r="E67" s="15" t="n">
        <x:v>0.3055094389238638</x:v>
      </x:c>
      <x:c r="F67" s="15" t="n">
        <x:v>0.030763278832981158</x:v>
      </x:c>
      <x:c r="G67" s="12" t="str">
        <x:v>Low Beta</x:v>
      </x:c>
      <x:c r="H67" s="12" t="str">
        <x:v>Low Bad Beta</x:v>
      </x:c>
      <x:c r="I67" s="12" t="str">
        <x:v>Low Beta / Low Bad Beta</x:v>
      </x:c>
      <x:c r="J67" s="15" t="n">
        <x:v>1</x:v>
      </x:c>
      <x:c r="K67" s="18" t="n">
        <x:v>46213</x:v>
      </x:c>
      <x:c r="L67" s="15" t="n">
        <x:v>114.98999786376953</x:v>
      </x:c>
      <x:c r="M67" s="19" t="n">
        <x:v>23272459536</x:v>
      </x:c>
      <x:c r="N67" s="12" t="str">
        <x:v>Nasdaq screener</x:v>
      </x:c>
      <x:c r="O67" s="12" t="str">
        <x:v>Finance</x:v>
      </x:c>
      <x:c r="P67" s="12" t="str">
        <x:v>Property-Casualty Insurers</x:v>
      </x:c>
      <x:c r="Q67" s="12" t="n">
        <x:v>6331</x:v>
      </x:c>
      <x:c r="R67" s="12" t="str">
        <x:v>Fire, Marine &amp; Casualty Insurance</x:v>
      </x:c>
      <x:c r="S67" s="18" t="n">
        <x:v>46112</x:v>
      </x:c>
      <x:c r="T67" s="18" t="n">
        <x:v>46022</x:v>
      </x:c>
      <x:c r="U67" s="15" t="n">
        <x:v>-0.006080710856004701</x:v>
      </x:c>
      <x:c r="V67" s="16" t="n">
        <x:v>0.4741379310344828</x:v>
      </x:c>
      <x:c r="W67" s="17" t="n">
        <x:v>0.08744514609868351</x:v>
      </x:c>
      <x:c r="X67" s="15" t="n">
        <x:v>-0.6907496170432131</x:v>
      </x:c>
      <x:c r="Y67" s="17"/>
      <x:c r="Z67" s="15"/>
      <x:c r="AA67" s="17" t="n">
        <x:v>0</x:v>
      </x:c>
      <x:c r="AB67" s="15" t="n">
        <x:v>0.6785881953312037</x:v>
      </x:c>
      <x:c r="AC67" s="13" t="b">
        <x:v>1</x:v>
      </x:c>
      <x:c r="AD67" s="15" t="n">
        <x:v>-0.16134683837279806</x:v>
      </x:c>
      <x:c r="AE67" s="16" t="n">
        <x:v>0.22727272727272727</x:v>
      </x:c>
      <x:c r="AF67" s="15" t="n">
        <x:v>-0.1100000000000001</x:v>
      </x:c>
      <x:c r="AG67" s="12" t="n">
        <x:v>8</x:v>
      </x:c>
      <x:c r="AH67" s="12" t="n">
        <x:v>59</x:v>
      </x:c>
      <x:c r="AI67" s="17" t="n">
        <x:v>-0.06477972851703373</x:v>
      </x:c>
      <x:c r="AJ67" s="16" t="n">
        <x:v>0.21739130434782608</x:v>
      </x:c>
      <x:c r="AK67" s="18" t="n">
        <x:v>46146</x:v>
      </x:c>
      <x:c r="AL67" s="18" t="n">
        <x:v>46146</x:v>
      </x:c>
      <x:c r="AM67" s="12" t="str">
        <x:v>2026-05-01 to 2026-05-04 to 2026-05-05</x:v>
      </x:c>
      <x:c r="AN67" s="12" t="str">
        <x:v>8-K Item 2.02 filing date</x:v>
      </x:c>
      <x:c r="AO67" s="12" t="str">
        <x:v>SUE + CAR3</x:v>
      </x:c>
      <x:c r="AP67" s="17" t="n">
        <x:v>0.07021174523785839</x:v>
      </x:c>
      <x:c r="AQ67" s="16" t="n">
        <x:v>0.7241379310344828</x:v>
      </x:c>
      <x:c r="AR67" s="17" t="n">
        <x:v>0.08293064156001634</x:v>
      </x:c>
      <x:c r="AS67" s="16"/>
      <x:c r="AT67" s="17" t="n">
        <x:v>0.8029232995805519</x:v>
      </x:c>
      <x:c r="AU67" s="16" t="n">
        <x:v>0.9224137931034483</x:v>
      </x:c>
      <x:c r="AV67" s="17" t="n">
        <x:v>0.13690001244052438</x:v>
      </x:c>
      <x:c r="AW67" s="16"/>
      <x:c r="AX67" s="17" t="n">
        <x:v>0.0537568797822876</x:v>
      </x:c>
      <x:c r="AY67" s="16" t="n">
        <x:v>0.6206896551724138</x:v>
      </x:c>
      <x:c r="AZ67" s="17" t="n">
        <x:v>0.008140661116756095</x:v>
      </x:c>
      <x:c r="BA67" s="16"/>
      <x:c r="BB67" s="17" t="n">
        <x:v>0.036566826926204096</x:v>
      </x:c>
      <x:c r="BC67" s="16" t="n">
        <x:v>0.5258620689655172</x:v>
      </x:c>
      <x:c r="BD67" s="17" t="n">
        <x:v>0.002234400705243963</x:v>
      </x:c>
      <x:c r="BE67" s="17" t="n">
        <x:v>0.03433242622096013</x:v>
      </x:c>
      <x:c r="BF67" s="17" t="n">
        <x:v>0.05182968303632163</x:v>
      </x:c>
      <x:c r="BG67" s="17" t="n">
        <x:v>0.03433242622096013</x:v>
      </x:c>
      <x:c r="BH67" s="12" t="str">
        <x:v>cash repurchases less issuance</x:v>
      </x:c>
      <x:c r="BI67" s="17"/>
      <x:c r="BJ67" s="19" t="n">
        <x:v>52000000</x:v>
      </x:c>
      <x:c r="BK67" s="19" t="n">
        <x:v>806000000</x:v>
      </x:c>
      <x:c r="BL67" s="19" t="n">
        <x:v>7000000</x:v>
      </x:c>
      <x:c r="BM67" s="19" t="n">
        <x:v>3186000000</x:v>
      </x:c>
      <x:c r="BN67" s="19" t="n">
        <x:v>1634000000</x:v>
      </x:c>
      <x:c r="BO67" s="19" t="n">
        <x:v>2615000000</x:v>
      </x:c>
      <x:c r="BP67" s="19" t="n">
        <x:v>685000000</x:v>
      </x:c>
      <x:c r="BQ67" s="19" t="n">
        <x:v>1930000000</x:v>
      </x:c>
      <x:c r="BR67" s="19" t="n">
        <x:v>86348000000</x:v>
      </x:c>
      <x:c r="BS67" s="19" t="n">
        <x:v>81943000000</x:v>
      </x:c>
      <x:c r="BT67" s="19" t="n">
        <x:v>18686000000</x:v>
      </x:c>
      <x:c r="BU67" s="19"/>
      <x:c r="BV67" s="19"/>
      <x:c r="BW67" s="19"/>
      <x:c r="BX67" s="12" t="n">
        <x:v>205768873</x:v>
      </x:c>
      <x:c r="BY67" s="17" t="n">
        <x:v>-0.05182968303632163</x:v>
      </x:c>
      <x:c r="BZ67" s="12" t="n">
        <x:v>5</x:v>
      </x:c>
      <x:c r="CA67" s="12" t="str">
        <x:v>OK</x:v>
      </x:c>
      <x:c r="CB67" s="20" t="str">
        <x:v>https://query1.finance.yahoo.com/v8/finance/chart/L?period1=1704067200&amp;period2=1783728000&amp;interval=1d&amp;events=div%2Csplits</x:v>
      </x:c>
      <x:c r="CC67" s="20" t="str">
        <x:v>https://data.sec.gov/api/xbrl/companyfacts/CIK0000060086.json</x:v>
      </x:c>
      <x:c r="CD67" s="20" t="str">
        <x:v>https://data.sec.gov/submissions/CIK0000060086.json</x:v>
      </x:c>
      <x:c r="CE67" s="20" t="str">
        <x:v>https://api.nasdaq.com/api/screener/stocks?tableonly=true&amp;limit=25000&amp;download=true</x:v>
      </x:c>
    </x:row>
    <x:row r="68">
      <x:c r="A68" s="12" t="str">
        <x:v>CTVA</x:v>
      </x:c>
      <x:c r="B68" s="12" t="str">
        <x:v>Corteva Inc.</x:v>
      </x:c>
      <x:c r="C68" s="12" t="str">
        <x:v>Long</x:v>
      </x:c>
      <x:c r="D68" s="14" t="n">
        <x:v>0.004273</x:v>
      </x:c>
      <x:c r="E68" s="15" t="n">
        <x:v>0.3683372427048375</x:v>
      </x:c>
      <x:c r="F68" s="15" t="n">
        <x:v>0.058361503118991714</x:v>
      </x:c>
      <x:c r="G68" s="12" t="str">
        <x:v>Low Beta</x:v>
      </x:c>
      <x:c r="H68" s="12" t="str">
        <x:v>Low Bad Beta</x:v>
      </x:c>
      <x:c r="I68" s="12" t="str">
        <x:v>Low Beta / Low Bad Beta</x:v>
      </x:c>
      <x:c r="J68" s="15" t="n">
        <x:v>1</x:v>
      </x:c>
      <x:c r="K68" s="18" t="n">
        <x:v>46213</x:v>
      </x:c>
      <x:c r="L68" s="15" t="n">
        <x:v>85.68000030517578</x:v>
      </x:c>
      <x:c r="M68" s="19" t="n">
        <x:v>55791559878</x:v>
      </x:c>
      <x:c r="N68" s="12" t="str">
        <x:v>Nasdaq screener</x:v>
      </x:c>
      <x:c r="O68" s="12" t="str">
        <x:v>Consumer Staples</x:v>
      </x:c>
      <x:c r="P68" s="12" t="str">
        <x:v>Farming/Seeds/Milling</x:v>
      </x:c>
      <x:c r="Q68" s="12" t="n">
        <x:v>100</x:v>
      </x:c>
      <x:c r="R68" s="12" t="str">
        <x:v>Agricultural Production-Crops</x:v>
      </x:c>
      <x:c r="S68" s="18" t="n">
        <x:v>46112</x:v>
      </x:c>
      <x:c r="T68" s="18" t="n">
        <x:v>46022</x:v>
      </x:c>
      <x:c r="U68" s="15" t="n">
        <x:v>-0.13831565185362915</x:v>
      </x:c>
      <x:c r="V68" s="16" t="n">
        <x:v>0.4051724137931034</x:v>
      </x:c>
      <x:c r="W68" s="17" t="n">
        <x:v>0.04812789927104042</x:v>
      </x:c>
      <x:c r="X68" s="15" t="n">
        <x:v>-0.9191682849007686</x:v>
      </x:c>
      <x:c r="Y68" s="17"/>
      <x:c r="Z68" s="15"/>
      <x:c r="AA68" s="17" t="n">
        <x:v>0.032388999337309474</x:v>
      </x:c>
      <x:c r="AB68" s="15" t="n">
        <x:v>0.6425369811935103</x:v>
      </x:c>
      <x:c r="AC68" s="13" t="b">
        <x:v>0</x:v>
      </x:c>
      <x:c r="AD68" s="15" t="n">
        <x:v>0.27705425792376637</x:v>
      </x:c>
      <x:c r="AE68" s="16" t="n">
        <x:v>0.4636363636363636</x:v>
      </x:c>
      <x:c r="AF68" s="15" t="n">
        <x:v>0.1200000000000001</x:v>
      </x:c>
      <x:c r="AG68" s="12" t="n">
        <x:v>8</x:v>
      </x:c>
      <x:c r="AH68" s="12" t="n">
        <x:v>28</x:v>
      </x:c>
      <x:c r="AI68" s="17" t="n">
        <x:v>-0.006402256864545097</x:v>
      </x:c>
      <x:c r="AJ68" s="16" t="n">
        <x:v>0.591304347826087</x:v>
      </x:c>
      <x:c r="AK68" s="18" t="n">
        <x:v>46147</x:v>
      </x:c>
      <x:c r="AL68" s="18" t="n">
        <x:v>46147</x:v>
      </x:c>
      <x:c r="AM68" s="12" t="str">
        <x:v>2026-05-04 to 2026-05-05 to 2026-05-06</x:v>
      </x:c>
      <x:c r="AN68" s="12" t="str">
        <x:v>8-K Item 2.02 filing date</x:v>
      </x:c>
      <x:c r="AO68" s="12" t="str">
        <x:v>SUE + CAR3</x:v>
      </x:c>
      <x:c r="AP68" s="17" t="n">
        <x:v>0.020827523061569847</x:v>
      </x:c>
      <x:c r="AQ68" s="16" t="n">
        <x:v>0.08620689655172414</x:v>
      </x:c>
      <x:c r="AR68" s="17" t="n">
        <x:v>0.03667221358345259</x:v>
      </x:c>
      <x:c r="AS68" s="16" t="n">
        <x:v>0.3</x:v>
      </x:c>
      <x:c r="AT68" s="17" t="n">
        <x:v>0.4327536289144083</x:v>
      </x:c>
      <x:c r="AU68" s="16" t="n">
        <x:v>0.5948275862068966</x:v>
      </x:c>
      <x:c r="AV68" s="17" t="n">
        <x:v>0.34367185863534794</x:v>
      </x:c>
      <x:c r="AW68" s="16" t="n">
        <x:v>0.5652173913043478</x:v>
      </x:c>
      <x:c r="AX68" s="17" t="n">
        <x:v>0.04947948560930793</x:v>
      </x:c>
      <x:c r="AY68" s="16" t="n">
        <x:v>0.6637931034482758</x:v>
      </x:c>
      <x:c r="AZ68" s="17" t="n">
        <x:v>0.013816182622206286</x:v>
      </x:c>
      <x:c r="BA68" s="16" t="n">
        <x:v>0.6699999999999999</x:v>
      </x:c>
      <x:c r="BB68" s="17" t="n">
        <x:v>0.021078457074359847</x:v>
      </x:c>
      <x:c r="BC68" s="16" t="n">
        <x:v>0.33620689655172414</x:v>
      </x:c>
      <x:c r="BD68" s="17" t="n">
        <x:v>0.008513832576803508</x:v>
      </x:c>
      <x:c r="BE68" s="17" t="n">
        <x:v>0.017619152469469157</x:v>
      </x:c>
      <x:c r="BF68" s="17" t="n">
        <x:v>0.020977011494252906</x:v>
      </x:c>
      <x:c r="BG68" s="17" t="n">
        <x:v>0.017619152469469157</x:v>
      </x:c>
      <x:c r="BH68" s="12" t="str">
        <x:v>cash repurchases less issuance</x:v>
      </x:c>
      <x:c r="BI68" s="17" t="n">
        <x:v>-0.00505452797191282</x:v>
      </x:c>
      <x:c r="BJ68" s="19" t="n">
        <x:v>475000000</x:v>
      </x:c>
      <x:c r="BK68" s="19" t="n">
        <x:v>1071000000</x:v>
      </x:c>
      <x:c r="BL68" s="19" t="n">
        <x:v>88000000</x:v>
      </x:c>
      <x:c r="BM68" s="19" t="n">
        <x:v>17889000000</x:v>
      </x:c>
      <x:c r="BN68" s="19" t="n">
        <x:v>1162000000</x:v>
      </x:c>
      <x:c r="BO68" s="19" t="n">
        <x:v>2624000000</x:v>
      </x:c>
      <x:c r="BP68" s="19" t="n">
        <x:v>578000000</x:v>
      </x:c>
      <x:c r="BQ68" s="19" t="n">
        <x:v>2046000000</x:v>
      </x:c>
      <x:c r="BR68" s="19" t="n">
        <x:v>42845000000</x:v>
      </x:c>
      <x:c r="BS68" s="19" t="n">
        <x:v>40825000000</x:v>
      </x:c>
      <x:c r="BT68" s="19" t="n">
        <x:v>24144000000</x:v>
      </x:c>
      <x:c r="BU68" s="19" t="n">
        <x:v>4521000000</x:v>
      </x:c>
      <x:c r="BV68" s="19" t="n">
        <x:v>782000000</x:v>
      </x:c>
      <x:c r="BW68" s="19" t="n">
        <x:v>500000000</x:v>
      </x:c>
      <x:c r="BX68" s="12" t="n">
        <x:v>668820000</x:v>
      </x:c>
      <x:c r="BY68" s="17" t="n">
        <x:v>-0.020977011494252906</x:v>
      </x:c>
      <x:c r="BZ68" s="12" t="n">
        <x:v>5</x:v>
      </x:c>
      <x:c r="CA68" s="12" t="str">
        <x:v>OK</x:v>
      </x:c>
      <x:c r="CB68" s="20" t="str">
        <x:v>https://query1.finance.yahoo.com/v8/finance/chart/CTVA?period1=1704067200&amp;period2=1783728000&amp;interval=1d&amp;events=div%2Csplits</x:v>
      </x:c>
      <x:c r="CC68" s="20" t="str">
        <x:v>https://data.sec.gov/api/xbrl/companyfacts/CIK0001755672.json</x:v>
      </x:c>
      <x:c r="CD68" s="20" t="str">
        <x:v>https://data.sec.gov/submissions/CIK0001755672.json</x:v>
      </x:c>
      <x:c r="CE68" s="20" t="str">
        <x:v>https://api.nasdaq.com/api/screener/stocks?tableonly=true&amp;limit=25000&amp;download=true</x:v>
      </x:c>
    </x:row>
    <x:row r="69">
      <x:c r="A69" s="12" t="str">
        <x:v>FCFS</x:v>
      </x:c>
      <x:c r="B69" s="12" t="str">
        <x:v>FirstCash Holdings Inc.</x:v>
      </x:c>
      <x:c r="C69" s="12" t="str">
        <x:v>Long</x:v>
      </x:c>
      <x:c r="D69" s="14" t="n">
        <x:v>0.003759</x:v>
      </x:c>
      <x:c r="E69" s="15" t="n">
        <x:v>0.1487927415036028</x:v>
      </x:c>
      <x:c r="F69" s="15" t="n">
        <x:v>0.18576289690326486</x:v>
      </x:c>
      <x:c r="G69" s="12" t="str">
        <x:v>Low Beta</x:v>
      </x:c>
      <x:c r="H69" s="12" t="str">
        <x:v>Low Bad Beta</x:v>
      </x:c>
      <x:c r="I69" s="12" t="str">
        <x:v>Low Beta / Low Bad Beta</x:v>
      </x:c>
      <x:c r="J69" s="15" t="n">
        <x:v>1</x:v>
      </x:c>
      <x:c r="K69" s="18" t="n">
        <x:v>46213</x:v>
      </x:c>
      <x:c r="L69" s="15" t="n">
        <x:v>218.61000061035156</x:v>
      </x:c>
      <x:c r="M69" s="19" t="n">
        <x:v>9256554827</x:v>
      </x:c>
      <x:c r="N69" s="12" t="str">
        <x:v>Nasdaq screener</x:v>
      </x:c>
      <x:c r="O69" s="12" t="str">
        <x:v>Consumer Discretionary</x:v>
      </x:c>
      <x:c r="P69" s="12" t="str">
        <x:v>Other Specialty Stores</x:v>
      </x:c>
      <x:c r="Q69" s="12" t="n">
        <x:v>5900</x:v>
      </x:c>
      <x:c r="R69" s="12" t="str">
        <x:v>Retail-Miscellaneous Retail</x:v>
      </x:c>
      <x:c r="S69" s="18" t="n">
        <x:v>46112</x:v>
      </x:c>
      <x:c r="T69" s="18" t="n">
        <x:v>46022</x:v>
      </x:c>
      <x:c r="U69" s="15" t="n">
        <x:v>-0.6351305781402088</x:v>
      </x:c>
      <x:c r="V69" s="16" t="n">
        <x:v>0.1982758620689655</x:v>
      </x:c>
      <x:c r="W69" s="17" t="n">
        <x:v>0.15569743346032655</x:v>
      </x:c>
      <x:c r="X69" s="15" t="n">
        <x:v>-0.2942290614274897</x:v>
      </x:c>
      <x:c r="Y69" s="17" t="n">
        <x:v>0.1531031324285375</x:v>
      </x:c>
      <x:c r="Z69" s="15" t="n">
        <x:v>-1.202472656514726</x:v>
      </x:c>
      <x:c r="AA69" s="17" t="n">
        <x:v>0.9768284959077849</x:v>
      </x:c>
      <x:c r="AB69" s="15" t="n">
        <x:v>-0.4086900164784107</x:v>
      </x:c>
      <x:c r="AC69" s="13" t="b">
        <x:v>0</x:v>
      </x:c>
      <x:c r="AD69" s="15" t="n">
        <x:v>3.3704806571377692</x:v>
      </x:c>
      <x:c r="AE69" s="16" t="n">
        <x:v>0.990909090909091</x:v>
      </x:c>
      <x:c r="AF69" s="15" t="n">
        <x:v>0.5699999999999998</x:v>
      </x:c>
      <x:c r="AG69" s="12" t="n">
        <x:v>8</x:v>
      </x:c>
      <x:c r="AH69" s="12" t="n">
        <x:v>59</x:v>
      </x:c>
      <x:c r="AI69" s="17" t="n">
        <x:v>0.04016306287684612</x:v>
      </x:c>
      <x:c r="AJ69" s="16" t="n">
        <x:v>0.8521739130434782</x:v>
      </x:c>
      <x:c r="AK69" s="18" t="n">
        <x:v>46135</x:v>
      </x:c>
      <x:c r="AL69" s="18" t="n">
        <x:v>46135</x:v>
      </x:c>
      <x:c r="AM69" s="12" t="str">
        <x:v>2026-04-22 to 2026-04-23 to 2026-04-24</x:v>
      </x:c>
      <x:c r="AN69" s="12" t="str">
        <x:v>8-K Item 2.02 filing date</x:v>
      </x:c>
      <x:c r="AO69" s="12" t="str">
        <x:v>SUE + CAR3</x:v>
      </x:c>
      <x:c r="AP69" s="17" t="n">
        <x:v>0.03829567334987492</x:v>
      </x:c>
      <x:c r="AQ69" s="16" t="n">
        <x:v>0.33620689655172414</x:v>
      </x:c>
      <x:c r="AR69" s="17" t="n">
        <x:v>0.061428794041323294</x:v>
      </x:c>
      <x:c r="AS69" s="16" t="n">
        <x:v>0.63</x:v>
      </x:c>
      <x:c r="AT69" s="17" t="n">
        <x:v>0.2459621362970835</x:v>
      </x:c>
      <x:c r="AU69" s="16" t="n">
        <x:v>0.33620689655172414</x:v>
      </x:c>
      <x:c r="AV69" s="17" t="n">
        <x:v>0.15518551645258527</x:v>
      </x:c>
      <x:c r="AW69" s="16" t="n">
        <x:v>0.23478260869565218</x:v>
      </x:c>
      <x:c r="AX69" s="17" t="n">
        <x:v>0.18400258566812577</x:v>
      </x:c>
      <x:c r="AY69" s="16" t="n">
        <x:v>0.08620689655172409</x:v>
      </x:c>
      <x:c r="AZ69" s="17" t="n">
        <x:v>0.00906364031230501</x:v>
      </x:c>
      <x:c r="BA69" s="16" t="n">
        <x:v>0.77</x:v>
      </x:c>
      <x:c r="BB69" s="17" t="n">
        <x:v>-0.03125158392150471</x:v>
      </x:c>
      <x:c r="BC69" s="16" t="n">
        <x:v>0.09482758620689655</x:v>
      </x:c>
      <x:c r="BD69" s="17" t="n">
        <x:v>0.007656736369482533</x:v>
      </x:c>
      <x:c r="BE69" s="17" t="n">
        <x:v>0.012515347466217736</x:v>
      </x:c>
      <x:c r="BF69" s="17" t="n">
        <x:v>0.01421360255047821</x:v>
      </x:c>
      <x:c r="BG69" s="17" t="n">
        <x:v>0.012515347466217736</x:v>
      </x:c>
      <x:c r="BH69" s="12" t="str">
        <x:v>cash repurchases less issuance</x:v>
      </x:c>
      <x:c r="BI69" s="17" t="n">
        <x:v>-0.05142366775720498</x:v>
      </x:c>
      <x:c r="BJ69" s="19" t="n">
        <x:v>70875000</x:v>
      </x:c>
      <x:c r="BK69" s="19" t="n">
        <x:v>115849000</x:v>
      </x:c>
      <x:c r="BL69" s="19" t="n">
        <x:v>0</x:v>
      </x:c>
      <x:c r="BM69" s="19" t="n">
        <x:v>1762188000</x:v>
      </x:c>
      <x:c r="BN69" s="19" t="n">
        <x:v>354486000</x:v>
      </x:c>
      <x:c r="BO69" s="19" t="n">
        <x:v>612930000</x:v>
      </x:c>
      <x:c r="BP69" s="19" t="n">
        <x:v>44311000</x:v>
      </x:c>
      <x:c r="BQ69" s="19" t="n">
        <x:v>568619000</x:v>
      </x:c>
      <x:c r="BR69" s="19" t="n">
        <x:v>5300763000</x:v>
      </x:c>
      <x:c r="BS69" s="19" t="n">
        <x:v>4476986000</x:v>
      </x:c>
      <x:c r="BT69" s="19" t="n">
        <x:v>2276762000</x:v>
      </x:c>
      <x:c r="BU69" s="19" t="n">
        <x:v>125197000</x:v>
      </x:c>
      <x:c r="BV69" s="19" t="n">
        <x:v>2224006000</x:v>
      </x:c>
      <x:c r="BW69" s="19" t="n">
        <x:v>1748000000</x:v>
      </x:c>
      <x:c r="BX69" s="12" t="n">
        <x:v>43836687</x:v>
      </x:c>
      <x:c r="BY69" s="17" t="n">
        <x:v>-0.01421360255047821</x:v>
      </x:c>
      <x:c r="BZ69" s="12" t="n">
        <x:v>5</x:v>
      </x:c>
      <x:c r="CA69" s="12" t="str">
        <x:v>OK</x:v>
      </x:c>
      <x:c r="CB69" s="20" t="str">
        <x:v>https://query1.finance.yahoo.com/v8/finance/chart/FCFS?period1=1704067200&amp;period2=1783728000&amp;interval=1d&amp;events=div%2Csplits</x:v>
      </x:c>
      <x:c r="CC69" s="20" t="str">
        <x:v>https://data.sec.gov/api/xbrl/companyfacts/CIK0000840489.json</x:v>
      </x:c>
      <x:c r="CD69" s="20" t="str">
        <x:v>https://data.sec.gov/submissions/CIK0000840489.json</x:v>
      </x:c>
      <x:c r="CE69" s="20" t="str">
        <x:v>https://api.nasdaq.com/api/screener/stocks?tableonly=true&amp;limit=25000&amp;download=true</x:v>
      </x:c>
    </x:row>
    <x:row r="70">
      <x:c r="A70" s="12" t="str">
        <x:v>TYL</x:v>
      </x:c>
      <x:c r="B70" s="12" t="str">
        <x:v>Tyler Technologies Inc.</x:v>
      </x:c>
      <x:c r="C70" s="12" t="str">
        <x:v>Long</x:v>
      </x:c>
      <x:c r="D70" s="14" t="n">
        <x:v>0.004257</x:v>
      </x:c>
      <x:c r="E70" s="15" t="n">
        <x:v>0.30700542836963984</x:v>
      </x:c>
      <x:c r="F70" s="15" t="n">
        <x:v>0.005694608035329396</x:v>
      </x:c>
      <x:c r="G70" s="12" t="str">
        <x:v>Low Beta</x:v>
      </x:c>
      <x:c r="H70" s="12" t="str">
        <x:v>Low Bad Beta</x:v>
      </x:c>
      <x:c r="I70" s="12" t="str">
        <x:v>Low Beta / Low Bad Beta</x:v>
      </x:c>
      <x:c r="J70" s="15" t="n">
        <x:v>1</x:v>
      </x:c>
      <x:c r="K70" s="18" t="n">
        <x:v>46213</x:v>
      </x:c>
      <x:c r="L70" s="15" t="n">
        <x:v>309.4800109863281</x:v>
      </x:c>
      <x:c r="M70" s="19" t="n">
        <x:v>12976612602</x:v>
      </x:c>
      <x:c r="N70" s="12" t="str">
        <x:v>Nasdaq screener</x:v>
      </x:c>
      <x:c r="O70" s="12" t="str">
        <x:v>Technology</x:v>
      </x:c>
      <x:c r="P70" s="12" t="str">
        <x:v>Computer Software: Prepackaged Software</x:v>
      </x:c>
      <x:c r="Q70" s="12" t="n">
        <x:v>7372</x:v>
      </x:c>
      <x:c r="R70" s="12" t="str">
        <x:v>Services-Prepackaged Software</x:v>
      </x:c>
      <x:c r="S70" s="18" t="n">
        <x:v>46112</x:v>
      </x:c>
      <x:c r="T70" s="18" t="n">
        <x:v>46022</x:v>
      </x:c>
      <x:c r="U70" s="15" t="n">
        <x:v>0.011342649570759719</x:v>
      </x:c>
      <x:c r="V70" s="16" t="n">
        <x:v>0.5</x:v>
      </x:c>
      <x:c r="W70" s="17" t="n">
        <x:v>0.08526842874384687</x:v>
      </x:c>
      <x:c r="X70" s="15" t="n">
        <x:v>-0.7033955401078117</x:v>
      </x:c>
      <x:c r="Y70" s="17" t="n">
        <x:v>0.008395844946858388</x:v>
      </x:c>
      <x:c r="Z70" s="15" t="n">
        <x:v>0.2390958274306208</x:v>
      </x:c>
      <x:c r="AA70" s="17" t="n">
        <x:v>0.1619490065461467</x:v>
      </x:c>
      <x:c r="AB70" s="15" t="n">
        <x:v>0.49832766138947004</x:v>
      </x:c>
      <x:c r="AC70" s="13" t="b">
        <x:v>0</x:v>
      </x:c>
      <x:c r="AD70" s="15" t="n">
        <x:v>0.07531672722791506</x:v>
      </x:c>
      <x:c r="AE70" s="16" t="n">
        <x:v>0.35454545454545455</x:v>
      </x:c>
      <x:c r="AF70" s="15" t="n">
        <x:v>0.020000000000000018</x:v>
      </x:c>
      <x:c r="AG70" s="12" t="n">
        <x:v>8</x:v>
      </x:c>
      <x:c r="AH70" s="12" t="n">
        <x:v>60</x:v>
      </x:c>
      <x:c r="AI70" s="17" t="n">
        <x:v>0.007687817390317209</x:v>
      </x:c>
      <x:c r="AJ70" s="16" t="n">
        <x:v>0.6782608695652174</x:v>
      </x:c>
      <x:c r="AK70" s="18" t="n">
        <x:v>46141</x:v>
      </x:c>
      <x:c r="AL70" s="18" t="n">
        <x:v>46141</x:v>
      </x:c>
      <x:c r="AM70" s="12" t="str">
        <x:v>2026-04-28 to 2026-04-29 to 2026-04-30</x:v>
      </x:c>
      <x:c r="AN70" s="12" t="str">
        <x:v>8-K Item 2.02 filing date</x:v>
      </x:c>
      <x:c r="AO70" s="12" t="str">
        <x:v>SUE + CAR3</x:v>
      </x:c>
      <x:c r="AP70" s="17" t="n">
        <x:v>0.0243307718033702</x:v>
      </x:c>
      <x:c r="AQ70" s="16" t="n">
        <x:v>0.10344827586206896</x:v>
      </x:c>
      <x:c r="AR70" s="17" t="n">
        <x:v>0.052997652090962834</x:v>
      </x:c>
      <x:c r="AS70" s="16" t="n">
        <x:v>0.56</x:v>
      </x:c>
      <x:c r="AT70" s="17" t="n">
        <x:v>0.2853432643453742</x:v>
      </x:c>
      <x:c r="AU70" s="16" t="n">
        <x:v>0.43103448275862066</x:v>
      </x:c>
      <x:c r="AV70" s="17" t="n">
        <x:v>0.18953121386067526</x:v>
      </x:c>
      <x:c r="AW70" s="16" t="n">
        <x:v>0.28695652173913044</x:v>
      </x:c>
      <x:c r="AX70" s="17" t="n">
        <x:v>0.08858912570716493</x:v>
      </x:c>
      <x:c r="AY70" s="16" t="n">
        <x:v>0.3275862068965517</x:v>
      </x:c>
      <x:c r="AZ70" s="17" t="n">
        <x:v>0.0031272983456856105</x:v>
      </x:c>
      <x:c r="BA70" s="16" t="n">
        <x:v>0.86</x:v>
      </x:c>
      <x:c r="BB70" s="17" t="n">
        <x:v>0.0058726419858025755</x:v>
      </x:c>
      <x:c r="BC70" s="16" t="n">
        <x:v>0.1896551724137931</x:v>
      </x:c>
      <x:c r="BD70" s="17" t="n">
        <x:v>0</x:v>
      </x:c>
      <x:c r="BE70" s="17" t="n">
        <x:v>0.006005881688106204</x:v>
      </x:c>
      <x:c r="BF70" s="17" t="n">
        <x:v>-0.007241878750258612</x:v>
      </x:c>
      <x:c r="BG70" s="17" t="n">
        <x:v>0.006005881688106204</x:v>
      </x:c>
      <x:c r="BH70" s="12" t="str">
        <x:v>cash repurchases less issuance</x:v>
      </x:c>
      <x:c r="BI70" s="17" t="n">
        <x:v>-0.00013323970230362896</x:v>
      </x:c>
      <x:c r="BJ70" s="19" t="n">
        <x:v>0</x:v>
      </x:c>
      <x:c r="BK70" s="19" t="n">
        <x:v>174650000</x:v>
      </x:c>
      <x:c r="BL70" s="19" t="n">
        <x:v>96714000</x:v>
      </x:c>
      <x:c r="BM70" s="19" t="n">
        <x:v>2380678000</x:v>
      </x:c>
      <x:c r="BN70" s="19" t="n">
        <x:v>315731000</x:v>
      </x:c>
      <x:c r="BO70" s="19" t="n">
        <x:v>704647000</x:v>
      </x:c>
      <x:c r="BP70" s="19" t="n">
        <x:v>16917000</x:v>
      </x:c>
      <x:c r="BQ70" s="19" t="n">
        <x:v>687730000</x:v>
      </x:c>
      <x:c r="BR70" s="19" t="n">
        <x:v>5638908000</x:v>
      </x:c>
      <x:c r="BS70" s="19" t="n">
        <x:v>5180015000</x:v>
      </x:c>
      <x:c r="BT70" s="19" t="n">
        <x:v>3702789000</x:v>
      </x:c>
      <x:c r="BU70" s="19" t="n">
        <x:v>1015400000</x:v>
      </x:c>
      <x:c r="BV70" s="19" t="n">
        <x:v>599663000</x:v>
      </x:c>
      <x:c r="BW70" s="19" t="n">
        <x:v>597934000</x:v>
      </x:c>
      <x:c r="BX70" s="12" t="n">
        <x:v>42167455</x:v>
      </x:c>
      <x:c r="BY70" s="17" t="n">
        <x:v>0.007241878750258612</x:v>
      </x:c>
      <x:c r="BZ70" s="12" t="n">
        <x:v>5</x:v>
      </x:c>
      <x:c r="CA70" s="12" t="str">
        <x:v>OK</x:v>
      </x:c>
      <x:c r="CB70" s="20" t="str">
        <x:v>https://query1.finance.yahoo.com/v8/finance/chart/TYL?period1=1704067200&amp;period2=1783728000&amp;interval=1d&amp;events=div%2Csplits</x:v>
      </x:c>
      <x:c r="CC70" s="20" t="str">
        <x:v>https://data.sec.gov/api/xbrl/companyfacts/CIK0000860731.json</x:v>
      </x:c>
      <x:c r="CD70" s="20" t="str">
        <x:v>https://data.sec.gov/submissions/CIK0000860731.json</x:v>
      </x:c>
      <x:c r="CE70" s="20" t="str">
        <x:v>https://api.nasdaq.com/api/screener/stocks?tableonly=true&amp;limit=25000&amp;download=true</x:v>
      </x:c>
    </x:row>
    <x:row r="71">
      <x:c r="A71" s="12" t="str">
        <x:v>ROP</x:v>
      </x:c>
      <x:c r="B71" s="12" t="str">
        <x:v>Roper Technologies Inc.</x:v>
      </x:c>
      <x:c r="C71" s="12" t="str">
        <x:v>Long</x:v>
      </x:c>
      <x:c r="D71" s="14" t="n">
        <x:v>0.004284</x:v>
      </x:c>
      <x:c r="E71" s="15" t="n">
        <x:v>0.3355702707287766</x:v>
      </x:c>
      <x:c r="F71" s="15" t="n">
        <x:v>0.10841101116871157</x:v>
      </x:c>
      <x:c r="G71" s="12" t="str">
        <x:v>Low Beta</x:v>
      </x:c>
      <x:c r="H71" s="12" t="str">
        <x:v>Low Bad Beta</x:v>
      </x:c>
      <x:c r="I71" s="12" t="str">
        <x:v>Low Beta / Low Bad Beta</x:v>
      </x:c>
      <x:c r="J71" s="15" t="n">
        <x:v>1</x:v>
      </x:c>
      <x:c r="K71" s="18" t="n">
        <x:v>46213</x:v>
      </x:c>
      <x:c r="L71" s="15" t="n">
        <x:v>355.8999938964844</x:v>
      </x:c>
      <x:c r="M71" s="19" t="n">
        <x:v>35371534330</x:v>
      </x:c>
      <x:c r="N71" s="12" t="str">
        <x:v>Nasdaq screener</x:v>
      </x:c>
      <x:c r="O71" s="12" t="str">
        <x:v>Technology</x:v>
      </x:c>
      <x:c r="P71" s="12" t="str">
        <x:v>Computer Software: Programming Data Processing</x:v>
      </x:c>
      <x:c r="Q71" s="12" t="n">
        <x:v>3823</x:v>
      </x:c>
      <x:c r="R71" s="12" t="str">
        <x:v>Industrial Instruments For Measurement, Display, and Control</x:v>
      </x:c>
      <x:c r="S71" s="18" t="n">
        <x:v>46112</x:v>
      </x:c>
      <x:c r="T71" s="18" t="n">
        <x:v>46022</x:v>
      </x:c>
      <x:c r="U71" s="15" t="n">
        <x:v>-0.33266352053176745</x:v>
      </x:c>
      <x:c r="V71" s="16" t="n">
        <x:v>0.3017241379310345</x:v>
      </x:c>
      <x:c r="W71" s="17" t="n">
        <x:v>0.08621582878555441</x:v>
      </x:c>
      <x:c r="X71" s="15" t="n">
        <x:v>-0.697891496134344</x:v>
      </x:c>
      <x:c r="Y71" s="17" t="n">
        <x:v>0.07836848389587887</x:v>
      </x:c>
      <x:c r="Z71" s="15" t="n">
        <x:v>-0.45796893553209755</x:v>
      </x:c>
      <x:c r="AA71" s="17" t="n">
        <x:v>0.4678218444282373</x:v>
      </x:c>
      <x:c r="AB71" s="15" t="n">
        <x:v>0.15786987007113923</x:v>
      </x:c>
      <x:c r="AC71" s="13" t="b">
        <x:v>0</x:v>
      </x:c>
      <x:c r="AD71" s="15" t="n">
        <x:v>2.4573072160103107</x:v>
      </x:c>
      <x:c r="AE71" s="16" t="n">
        <x:v>0.9363636363636364</x:v>
      </x:c>
      <x:c r="AF71" s="15" t="n">
        <x:v>1.7999999999999998</x:v>
      </x:c>
      <x:c r="AG71" s="12" t="n">
        <x:v>8</x:v>
      </x:c>
      <x:c r="AH71" s="12" t="n">
        <x:v>68</x:v>
      </x:c>
      <x:c r="AI71" s="17" t="n">
        <x:v>-0.038286455083425985</x:v>
      </x:c>
      <x:c r="AJ71" s="16" t="n">
        <x:v>0.3565217391304348</x:v>
      </x:c>
      <x:c r="AK71" s="18" t="n">
        <x:v>46135</x:v>
      </x:c>
      <x:c r="AL71" s="18" t="n">
        <x:v>46135</x:v>
      </x:c>
      <x:c r="AM71" s="12" t="str">
        <x:v>2026-04-22 to 2026-04-23 to 2026-04-24</x:v>
      </x:c>
      <x:c r="AN71" s="12" t="str">
        <x:v>8-K Item 2.02 filing date</x:v>
      </x:c>
      <x:c r="AO71" s="12" t="str">
        <x:v>SUE + CAR3</x:v>
      </x:c>
      <x:c r="AP71" s="17" t="n">
        <x:v>0.048459871262813835</x:v>
      </x:c>
      <x:c r="AQ71" s="16" t="n">
        <x:v>0.5</x:v>
      </x:c>
      <x:c r="AR71" s="17" t="n">
        <x:v>0.07199574596457715</x:v>
      </x:c>
      <x:c r="AS71" s="16" t="n">
        <x:v>0.71</x:v>
      </x:c>
      <x:c r="AT71" s="17" t="n">
        <x:v>0.5620762677274566</x:v>
      </x:c>
      <x:c r="AU71" s="16" t="n">
        <x:v>0.7586206896551724</x:v>
      </x:c>
      <x:c r="AV71" s="17" t="n">
        <x:v>0.18287268585266725</x:v>
      </x:c>
      <x:c r="AW71" s="16" t="n">
        <x:v>0.2782608695652174</x:v>
      </x:c>
      <x:c r="AX71" s="17" t="n">
        <x:v>0.10347314638404059</x:v>
      </x:c>
      <x:c r="AY71" s="16" t="n">
        <x:v>0.2844827586206896</x:v>
      </x:c>
      <x:c r="AZ71" s="17" t="n">
        <x:v>0.0017326210672763713</x:v>
      </x:c>
      <x:c r="BA71" s="16" t="n">
        <x:v>0.91</x:v>
      </x:c>
      <x:c r="BB71" s="17" t="n">
        <x:v>-0.026518499063368166</x:v>
      </x:c>
      <x:c r="BC71" s="16" t="n">
        <x:v>0.10344827586206896</x:v>
      </x:c>
      <x:c r="BD71" s="17" t="n">
        <x:v>0.01003631894189307</x:v>
      </x:c>
      <x:c r="BE71" s="17" t="n">
        <x:v>0.010884458570785443</x:v>
      </x:c>
      <x:c r="BF71" s="17" t="n">
        <x:v>-0.0018518518518517713</x:v>
      </x:c>
      <x:c r="BG71" s="17" t="n">
        <x:v>0.010884458570785443</x:v>
      </x:c>
      <x:c r="BH71" s="12" t="str">
        <x:v>cash repurchases less issuance</x:v>
      </x:c>
      <x:c r="BI71" s="17" t="n">
        <x:v>-0.04743927657604668</x:v>
      </x:c>
      <x:c r="BJ71" s="19" t="n">
        <x:v>355000000</x:v>
      </x:c>
      <x:c r="BK71" s="19" t="n">
        <x:v>500000000</x:v>
      </x:c>
      <x:c r="BL71" s="19" t="n">
        <x:v>115000000</x:v>
      </x:c>
      <x:c r="BM71" s="19" t="n">
        <x:v>8115000000</x:v>
      </x:c>
      <x:c r="BN71" s="19" t="n">
        <x:v>1714100000</x:v>
      </x:c>
      <x:c r="BO71" s="19" t="n">
        <x:v>2603700000</x:v>
      </x:c>
      <x:c r="BP71" s="19" t="n">
        <x:v>57100000</x:v>
      </x:c>
      <x:c r="BQ71" s="19" t="n">
        <x:v>2546600000</x:v>
      </x:c>
      <x:c r="BR71" s="19" t="n">
        <x:v>34577000000</x:v>
      </x:c>
      <x:c r="BS71" s="19" t="n">
        <x:v>31334700000</x:v>
      </x:c>
      <x:c r="BT71" s="19" t="n">
        <x:v>19881500000</x:v>
      </x:c>
      <x:c r="BU71" s="19" t="n">
        <x:v>297400000</x:v>
      </x:c>
      <x:c r="BV71" s="19" t="n">
        <x:v>9301000000</x:v>
      </x:c>
      <x:c r="BW71" s="19" t="n">
        <x:v>7623000000</x:v>
      </x:c>
      <x:c r="BX71" s="12" t="n">
        <x:v>100917359</x:v>
      </x:c>
      <x:c r="BY71" s="17" t="n">
        <x:v>0.0018518518518517713</x:v>
      </x:c>
      <x:c r="BZ71" s="12" t="n">
        <x:v>5</x:v>
      </x:c>
      <x:c r="CA71" s="12" t="str">
        <x:v>OK</x:v>
      </x:c>
      <x:c r="CB71" s="20" t="str">
        <x:v>https://query1.finance.yahoo.com/v8/finance/chart/ROP?period1=1704067200&amp;period2=1783728000&amp;interval=1d&amp;events=div%2Csplits</x:v>
      </x:c>
      <x:c r="CC71" s="20" t="str">
        <x:v>https://data.sec.gov/api/xbrl/companyfacts/CIK0000882835.json</x:v>
      </x:c>
      <x:c r="CD71" s="20" t="str">
        <x:v>https://data.sec.gov/submissions/CIK0000882835.json</x:v>
      </x:c>
      <x:c r="CE71" s="20" t="str">
        <x:v>https://api.nasdaq.com/api/screener/stocks?tableonly=true&amp;limit=25000&amp;download=true</x:v>
      </x:c>
    </x:row>
    <x:row r="72">
      <x:c r="A72" s="12" t="str">
        <x:v>VRTX</x:v>
      </x:c>
      <x:c r="B72" s="12" t="str">
        <x:v>Vertex Pharmaceuticals Inc.</x:v>
      </x:c>
      <x:c r="C72" s="12" t="str">
        <x:v>Long</x:v>
      </x:c>
      <x:c r="D72" s="14" t="n">
        <x:v>0.004173</x:v>
      </x:c>
      <x:c r="E72" s="15" t="n">
        <x:v>0.20477015834181894</x:v>
      </x:c>
      <x:c r="F72" s="15" t="n">
        <x:v>0.1799309433653593</x:v>
      </x:c>
      <x:c r="G72" s="12" t="str">
        <x:v>Low Beta</x:v>
      </x:c>
      <x:c r="H72" s="12" t="str">
        <x:v>Low Bad Beta</x:v>
      </x:c>
      <x:c r="I72" s="12" t="str">
        <x:v>Low Beta / Low Bad Beta</x:v>
      </x:c>
      <x:c r="J72" s="15" t="n">
        <x:v>1</x:v>
      </x:c>
      <x:c r="K72" s="18" t="n">
        <x:v>46213</x:v>
      </x:c>
      <x:c r="L72" s="15" t="n">
        <x:v>485.3900146484375</x:v>
      </x:c>
      <x:c r="M72" s="19" t="n">
        <x:v>121890051514</x:v>
      </x:c>
      <x:c r="N72" s="12" t="str">
        <x:v>Nasdaq screener</x:v>
      </x:c>
      <x:c r="O72" s="12" t="str">
        <x:v>Health Care</x:v>
      </x:c>
      <x:c r="P72" s="12" t="str">
        <x:v>Biotechnology: Pharmaceutical Preparations</x:v>
      </x:c>
      <x:c r="Q72" s="12" t="n">
        <x:v>2834</x:v>
      </x:c>
      <x:c r="R72" s="12" t="str">
        <x:v>Pharmaceutical Preparations</x:v>
      </x:c>
      <x:c r="S72" s="18" t="n">
        <x:v>46112</x:v>
      </x:c>
      <x:c r="T72" s="18" t="n">
        <x:v>46022</x:v>
      </x:c>
      <x:c r="U72" s="15" t="n">
        <x:v>0.1442692994401906</x:v>
      </x:c>
      <x:c r="V72" s="16" t="n">
        <x:v>0.6551724137931034</x:v>
      </x:c>
      <x:c r="W72" s="17" t="n">
        <x:v>0.23241971948697618</x:v>
      </x:c>
      <x:c r="X72" s="15" t="n">
        <x:v>0.1514990549387954</x:v>
      </x:c>
      <x:c r="Y72" s="17" t="n">
        <x:v>0.07227635222371212</x:v>
      </x:c>
      <x:c r="Z72" s="15" t="n">
        <x:v>-0.3972793519494273</x:v>
      </x:c>
      <x:c r="AA72" s="17" t="n">
        <x:v>0</x:v>
      </x:c>
      <x:c r="AB72" s="15" t="n">
        <x:v>0.6785881953312037</x:v>
      </x:c>
      <x:c r="AC72" s="13" t="b">
        <x:v>0</x:v>
      </x:c>
      <x:c r="AD72" s="15" t="n">
        <x:v>0.1618653284724367</x:v>
      </x:c>
      <x:c r="AE72" s="16" t="n">
        <x:v>0.4</x:v>
      </x:c>
      <x:c r="AF72" s="15" t="n">
        <x:v>1.5399999999999996</x:v>
      </x:c>
      <x:c r="AG72" s="12" t="n">
        <x:v>8</x:v>
      </x:c>
      <x:c r="AH72" s="12" t="n">
        <x:v>65</x:v>
      </x:c>
      <x:c r="AI72" s="17" t="n">
        <x:v>-0.014829472702145075</x:v>
      </x:c>
      <x:c r="AJ72" s="16" t="n">
        <x:v>0.5304347826086957</x:v>
      </x:c>
      <x:c r="AK72" s="18" t="n">
        <x:v>46146</x:v>
      </x:c>
      <x:c r="AL72" s="18" t="n">
        <x:v>46146</x:v>
      </x:c>
      <x:c r="AM72" s="12" t="str">
        <x:v>2026-05-01 to 2026-05-04 to 2026-05-05</x:v>
      </x:c>
      <x:c r="AN72" s="12" t="str">
        <x:v>8-K Item 2.02 filing date</x:v>
      </x:c>
      <x:c r="AO72" s="12" t="str">
        <x:v>SUE + CAR3</x:v>
      </x:c>
      <x:c r="AP72" s="17" t="n">
        <x:v>0.03559191210532644</x:v>
      </x:c>
      <x:c r="AQ72" s="16" t="n">
        <x:v>0.25862068965517243</x:v>
      </x:c>
      <x:c r="AR72" s="17" t="n">
        <x:v>0.030439727885206807</x:v>
      </x:c>
      <x:c r="AS72" s="16" t="n">
        <x:v>0.23</x:v>
      </x:c>
      <x:c r="AT72" s="17" t="n">
        <x:v>0.1531363697705558</x:v>
      </x:c>
      <x:c r="AU72" s="16" t="n">
        <x:v>0.20689655172413793</x:v>
      </x:c>
      <x:c r="AV72" s="17" t="n">
        <x:v>0.10460146133528576</x:v>
      </x:c>
      <x:c r="AW72" s="16" t="n">
        <x:v>0.12173913043478261</x:v>
      </x:c>
      <x:c r="AX72" s="17" t="n">
        <x:v>0.13800969236504357</x:v>
      </x:c>
      <x:c r="AY72" s="16" t="n">
        <x:v>0.1637931034482759</x:v>
      </x:c>
      <x:c r="AZ72" s="17" t="n">
        <x:v>0.022015019864580435</x:v>
      </x:c>
      <x:c r="BA72" s="16" t="n">
        <x:v>0.55</x:v>
      </x:c>
      <x:c r="BB72" s="17" t="n">
        <x:v>0.01609483280737372</x:v>
      </x:c>
      <x:c r="BC72" s="16" t="n">
        <x:v>0.27586206896551724</x:v>
      </x:c>
      <x:c r="BD72" s="17" t="n">
        <x:v>0</x:v>
      </x:c>
      <x:c r="BE72" s="17" t="n">
        <x:v>0.01609483280737372</x:v>
      </x:c>
      <x:c r="BF72" s="17" t="n">
        <x:v>-0.0003877471888329431</x:v>
      </x:c>
      <x:c r="BG72" s="17" t="n">
        <x:v>0.01609483280737372</x:v>
      </x:c>
      <x:c r="BH72" s="12" t="str">
        <x:v>cash repurchases less issuance</x:v>
      </x:c>
      <x:c r="BI72" s="17"/>
      <x:c r="BJ72" s="19" t="n">
        <x:v>0</x:v>
      </x:c>
      <x:c r="BK72" s="19" t="n">
        <x:v>2017400000</x:v>
      </x:c>
      <x:c r="BL72" s="19" t="n">
        <x:v>55600000</x:v>
      </x:c>
      <x:c r="BM72" s="19" t="n">
        <x:v>12218000000</x:v>
      </x:c>
      <x:c r="BN72" s="19" t="n">
        <x:v>4338300000</x:v>
      </x:c>
      <x:c r="BO72" s="19" t="n">
        <x:v>4240600000</x:v>
      </x:c>
      <x:c r="BP72" s="19" t="n">
        <x:v>530300000</x:v>
      </x:c>
      <x:c r="BQ72" s="19" t="n">
        <x:v>3710300000</x:v>
      </x:c>
      <x:c r="BR72" s="19" t="n">
        <x:v>25643000000</x:v>
      </x:c>
      <x:c r="BS72" s="19" t="n">
        <x:v>22533200000</x:v>
      </x:c>
      <x:c r="BT72" s="19" t="n">
        <x:v>18665800000</x:v>
      </x:c>
      <x:c r="BU72" s="19" t="n">
        <x:v>5084800000</x:v>
      </x:c>
      <x:c r="BV72" s="19"/>
      <x:c r="BW72" s="19"/>
      <x:c r="BX72" s="12" t="n">
        <x:v>253805417</x:v>
      </x:c>
      <x:c r="BY72" s="17" t="n">
        <x:v>0.0003877471888329431</x:v>
      </x:c>
      <x:c r="BZ72" s="12" t="n">
        <x:v>5</x:v>
      </x:c>
      <x:c r="CA72" s="12" t="str">
        <x:v>OK</x:v>
      </x:c>
      <x:c r="CB72" s="20" t="str">
        <x:v>https://query1.finance.yahoo.com/v8/finance/chart/VRTX?period1=1704067200&amp;period2=1783728000&amp;interval=1d&amp;events=div%2Csplits</x:v>
      </x:c>
      <x:c r="CC72" s="20" t="str">
        <x:v>https://data.sec.gov/api/xbrl/companyfacts/CIK0000875320.json</x:v>
      </x:c>
      <x:c r="CD72" s="20" t="str">
        <x:v>https://data.sec.gov/submissions/CIK0000875320.json</x:v>
      </x:c>
      <x:c r="CE72" s="20" t="str">
        <x:v>https://api.nasdaq.com/api/screener/stocks?tableonly=true&amp;limit=25000&amp;download=true</x:v>
      </x:c>
    </x:row>
    <x:row r="73">
      <x:c r="A73" s="12" t="str">
        <x:v>REG</x:v>
      </x:c>
      <x:c r="B73" s="12" t="str">
        <x:v>Regency Centers Corp. REIT</x:v>
      </x:c>
      <x:c r="C73" s="12" t="str">
        <x:v>Long</x:v>
      </x:c>
      <x:c r="D73" s="14" t="n">
        <x:v>0.004107</x:v>
      </x:c>
      <x:c r="E73" s="15" t="n">
        <x:v>0.4344121475487339</x:v>
      </x:c>
      <x:c r="F73" s="15" t="n">
        <x:v>0.10274679228112124</x:v>
      </x:c>
      <x:c r="G73" s="12" t="str">
        <x:v>Low Beta</x:v>
      </x:c>
      <x:c r="H73" s="12" t="str">
        <x:v>Low Bad Beta</x:v>
      </x:c>
      <x:c r="I73" s="12" t="str">
        <x:v>Low Beta / Low Bad Beta</x:v>
      </x:c>
      <x:c r="J73" s="15" t="n">
        <x:v>1</x:v>
      </x:c>
      <x:c r="K73" s="18" t="n">
        <x:v>46213</x:v>
      </x:c>
      <x:c r="L73" s="15" t="n">
        <x:v>79.62000274658203</x:v>
      </x:c>
      <x:c r="M73" s="19" t="n">
        <x:v>14709996109</x:v>
      </x:c>
      <x:c r="N73" s="12" t="str">
        <x:v>Nasdaq screener</x:v>
      </x:c>
      <x:c r="O73" s="12" t="str">
        <x:v>Real Estate</x:v>
      </x:c>
      <x:c r="P73" s="12" t="str">
        <x:v>Real Estate Investment Trusts</x:v>
      </x:c>
      <x:c r="Q73" s="12" t="n">
        <x:v>6798</x:v>
      </x:c>
      <x:c r="R73" s="12" t="str">
        <x:v>Real Estate Investment Trusts</x:v>
      </x:c>
      <x:c r="S73" s="18" t="n">
        <x:v>46112</x:v>
      </x:c>
      <x:c r="T73" s="18" t="n">
        <x:v>46022</x:v>
      </x:c>
      <x:c r="U73" s="15" t="n">
        <x:v>-0.41216277291355075</x:v>
      </x:c>
      <x:c r="V73" s="16" t="n">
        <x:v>0.25862068965517243</x:v>
      </x:c>
      <x:c r="W73" s="17" t="n">
        <x:v>0.0791125962625726</x:v>
      </x:c>
      <x:c r="X73" s="15" t="n">
        <x:v>-0.7391586509149075</x:v>
      </x:c>
      <x:c r="Y73" s="17"/>
      <x:c r="Z73" s="15"/>
      <x:c r="AA73" s="17" t="n">
        <x:v>0.6861700417988414</x:v>
      </x:c>
      <x:c r="AB73" s="15" t="n">
        <x:v>-0.08516689491219401</x:v>
      </x:c>
      <x:c r="AC73" s="13" t="b">
        <x:v>1</x:v>
      </x:c>
      <x:c r="AD73" s="15"/>
      <x:c r="AE73" s="16"/>
      <x:c r="AF73" s="15"/>
      <x:c r="AG73" s="12" t="n">
        <x:v>0</x:v>
      </x:c>
      <x:c r="AH73" s="12" t="n">
        <x:v>0</x:v>
      </x:c>
      <x:c r="AI73" s="17" t="n">
        <x:v>-0.031100208124511752</x:v>
      </x:c>
      <x:c r="AJ73" s="16" t="n">
        <x:v>0.43478260869565216</x:v>
      </x:c>
      <x:c r="AK73" s="18" t="n">
        <x:v>46141</x:v>
      </x:c>
      <x:c r="AL73" s="18" t="n">
        <x:v>46141</x:v>
      </x:c>
      <x:c r="AM73" s="12" t="str">
        <x:v>2026-04-28 to 2026-04-29 to 2026-04-30</x:v>
      </x:c>
      <x:c r="AN73" s="12" t="str">
        <x:v>8-K Item 2.02 filing date</x:v>
      </x:c>
      <x:c r="AO73" s="12" t="str">
        <x:v>CAR3 only</x:v>
      </x:c>
      <x:c r="AP73" s="17" t="n">
        <x:v>0.03714630486310484</x:v>
      </x:c>
      <x:c r="AQ73" s="16" t="n">
        <x:v>0.29310344827586204</x:v>
      </x:c>
      <x:c r="AR73" s="17"/>
      <x:c r="AS73" s="16"/>
      <x:c r="AT73" s="17" t="n">
        <x:v>0.4695371738252307</x:v>
      </x:c>
      <x:c r="AU73" s="16" t="n">
        <x:v>0.6293103448275862</x:v>
      </x:c>
      <x:c r="AV73" s="17" t="n">
        <x:v>0.08149728965097275</x:v>
      </x:c>
      <x:c r="AW73" s="16"/>
      <x:c r="AX73" s="17" t="n">
        <x:v>0.049170748681342635</x:v>
      </x:c>
      <x:c r="AY73" s="16" t="n">
        <x:v>0.6724137931034483</x:v>
      </x:c>
      <x:c r="AZ73" s="17"/>
      <x:c r="BA73" s="16"/>
      <x:c r="BB73" s="17" t="n">
        <x:v>0.041703817965299504</x:v>
      </x:c>
      <x:c r="BC73" s="16" t="n">
        <x:v>0.5948275862068966</x:v>
      </x:c>
      <x:c r="BD73" s="17" t="n">
        <x:v>0.03477662374682821</x:v>
      </x:c>
      <x:c r="BE73" s="17" t="n">
        <x:v>0.006927194218471292</x:v>
      </x:c>
      <x:c r="BF73" s="17" t="n">
        <x:v>-0.010067294109232128</x:v>
      </x:c>
      <x:c r="BG73" s="17" t="n">
        <x:v>0.006927194218471292</x:v>
      </x:c>
      <x:c r="BH73" s="12" t="str">
        <x:v>cash repurchases less issuance</x:v>
      </x:c>
      <x:c r="BI73" s="17"/>
      <x:c r="BJ73" s="19" t="n">
        <x:v>511564000</x:v>
      </x:c>
      <x:c r="BK73" s="19" t="n">
        <x:v>200066000</x:v>
      </x:c>
      <x:c r="BL73" s="19" t="n">
        <x:v>98167000</x:v>
      </x:c>
      <x:c r="BM73" s="19" t="n">
        <x:v>1585065000</x:v>
      </x:c>
      <x:c r="BN73" s="19" t="n">
        <x:v>546422000</x:v>
      </x:c>
      <x:c r="BO73" s="19" t="n">
        <x:v>819390000</x:v>
      </x:c>
      <x:c r="BP73" s="19"/>
      <x:c r="BQ73" s="19"/>
      <x:c r="BR73" s="19" t="n">
        <x:v>13001283000</x:v>
      </x:c>
      <x:c r="BS73" s="19" t="n">
        <x:v>12391961000</x:v>
      </x:c>
      <x:c r="BT73" s="19" t="n">
        <x:v>6906890000</x:v>
      </x:c>
      <x:c r="BU73" s="19"/>
      <x:c r="BV73" s="19" t="n">
        <x:v>4739301000</x:v>
      </x:c>
      <x:c r="BW73" s="19" t="n">
        <x:v>4408700000</x:v>
      </x:c>
      <x:c r="BX73" s="12" t="n">
        <x:v>183096790</x:v>
      </x:c>
      <x:c r="BY73" s="17" t="n">
        <x:v>0.010067294109232128</x:v>
      </x:c>
      <x:c r="BZ73" s="12" t="n">
        <x:v>5</x:v>
      </x:c>
      <x:c r="CA73" s="12" t="str">
        <x:v>OK</x:v>
      </x:c>
      <x:c r="CB73" s="20" t="str">
        <x:v>https://query1.finance.yahoo.com/v8/finance/chart/REG?period1=1704067200&amp;period2=1783728000&amp;interval=1d&amp;events=div%2Csplits</x:v>
      </x:c>
      <x:c r="CC73" s="20" t="str">
        <x:v>https://data.sec.gov/api/xbrl/companyfacts/CIK0000910606.json</x:v>
      </x:c>
      <x:c r="CD73" s="20" t="str">
        <x:v>https://data.sec.gov/submissions/CIK0000910606.json</x:v>
      </x:c>
      <x:c r="CE73" s="20" t="str">
        <x:v>https://api.nasdaq.com/api/screener/stocks?tableonly=true&amp;limit=25000&amp;download=true</x:v>
      </x:c>
    </x:row>
    <x:row r="74">
      <x:c r="A74" s="12" t="str">
        <x:v>ENSG</x:v>
      </x:c>
      <x:c r="B74" s="12" t="str">
        <x:v>The Ensign Group Inc.</x:v>
      </x:c>
      <x:c r="C74" s="12" t="str">
        <x:v>Long</x:v>
      </x:c>
      <x:c r="D74" s="14" t="n">
        <x:v>0.004059</x:v>
      </x:c>
      <x:c r="E74" s="15" t="n">
        <x:v>0.343170986150989</x:v>
      </x:c>
      <x:c r="F74" s="15" t="n">
        <x:v>0.04795627329515873</x:v>
      </x:c>
      <x:c r="G74" s="12" t="str">
        <x:v>Low Beta</x:v>
      </x:c>
      <x:c r="H74" s="12" t="str">
        <x:v>Low Bad Beta</x:v>
      </x:c>
      <x:c r="I74" s="12" t="str">
        <x:v>Low Beta / Low Bad Beta</x:v>
      </x:c>
      <x:c r="J74" s="15" t="n">
        <x:v>1</x:v>
      </x:c>
      <x:c r="K74" s="18" t="n">
        <x:v>46213</x:v>
      </x:c>
      <x:c r="L74" s="15" t="n">
        <x:v>168.58999633789062</x:v>
      </x:c>
      <x:c r="M74" s="19" t="n">
        <x:v>9917307699</x:v>
      </x:c>
      <x:c r="N74" s="12" t="str">
        <x:v>Nasdaq screener</x:v>
      </x:c>
      <x:c r="O74" s="12" t="str">
        <x:v>Health Care</x:v>
      </x:c>
      <x:c r="P74" s="12" t="str">
        <x:v>Hospital/Nursing Management</x:v>
      </x:c>
      <x:c r="Q74" s="12" t="n">
        <x:v>8051</x:v>
      </x:c>
      <x:c r="R74" s="12" t="str">
        <x:v>Services-Skilled Nursing Care Facilities</x:v>
      </x:c>
      <x:c r="S74" s="18" t="n">
        <x:v>46112</x:v>
      </x:c>
      <x:c r="T74" s="18" t="n">
        <x:v>46022</x:v>
      </x:c>
      <x:c r="U74" s="15" t="n">
        <x:v>-0.004596994384325703</x:v>
      </x:c>
      <x:c r="V74" s="16" t="n">
        <x:v>0.4827586206896552</x:v>
      </x:c>
      <x:c r="W74" s="17" t="n">
        <x:v>0.162816655277868</x:v>
      </x:c>
      <x:c r="X74" s="15" t="n">
        <x:v>-0.25286901475703094</x:v>
      </x:c>
      <x:c r="Y74" s="17" t="n">
        <x:v>0.0692885325639937</x:v>
      </x:c>
      <x:c r="Z74" s="15" t="n">
        <x:v>-0.36751480634761924</x:v>
      </x:c>
      <x:c r="AA74" s="17" t="n">
        <x:v>0.06468180443379</x:v>
      </x:c>
      <x:c r="AB74" s="15" t="n">
        <x:v>0.6065928379516731</x:v>
      </x:c>
      <x:c r="AC74" s="13" t="b">
        <x:v>0</x:v>
      </x:c>
      <x:c r="AD74" s="15" t="n">
        <x:v>1.0693860252329956</x:v>
      </x:c>
      <x:c r="AE74" s="16" t="n">
        <x:v>0.6909090909090909</x:v>
      </x:c>
      <x:c r="AF74" s="15" t="n">
        <x:v>0.32000000000000006</x:v>
      </x:c>
      <x:c r="AG74" s="12" t="n">
        <x:v>8</x:v>
      </x:c>
      <x:c r="AH74" s="12" t="n">
        <x:v>60</x:v>
      </x:c>
      <x:c r="AI74" s="17" t="n">
        <x:v>-0.037715470891761416</x:v>
      </x:c>
      <x:c r="AJ74" s="16" t="n">
        <x:v>0.3652173913043478</x:v>
      </x:c>
      <x:c r="AK74" s="18" t="n">
        <x:v>46142</x:v>
      </x:c>
      <x:c r="AL74" s="18" t="n">
        <x:v>46142</x:v>
      </x:c>
      <x:c r="AM74" s="12" t="str">
        <x:v>2026-04-29 to 2026-04-30 to 2026-05-01</x:v>
      </x:c>
      <x:c r="AN74" s="12" t="str">
        <x:v>8-K Item 2.02 filing date</x:v>
      </x:c>
      <x:c r="AO74" s="12" t="str">
        <x:v>SUE + CAR3</x:v>
      </x:c>
      <x:c r="AP74" s="17" t="n">
        <x:v>0.036639177791835495</x:v>
      </x:c>
      <x:c r="AQ74" s="16" t="n">
        <x:v>0.27586206896551724</x:v>
      </x:c>
      <x:c r="AR74" s="17" t="n">
        <x:v>0.05250043820385854</x:v>
      </x:c>
      <x:c r="AS74" s="16" t="n">
        <x:v>0.54</x:v>
      </x:c>
      <x:c r="AT74" s="17" t="n">
        <x:v>0.22503335257259724</x:v>
      </x:c>
      <x:c r="AU74" s="16" t="n">
        <x:v>0.31896551724137934</x:v>
      </x:c>
      <x:c r="AV74" s="17" t="n">
        <x:v>0.5490167920030432</x:v>
      </x:c>
      <x:c r="AW74" s="16" t="n">
        <x:v>0.7217391304347827</x:v>
      </x:c>
      <x:c r="AX74" s="17" t="n">
        <x:v>0.16996219607157825</x:v>
      </x:c>
      <x:c r="AY74" s="16" t="n">
        <x:v>0.10344827586206895</x:v>
      </x:c>
      <x:c r="AZ74" s="17" t="n">
        <x:v>0.014121337983006074</x:v>
      </x:c>
      <x:c r="BA74" s="16" t="n">
        <x:v>0.6599999999999999</x:v>
      </x:c>
      <x:c r="BB74" s="17" t="n">
        <x:v>0.0009530812481449054</x:v>
      </x:c>
      <x:c r="BC74" s="16" t="n">
        <x:v>0.16379310344827586</x:v>
      </x:c>
      <x:c r="BD74" s="17" t="n">
        <x:v>0.0014530153180033947</x:v>
      </x:c>
      <x:c r="BE74" s="17" t="n">
        <x:v>-0.0009119410503832548</x:v>
      </x:c>
      <x:c r="BF74" s="17" t="n">
        <x:v>-0.010868818681318615</x:v>
      </x:c>
      <x:c r="BG74" s="17" t="n">
        <x:v>-0.0009119410503832548</x:v>
      </x:c>
      <x:c r="BH74" s="12" t="str">
        <x:v>cash repurchases less issuance</x:v>
      </x:c>
      <x:c r="BI74" s="17" t="n">
        <x:v>0.0004120069805247655</x:v>
      </x:c>
      <x:c r="BJ74" s="19" t="n">
        <x:v>14410000</x:v>
      </x:c>
      <x:c r="BK74" s="19" t="n">
        <x:v>20000000</x:v>
      </x:c>
      <x:c r="BL74" s="19" t="n">
        <x:v>29044000</x:v>
      </x:c>
      <x:c r="BM74" s="19" t="n">
        <x:v>5247381000</x:v>
      </x:c>
      <x:c r="BN74" s="19" t="n">
        <x:v>363362000</x:v>
      </x:c>
      <x:c r="BO74" s="19" t="n">
        <x:v>592204000</x:v>
      </x:c>
      <x:c r="BP74" s="19" t="n">
        <x:v>71541000</x:v>
      </x:c>
      <x:c r="BQ74" s="19" t="n">
        <x:v>520663000</x:v>
      </x:c>
      <x:c r="BR74" s="19" t="n">
        <x:v>5462970000</x:v>
      </x:c>
      <x:c r="BS74" s="19" t="n">
        <x:v>4669356000</x:v>
      </x:c>
      <x:c r="BT74" s="19" t="n">
        <x:v>2231725000</x:v>
      </x:c>
      <x:c r="BU74" s="19" t="n">
        <x:v>503881000</x:v>
      </x:c>
      <x:c r="BV74" s="19" t="n">
        <x:v>144352000</x:v>
      </x:c>
      <x:c r="BW74" s="19" t="n">
        <x:v>148438000</x:v>
      </x:c>
      <x:c r="BX74" s="12" t="n">
        <x:v>58445400</x:v>
      </x:c>
      <x:c r="BY74" s="17" t="n">
        <x:v>0.010868818681318615</x:v>
      </x:c>
      <x:c r="BZ74" s="12" t="n">
        <x:v>5</x:v>
      </x:c>
      <x:c r="CA74" s="12" t="str">
        <x:v>OK</x:v>
      </x:c>
      <x:c r="CB74" s="20" t="str">
        <x:v>https://query1.finance.yahoo.com/v8/finance/chart/ENSG?period1=1704067200&amp;period2=1783728000&amp;interval=1d&amp;events=div%2Csplits</x:v>
      </x:c>
      <x:c r="CC74" s="20" t="str">
        <x:v>https://data.sec.gov/api/xbrl/companyfacts/CIK0001125376.json</x:v>
      </x:c>
      <x:c r="CD74" s="20" t="str">
        <x:v>https://data.sec.gov/submissions/CIK0001125376.json</x:v>
      </x:c>
      <x:c r="CE74" s="20" t="str">
        <x:v>https://api.nasdaq.com/api/screener/stocks?tableonly=true&amp;limit=25000&amp;download=true</x:v>
      </x:c>
    </x:row>
    <x:row r="75">
      <x:c r="A75" s="12" t="str">
        <x:v>ERIE</x:v>
      </x:c>
      <x:c r="B75" s="12" t="str">
        <x:v>Erie Indemnity Co.</x:v>
      </x:c>
      <x:c r="C75" s="12" t="str">
        <x:v>Long</x:v>
      </x:c>
      <x:c r="D75" s="14" t="n">
        <x:v>0.00433</x:v>
      </x:c>
      <x:c r="E75" s="15" t="n">
        <x:v>0.08123755805399635</x:v>
      </x:c>
      <x:c r="F75" s="15" t="n">
        <x:v>-0.030773687382989037</x:v>
      </x:c>
      <x:c r="G75" s="12" t="str">
        <x:v>Low Beta</x:v>
      </x:c>
      <x:c r="H75" s="12" t="str">
        <x:v>Low Bad Beta</x:v>
      </x:c>
      <x:c r="I75" s="12" t="str">
        <x:v>Low Beta / Low Bad Beta</x:v>
      </x:c>
      <x:c r="J75" s="15" t="n">
        <x:v>1</x:v>
      </x:c>
      <x:c r="K75" s="18" t="n">
        <x:v>46213</x:v>
      </x:c>
      <x:c r="L75" s="15" t="n">
        <x:v>251.80999755859375</x:v>
      </x:c>
      <x:c r="M75" s="19" t="n">
        <x:v>10743013696</x:v>
      </x:c>
      <x:c r="N75" s="12" t="str">
        <x:v>Nasdaq screener</x:v>
      </x:c>
      <x:c r="O75" s="12" t="str">
        <x:v>Finance</x:v>
      </x:c>
      <x:c r="P75" s="12" t="str">
        <x:v>Specialty Insurers</x:v>
      </x:c>
      <x:c r="Q75" s="12" t="n">
        <x:v>6411</x:v>
      </x:c>
      <x:c r="R75" s="12" t="str">
        <x:v>Insurance Agents, Brokers &amp; Service</x:v>
      </x:c>
      <x:c r="S75" s="18" t="n">
        <x:v>46112</x:v>
      </x:c>
      <x:c r="T75" s="18" t="n">
        <x:v>46022</x:v>
      </x:c>
      <x:c r="U75" s="15" t="n">
        <x:v>0.46680886946817024</x:v>
      </x:c>
      <x:c r="V75" s="16" t="n">
        <x:v>0.896551724137931</x:v>
      </x:c>
      <x:c r="W75" s="17" t="n">
        <x:v>0.25024021469982577</x:v>
      </x:c>
      <x:c r="X75" s="15" t="n">
        <x:v>0.25502954360513674</x:v>
      </x:c>
      <x:c r="Y75" s="17"/>
      <x:c r="Z75" s="15"/>
      <x:c r="AA75" s="17" t="n">
        <x:v>0</x:v>
      </x:c>
      <x:c r="AB75" s="15" t="n">
        <x:v>0.6785881953312037</x:v>
      </x:c>
      <x:c r="AC75" s="13" t="b">
        <x:v>1</x:v>
      </x:c>
      <x:c r="AD75" s="15"/>
      <x:c r="AE75" s="16"/>
      <x:c r="AF75" s="15"/>
      <x:c r="AG75" s="12" t="n">
        <x:v>0</x:v>
      </x:c>
      <x:c r="AH75" s="12" t="n">
        <x:v>0</x:v>
      </x:c>
      <x:c r="AI75" s="17" t="n">
        <x:v>-0.09306288192344747</x:v>
      </x:c>
      <x:c r="AJ75" s="16" t="n">
        <x:v>0.13043478260869565</x:v>
      </x:c>
      <x:c r="AK75" s="18" t="n">
        <x:v>46135</x:v>
      </x:c>
      <x:c r="AL75" s="18" t="n">
        <x:v>46135</x:v>
      </x:c>
      <x:c r="AM75" s="12" t="str">
        <x:v>2026-04-22 to 2026-04-23 to 2026-04-24</x:v>
      </x:c>
      <x:c r="AN75" s="12" t="str">
        <x:v>8-K Item 2.02 filing date</x:v>
      </x:c>
      <x:c r="AO75" s="12" t="str">
        <x:v>CAR3 only</x:v>
      </x:c>
      <x:c r="AP75" s="17" t="n">
        <x:v>0.05318731002016215</x:v>
      </x:c>
      <x:c r="AQ75" s="16" t="n">
        <x:v>0.6120689655172413</x:v>
      </x:c>
      <x:c r="AR75" s="17" t="n">
        <x:v>0.04998588061001388</x:v>
      </x:c>
      <x:c r="AS75" s="16"/>
      <x:c r="AT75" s="17" t="n">
        <x:v>0.21254501433337836</x:v>
      </x:c>
      <x:c r="AU75" s="16" t="n">
        <x:v>0.3017241379310345</x:v>
      </x:c>
      <x:c r="AV75" s="17" t="n">
        <x:v>0.3806911278092073</x:v>
      </x:c>
      <x:c r="AW75" s="16"/>
      <x:c r="AX75" s="17" t="n">
        <x:v>0.16162318676015563</x:v>
      </x:c>
      <x:c r="AY75" s="16" t="n">
        <x:v>0.12068965517241381</x:v>
      </x:c>
      <x:c r="AZ75" s="17" t="n">
        <x:v>0.03953559322848227</x:v>
      </x:c>
      <x:c r="BA75" s="16"/>
      <x:c r="BB75" s="17" t="n">
        <x:v>0.023668870504621575</x:v>
      </x:c>
      <x:c r="BC75" s="16" t="n">
        <x:v>0.3879310344827586</x:v>
      </x:c>
      <x:c r="BD75" s="17" t="n">
        <x:v>0.023668870504621575</x:v>
      </x:c>
      <x:c r="BE75" s="17" t="n">
        <x:v>0</x:v>
      </x:c>
      <x:c r="BF75" s="17"/>
      <x:c r="BG75" s="17" t="n">
        <x:v>0</x:v>
      </x:c>
      <x:c r="BH75" s="12" t="str">
        <x:v>cash repurchases less issuance</x:v>
      </x:c>
      <x:c r="BI75" s="17"/>
      <x:c r="BJ75" s="19" t="n">
        <x:v>254275000</x:v>
      </x:c>
      <x:c r="BK75" s="19" t="n">
        <x:v>0</x:v>
      </x:c>
      <x:c r="BL75" s="19" t="n">
        <x:v>0</x:v>
      </x:c>
      <x:c r="BM75" s="19" t="n">
        <x:v>4089770000</x:v>
      </x:c>
      <x:c r="BN75" s="19" t="n">
        <x:v>571392000</x:v>
      </x:c>
      <x:c r="BO75" s="19" t="n">
        <x:v>660431000</x:v>
      </x:c>
      <x:c r="BP75" s="19" t="n">
        <x:v>123432000</x:v>
      </x:c>
      <x:c r="BQ75" s="19" t="n">
        <x:v>536999000</x:v>
      </x:c>
      <x:c r="BR75" s="19" t="n">
        <x:v>3355481000</x:v>
      </x:c>
      <x:c r="BS75" s="19" t="n">
        <x:v>2888614000</x:v>
      </x:c>
      <x:c r="BT75" s="19" t="n">
        <x:v>2283374000</x:v>
      </x:c>
      <x:c r="BU75" s="19"/>
      <x:c r="BV75" s="19"/>
      <x:c r="BW75" s="19"/>
      <x:c r="BX75" s="12"/>
      <x:c r="BY75" s="17"/>
      <x:c r="BZ75" s="12" t="n">
        <x:v>5</x:v>
      </x:c>
      <x:c r="CA75" s="12" t="str">
        <x:v>OK</x:v>
      </x:c>
      <x:c r="CB75" s="20" t="str">
        <x:v>https://query1.finance.yahoo.com/v8/finance/chart/ERIE?period1=1704067200&amp;period2=1783728000&amp;interval=1d&amp;events=div%2Csplits</x:v>
      </x:c>
      <x:c r="CC75" s="20" t="str">
        <x:v>https://data.sec.gov/api/xbrl/companyfacts/CIK0000922621.json</x:v>
      </x:c>
      <x:c r="CD75" s="20" t="str">
        <x:v>https://data.sec.gov/submissions/CIK0000922621.json</x:v>
      </x:c>
      <x:c r="CE75" s="20" t="str">
        <x:v>https://api.nasdaq.com/api/screener/stocks?tableonly=true&amp;limit=25000&amp;download=true</x:v>
      </x:c>
    </x:row>
    <x:row r="76">
      <x:c r="A76" s="12" t="str">
        <x:v>TMUS</x:v>
      </x:c>
      <x:c r="B76" s="12" t="str">
        <x:v>T-Mobile US Inc.</x:v>
      </x:c>
      <x:c r="C76" s="12" t="str">
        <x:v>Long</x:v>
      </x:c>
      <x:c r="D76" s="14" t="n">
        <x:v>0.003871</x:v>
      </x:c>
      <x:c r="E76" s="15" t="n">
        <x:v>0.014164695333075817</x:v>
      </x:c>
      <x:c r="F76" s="15" t="n">
        <x:v>-0.13145411950553626</x:v>
      </x:c>
      <x:c r="G76" s="12" t="str">
        <x:v>Low Beta</x:v>
      </x:c>
      <x:c r="H76" s="12" t="str">
        <x:v>Low Bad Beta</x:v>
      </x:c>
      <x:c r="I76" s="12" t="str">
        <x:v>Low Beta / Low Bad Beta</x:v>
      </x:c>
      <x:c r="J76" s="15" t="n">
        <x:v>1</x:v>
      </x:c>
      <x:c r="K76" s="18" t="n">
        <x:v>46213</x:v>
      </x:c>
      <x:c r="L76" s="15" t="n">
        <x:v>187.61000061035156</x:v>
      </x:c>
      <x:c r="M76" s="19" t="n">
        <x:v>204147097815</x:v>
      </x:c>
      <x:c r="N76" s="12" t="str">
        <x:v>Nasdaq screener</x:v>
      </x:c>
      <x:c r="O76" s="12" t="str">
        <x:v>Telecommunications</x:v>
      </x:c>
      <x:c r="P76" s="12" t="str">
        <x:v>Telecommunications Equipment</x:v>
      </x:c>
      <x:c r="Q76" s="12" t="n">
        <x:v>4812</x:v>
      </x:c>
      <x:c r="R76" s="12" t="str">
        <x:v>Radiotelephone Communications</x:v>
      </x:c>
      <x:c r="S76" s="18" t="n">
        <x:v>46112</x:v>
      </x:c>
      <x:c r="T76" s="18" t="n">
        <x:v>46022</x:v>
      </x:c>
      <x:c r="U76" s="15" t="n">
        <x:v>-0.5538864957787041</x:v>
      </x:c>
      <x:c r="V76" s="16" t="n">
        <x:v>0.2413793103448276</x:v>
      </x:c>
      <x:c r="W76" s="17" t="n">
        <x:v>0.1780821917808219</x:v>
      </x:c>
      <x:c r="X76" s="15" t="n">
        <x:v>-0.16418189158634064</x:v>
      </x:c>
      <x:c r="Y76" s="17"/>
      <x:c r="Z76" s="15"/>
      <x:c r="AA76" s="17" t="n">
        <x:v>1.4573923618735538</x:v>
      </x:c>
      <x:c r="AB76" s="15" t="n">
        <x:v>-0.9435910999710676</x:v>
      </x:c>
      <x:c r="AC76" s="13" t="b">
        <x:v>0</x:v>
      </x:c>
      <x:c r="AD76" s="15" t="n">
        <x:v>-0.5434237564249013</x:v>
      </x:c>
      <x:c r="AE76" s="16" t="n">
        <x:v>0.12727272727272726</x:v>
      </x:c>
      <x:c r="AF76" s="15" t="n">
        <x:v>-0.31000000000000005</x:v>
      </x:c>
      <x:c r="AG76" s="12" t="n">
        <x:v>8</x:v>
      </x:c>
      <x:c r="AH76" s="12" t="n">
        <x:v>62</x:v>
      </x:c>
      <x:c r="AI76" s="17" t="n">
        <x:v>0.05112505987039362</x:v>
      </x:c>
      <x:c r="AJ76" s="16" t="n">
        <x:v>0.9043478260869565</x:v>
      </x:c>
      <x:c r="AK76" s="18" t="n">
        <x:v>46140</x:v>
      </x:c>
      <x:c r="AL76" s="18" t="n">
        <x:v>46140</x:v>
      </x:c>
      <x:c r="AM76" s="12" t="str">
        <x:v>2026-04-27 to 2026-04-28 to 2026-04-29</x:v>
      </x:c>
      <x:c r="AN76" s="12" t="str">
        <x:v>8-K Item 2.02 filing date</x:v>
      </x:c>
      <x:c r="AO76" s="12" t="str">
        <x:v>SUE + CAR3</x:v>
      </x:c>
      <x:c r="AP76" s="17" t="n">
        <x:v>0.05164413363130033</x:v>
      </x:c>
      <x:c r="AQ76" s="16" t="n">
        <x:v>0.5775862068965517</x:v>
      </x:c>
      <x:c r="AR76" s="17" t="n">
        <x:v>0.08914160521885645</x:v>
      </x:c>
      <x:c r="AS76" s="16" t="n">
        <x:v>0.81</x:v>
      </x:c>
      <x:c r="AT76" s="17" t="n">
        <x:v>0.2900016734680711</x:v>
      </x:c>
      <x:c r="AU76" s="16" t="n">
        <x:v>0.4396551724137931</x:v>
      </x:c>
      <x:c r="AV76" s="17" t="n">
        <x:v>0.31783748577481497</x:v>
      </x:c>
      <x:c r="AW76" s="16" t="n">
        <x:v>0.5217391304347826</x:v>
      </x:c>
      <x:c r="AX76" s="17" t="n">
        <x:v>0.05384670848655282</x:v>
      </x:c>
      <x:c r="AY76" s="16" t="n">
        <x:v>0.6120689655172413</x:v>
      </x:c>
      <x:c r="AZ76" s="17" t="n">
        <x:v>0.04740305940946282</x:v>
      </x:c>
      <x:c r="BA76" s="16" t="n">
        <x:v>0.36</x:v>
      </x:c>
      <x:c r="BB76" s="17" t="n">
        <x:v>0.029772649550511565</x:v>
      </x:c>
      <x:c r="BC76" s="16" t="n">
        <x:v>0.4482758620689655</x:v>
      </x:c>
      <x:c r="BD76" s="17" t="n">
        <x:v>0.02018642461297436</x:v>
      </x:c>
      <x:c r="BE76" s="17" t="n">
        <x:v>0.04885692770924685</x:v>
      </x:c>
      <x:c r="BF76" s="17" t="n">
        <x:v>0.03591642331533307</x:v>
      </x:c>
      <x:c r="BG76" s="17" t="n">
        <x:v>0.04885692770924685</x:v>
      </x:c>
      <x:c r="BH76" s="12" t="str">
        <x:v>cash repurchases less issuance</x:v>
      </x:c>
      <x:c r="BI76" s="17" t="n">
        <x:v>-0.039270702771709645</x:v>
      </x:c>
      <x:c r="BJ76" s="19" t="n">
        <x:v>4121000000</x:v>
      </x:c>
      <x:c r="BK76" s="19" t="n">
        <x:v>9974000000</x:v>
      </x:c>
      <x:c r="BL76" s="19" t="n">
        <x:v>0</x:v>
      </x:c>
      <x:c r="BM76" s="19" t="n">
        <x:v>90530000000</x:v>
      </x:c>
      <x:c r="BN76" s="19" t="n">
        <x:v>10543000000</x:v>
      </x:c>
      <x:c r="BO76" s="19" t="n">
        <x:v>28325000000</x:v>
      </x:c>
      <x:c r="BP76" s="19" t="n">
        <x:v>10127000000</x:v>
      </x:c>
      <x:c r="BQ76" s="19" t="n">
        <x:v>18198000000</x:v>
      </x:c>
      <x:c r="BR76" s="19" t="n">
        <x:v>219237000000</x:v>
      </x:c>
      <x:c r="BS76" s="19" t="n">
        <x:v>208035000000</x:v>
      </x:c>
      <x:c r="BT76" s="19" t="n">
        <x:v>59203000000</x:v>
      </x:c>
      <x:c r="BU76" s="19" t="n">
        <x:v>5598000000</x:v>
      </x:c>
      <x:c r="BV76" s="19" t="n">
        <x:v>86282000000</x:v>
      </x:c>
      <x:c r="BW76" s="19" t="n">
        <x:v>78265000000</x:v>
      </x:c>
      <x:c r="BX76" s="12" t="n">
        <x:v>1082204717</x:v>
      </x:c>
      <x:c r="BY76" s="17" t="n">
        <x:v>-0.03591642331533307</x:v>
      </x:c>
      <x:c r="BZ76" s="12" t="n">
        <x:v>5</x:v>
      </x:c>
      <x:c r="CA76" s="12" t="str">
        <x:v>OK</x:v>
      </x:c>
      <x:c r="CB76" s="20" t="str">
        <x:v>https://query1.finance.yahoo.com/v8/finance/chart/TMUS?period1=1704067200&amp;period2=1783728000&amp;interval=1d&amp;events=div%2Csplits</x:v>
      </x:c>
      <x:c r="CC76" s="20" t="str">
        <x:v>https://data.sec.gov/api/xbrl/companyfacts/CIK0001283699.json</x:v>
      </x:c>
      <x:c r="CD76" s="20" t="str">
        <x:v>https://data.sec.gov/submissions/CIK0001283699.json</x:v>
      </x:c>
      <x:c r="CE76" s="20" t="str">
        <x:v>https://api.nasdaq.com/api/screener/stocks?tableonly=true&amp;limit=25000&amp;download=true</x:v>
      </x:c>
    </x:row>
    <x:row r="77">
      <x:c r="A77" s="12" t="str">
        <x:v>G</x:v>
      </x:c>
      <x:c r="B77" s="12" t="str">
        <x:v>Genpact Ltd.</x:v>
      </x:c>
      <x:c r="C77" s="12" t="str">
        <x:v>Long</x:v>
      </x:c>
      <x:c r="D77" s="14" t="n">
        <x:v>0.003687</x:v>
      </x:c>
      <x:c r="E77" s="15" t="n">
        <x:v>0.2642708356459945</x:v>
      </x:c>
      <x:c r="F77" s="15" t="n">
        <x:v>0.15447144416502606</x:v>
      </x:c>
      <x:c r="G77" s="12" t="str">
        <x:v>Low Beta</x:v>
      </x:c>
      <x:c r="H77" s="12" t="str">
        <x:v>Low Bad Beta</x:v>
      </x:c>
      <x:c r="I77" s="12" t="str">
        <x:v>Low Beta / Low Bad Beta</x:v>
      </x:c>
      <x:c r="J77" s="15" t="n">
        <x:v>1</x:v>
      </x:c>
      <x:c r="K77" s="18" t="n">
        <x:v>46213</x:v>
      </x:c>
      <x:c r="L77" s="15" t="n">
        <x:v>29.3700008392334</x:v>
      </x:c>
      <x:c r="M77" s="19" t="n">
        <x:v>5164863360</x:v>
      </x:c>
      <x:c r="N77" s="12" t="str">
        <x:v>Nasdaq screener</x:v>
      </x:c>
      <x:c r="O77" s="12" t="str">
        <x:v>Consumer Discretionary</x:v>
      </x:c>
      <x:c r="P77" s="12" t="str">
        <x:v>Professional Services</x:v>
      </x:c>
      <x:c r="Q77" s="12" t="n">
        <x:v>8742</x:v>
      </x:c>
      <x:c r="R77" s="12" t="str">
        <x:v>Services-Management Consulting Services</x:v>
      </x:c>
      <x:c r="S77" s="18" t="n">
        <x:v>46112</x:v>
      </x:c>
      <x:c r="T77" s="18" t="n">
        <x:v>46022</x:v>
      </x:c>
      <x:c r="U77" s="15" t="n">
        <x:v>-0.02624573769310272</x:v>
      </x:c>
      <x:c r="V77" s="16" t="n">
        <x:v>0.456896551724138</x:v>
      </x:c>
      <x:c r="W77" s="17" t="n">
        <x:v>0.22343797621480496</x:v>
      </x:c>
      <x:c r="X77" s="15" t="n">
        <x:v>0.09931844722072196</x:v>
      </x:c>
      <x:c r="Y77" s="17" t="n">
        <x:v>0.0507941520273452</x:v>
      </x:c>
      <x:c r="Z77" s="15" t="n">
        <x:v>-0.18327449215404307</x:v>
      </x:c>
      <x:c r="AA77" s="17" t="n">
        <x:v>0.6049660292751121</x:v>
      </x:c>
      <x:c r="AB77" s="15" t="n">
        <x:v>0.005218831854012956</x:v>
      </x:c>
      <x:c r="AC77" s="13" t="b">
        <x:v>0</x:v>
      </x:c>
      <x:c r="AD77" s="15" t="n">
        <x:v>0.3880823657476104</x:v>
      </x:c>
      <x:c r="AE77" s="16" t="n">
        <x:v>0.4818181818181818</x:v>
      </x:c>
      <x:c r="AF77" s="15" t="n">
        <x:v>0.12</x:v>
      </x:c>
      <x:c r="AG77" s="12" t="n">
        <x:v>8</x:v>
      </x:c>
      <x:c r="AH77" s="12" t="n">
        <x:v>64</x:v>
      </x:c>
      <x:c r="AI77" s="17" t="n">
        <x:v>-0.06024901981454178</x:v>
      </x:c>
      <x:c r="AJ77" s="16" t="n">
        <x:v>0.22608695652173913</x:v>
      </x:c>
      <x:c r="AK77" s="18" t="n">
        <x:v>46149</x:v>
      </x:c>
      <x:c r="AL77" s="18" t="n">
        <x:v>46149</x:v>
      </x:c>
      <x:c r="AM77" s="12" t="str">
        <x:v>2026-05-06 to 2026-05-07 to 2026-05-08</x:v>
      </x:c>
      <x:c r="AN77" s="12" t="str">
        <x:v>8-K Item 2.02 filing date</x:v>
      </x:c>
      <x:c r="AO77" s="12" t="str">
        <x:v>SUE + CAR3</x:v>
      </x:c>
      <x:c r="AP77" s="17" t="n">
        <x:v>0.11029004260046872</x:v>
      </x:c>
      <x:c r="AQ77" s="16" t="n">
        <x:v>0.896551724137931</x:v>
      </x:c>
      <x:c r="AR77" s="17" t="n">
        <x:v>0.12947699743212568</x:v>
      </x:c>
      <x:c r="AS77" s="16" t="n">
        <x:v>0.89</x:v>
      </x:c>
      <x:c r="AT77" s="17" t="n">
        <x:v>0.4936047330398301</x:v>
      </x:c>
      <x:c r="AU77" s="16" t="n">
        <x:v>0.6724137931034483</x:v>
      </x:c>
      <x:c r="AV77" s="17" t="n">
        <x:v>0.8817248380031084</x:v>
      </x:c>
      <x:c r="AW77" s="16" t="n">
        <x:v>0.8260869565217391</x:v>
      </x:c>
      <x:c r="AX77" s="17" t="n">
        <x:v>0.17166387315568632</x:v>
      </x:c>
      <x:c r="AY77" s="16" t="n">
        <x:v>0.09482758620689657</x:v>
      </x:c>
      <x:c r="AZ77" s="17" t="n">
        <x:v>0.014801642041582875</x:v>
      </x:c>
      <x:c r="BA77" s="16" t="n">
        <x:v>0.64</x:v>
      </x:c>
      <x:c r="BB77" s="17" t="n">
        <x:v>0.008018992394021443</x:v>
      </x:c>
      <x:c r="BC77" s="16" t="n">
        <x:v>0.19827586206896552</x:v>
      </x:c>
      <x:c r="BD77" s="17" t="n">
        <x:v>0.02279769895016158</x:v>
      </x:c>
      <x:c r="BE77" s="17" t="n">
        <x:v>0.047345105369834994</x:v>
      </x:c>
      <x:c r="BF77" s="17" t="n">
        <x:v>0.021005991568243565</x:v>
      </x:c>
      <x:c r="BG77" s="17" t="n">
        <x:v>0.047345105369834994</x:v>
      </x:c>
      <x:c r="BH77" s="12" t="str">
        <x:v>cash repurchases less issuance</x:v>
      </x:c>
      <x:c r="BI77" s="17" t="n">
        <x:v>-0.06212381192597513</x:v>
      </x:c>
      <x:c r="BJ77" s="19" t="n">
        <x:v>117747000</x:v>
      </x:c>
      <x:c r="BK77" s="19" t="n">
        <x:v>252671000</x:v>
      </x:c>
      <x:c r="BL77" s="19" t="n">
        <x:v>8140000</x:v>
      </x:c>
      <x:c r="BM77" s="19" t="n">
        <x:v>5161025000</x:v>
      </x:c>
      <x:c r="BN77" s="19" t="n">
        <x:v>569633000</x:v>
      </x:c>
      <x:c r="BO77" s="19" t="n">
        <x:v>748885000</x:v>
      </x:c>
      <x:c r="BP77" s="19" t="n">
        <x:v>80154000</x:v>
      </x:c>
      <x:c r="BQ77" s="19" t="n">
        <x:v>668731000</x:v>
      </x:c>
      <x:c r="BR77" s="19" t="n">
        <x:v>5843267000</x:v>
      </x:c>
      <x:c r="BS77" s="19" t="n">
        <x:v>4987153000</x:v>
      </x:c>
      <x:c r="BT77" s="19" t="n">
        <x:v>2549401000</x:v>
      </x:c>
      <x:c r="BU77" s="19" t="n">
        <x:v>853836000</x:v>
      </x:c>
      <x:c r="BV77" s="19" t="n">
        <x:v>1542301000</x:v>
      </x:c>
      <x:c r="BW77" s="19" t="n">
        <x:v>1221440000</x:v>
      </x:c>
      <x:c r="BX77" s="12" t="n">
        <x:v>169506510</x:v>
      </x:c>
      <x:c r="BY77" s="17" t="n">
        <x:v>-0.021005991568243565</x:v>
      </x:c>
      <x:c r="BZ77" s="12" t="n">
        <x:v>5</x:v>
      </x:c>
      <x:c r="CA77" s="12" t="str">
        <x:v>OK</x:v>
      </x:c>
      <x:c r="CB77" s="20" t="str">
        <x:v>https://query1.finance.yahoo.com/v8/finance/chart/G?period1=1704067200&amp;period2=1783728000&amp;interval=1d&amp;events=div%2Csplits</x:v>
      </x:c>
      <x:c r="CC77" s="20" t="str">
        <x:v>https://data.sec.gov/api/xbrl/companyfacts/CIK0001398659.json</x:v>
      </x:c>
      <x:c r="CD77" s="20" t="str">
        <x:v>https://data.sec.gov/submissions/CIK0001398659.json</x:v>
      </x:c>
      <x:c r="CE77" s="20" t="str">
        <x:v>https://api.nasdaq.com/api/screener/stocks?tableonly=true&amp;limit=25000&amp;download=true</x:v>
      </x:c>
    </x:row>
    <x:row r="78">
      <x:c r="A78" s="12" t="str">
        <x:v>T</x:v>
      </x:c>
      <x:c r="B78" s="12" t="str">
        <x:v>AT&amp;T Inc.</x:v>
      </x:c>
      <x:c r="C78" s="12" t="str">
        <x:v>Long</x:v>
      </x:c>
      <x:c r="D78" s="14" t="n">
        <x:v>0.003343</x:v>
      </x:c>
      <x:c r="E78" s="15" t="n">
        <x:v>-0.29191779073391977</x:v>
      </x:c>
      <x:c r="F78" s="15" t="n">
        <x:v>-0.24577810426140084</x:v>
      </x:c>
      <x:c r="G78" s="12" t="str">
        <x:v>Low Beta</x:v>
      </x:c>
      <x:c r="H78" s="12" t="str">
        <x:v>Low Bad Beta</x:v>
      </x:c>
      <x:c r="I78" s="12" t="str">
        <x:v>Low Beta / Low Bad Beta</x:v>
      </x:c>
      <x:c r="J78" s="15" t="n">
        <x:v>1</x:v>
      </x:c>
      <x:c r="K78" s="18" t="n">
        <x:v>46213</x:v>
      </x:c>
      <x:c r="L78" s="15" t="n">
        <x:v>21.1299991607666</x:v>
      </x:c>
      <x:c r="M78" s="19" t="n">
        <x:v>148902901234</x:v>
      </x:c>
      <x:c r="N78" s="12" t="str">
        <x:v>Nasdaq screener</x:v>
      </x:c>
      <x:c r="O78" s="12" t="str">
        <x:v>Telecommunications</x:v>
      </x:c>
      <x:c r="P78" s="12" t="str">
        <x:v>Telecommunications Equipment</x:v>
      </x:c>
      <x:c r="Q78" s="12" t="n">
        <x:v>4813</x:v>
      </x:c>
      <x:c r="R78" s="12" t="str">
        <x:v>Telephone Communications (No Radiotelephone)</x:v>
      </x:c>
      <x:c r="S78" s="18" t="n">
        <x:v>46112</x:v>
      </x:c>
      <x:c r="T78" s="18" t="n">
        <x:v>46022</x:v>
      </x:c>
      <x:c r="U78" s="15" t="n">
        <x:v>-0.3606703598865161</x:v>
      </x:c>
      <x:c r="V78" s="16" t="n">
        <x:v>0.28448275862068967</x:v>
      </x:c>
      <x:c r="W78" s="17" t="n">
        <x:v>0.16942707386296257</x:v>
      </x:c>
      <x:c r="X78" s="15" t="n">
        <x:v>-0.2144649267544468</x:v>
      </x:c>
      <x:c r="Y78" s="17"/>
      <x:c r="Z78" s="15"/>
      <x:c r="AA78" s="17" t="n">
        <x:v>1.0650402004885724</x:v>
      </x:c>
      <x:c r="AB78" s="15" t="n">
        <x:v>-0.5068757930185853</x:v>
      </x:c>
      <x:c r="AC78" s="13" t="b">
        <x:v>0</x:v>
      </x:c>
      <x:c r="AD78" s="15" t="n">
        <x:v>-0.13195138314049734</x:v>
      </x:c>
      <x:c r="AE78" s="16" t="n">
        <x:v>0.2545454545454545</x:v>
      </x:c>
      <x:c r="AF78" s="15" t="n">
        <x:v>-0.06999999999999995</x:v>
      </x:c>
      <x:c r="AG78" s="12" t="n">
        <x:v>8</x:v>
      </x:c>
      <x:c r="AH78" s="12" t="n">
        <x:v>65</x:v>
      </x:c>
      <x:c r="AI78" s="17" t="n">
        <x:v>0.0177476273242958</x:v>
      </x:c>
      <x:c r="AJ78" s="16" t="n">
        <x:v>0.7739130434782608</x:v>
      </x:c>
      <x:c r="AK78" s="18" t="n">
        <x:v>46134</x:v>
      </x:c>
      <x:c r="AL78" s="18" t="n">
        <x:v>46134</x:v>
      </x:c>
      <x:c r="AM78" s="12" t="str">
        <x:v>2026-04-21 to 2026-04-22 to 2026-04-23</x:v>
      </x:c>
      <x:c r="AN78" s="12" t="str">
        <x:v>8-K Item 2.02 filing date</x:v>
      </x:c>
      <x:c r="AO78" s="12" t="str">
        <x:v>SUE + CAR3</x:v>
      </x:c>
      <x:c r="AP78" s="17" t="n">
        <x:v>0.1439260069642385</x:v>
      </x:c>
      <x:c r="AQ78" s="16" t="n">
        <x:v>0.9655172413793104</x:v>
      </x:c>
      <x:c r="AR78" s="17" t="n">
        <x:v>0.12653883734870897</x:v>
      </x:c>
      <x:c r="AS78" s="16" t="n">
        <x:v>0.88</x:v>
      </x:c>
      <x:c r="AT78" s="17" t="n">
        <x:v>0.8494864703893188</x:v>
      </x:c>
      <x:c r="AU78" s="16" t="n">
        <x:v>0.9310344827586207</x:v>
      </x:c>
      <x:c r="AV78" s="17" t="n">
        <x:v>0.47676806734495264</x:v>
      </x:c>
      <x:c r="AW78" s="16" t="n">
        <x:v>0.6608695652173913</x:v>
      </x:c>
      <x:c r="AX78" s="17" t="n">
        <x:v>0.06434478653478393</x:v>
      </x:c>
      <x:c r="AY78" s="16" t="n">
        <x:v>0.4913793103448276</x:v>
      </x:c>
      <x:c r="AZ78" s="17" t="n">
        <x:v>0.05261885684907723</x:v>
      </x:c>
      <x:c r="BA78" s="16" t="n">
        <x:v>0.30000000000000004</x:v>
      </x:c>
      <x:c r="BB78" s="17" t="n">
        <x:v>0.0005171155119334733</x:v>
      </x:c>
      <x:c r="BC78" s="16" t="n">
        <x:v>0.15517241379310345</x:v>
      </x:c>
      <x:c r="BD78" s="17" t="n">
        <x:v>0.05493512841059544</x:v>
      </x:c>
      <x:c r="BE78" s="17" t="n">
        <x:v>0.03021432062582749</x:v>
      </x:c>
      <x:c r="BF78" s="17" t="n">
        <x:v>0.003470294280955022</x:v>
      </x:c>
      <x:c r="BG78" s="17" t="n">
        <x:v>0.03021432062582749</x:v>
      </x:c>
      <x:c r="BH78" s="12" t="str">
        <x:v>cash repurchases less issuance</x:v>
      </x:c>
      <x:c r="BI78" s="17" t="n">
        <x:v>-0.08463233352448946</x:v>
      </x:c>
      <x:c r="BJ78" s="19" t="n">
        <x:v>8180000000</x:v>
      </x:c>
      <x:c r="BK78" s="19" t="n">
        <x:v>4500000000</x:v>
      </x:c>
      <x:c r="BL78" s="19" t="n">
        <x:v>1000000</x:v>
      </x:c>
      <x:c r="BM78" s="19" t="n">
        <x:v>126528000000</x:v>
      </x:c>
      <x:c r="BN78" s="19" t="n">
        <x:v>21431000000</x:v>
      </x:c>
      <x:c r="BO78" s="19" t="n">
        <x:v>40284000000</x:v>
      </x:c>
      <x:c r="BP78" s="19" t="n">
        <x:v>21442000000</x:v>
      </x:c>
      <x:c r="BQ78" s="19" t="n">
        <x:v>18842000000</x:v>
      </x:c>
      <x:c r="BR78" s="19" t="n">
        <x:v>420198000000</x:v>
      </x:c>
      <x:c r="BS78" s="19" t="n">
        <x:v>394795000000</x:v>
      </x:c>
      <x:c r="BT78" s="19" t="n">
        <x:v>126491000000</x:v>
      </x:c>
      <x:c r="BU78" s="19" t="n">
        <x:v>18234000000</x:v>
      </x:c>
      <x:c r="BV78" s="19" t="n">
        <x:v>134718000000</x:v>
      </x:c>
      <x:c r="BW78" s="19" t="n">
        <x:v>122116000000</x:v>
      </x:c>
      <x:c r="BX78" s="12" t="n">
        <x:v>6948338835</x:v>
      </x:c>
      <x:c r="BY78" s="17" t="n">
        <x:v>-0.003470294280955022</x:v>
      </x:c>
      <x:c r="BZ78" s="12" t="n">
        <x:v>5</x:v>
      </x:c>
      <x:c r="CA78" s="12" t="str">
        <x:v>OK</x:v>
      </x:c>
      <x:c r="CB78" s="20" t="str">
        <x:v>https://query1.finance.yahoo.com/v8/finance/chart/T?period1=1704067200&amp;period2=1783728000&amp;interval=1d&amp;events=div%2Csplits</x:v>
      </x:c>
      <x:c r="CC78" s="20" t="str">
        <x:v>https://data.sec.gov/api/xbrl/companyfacts/CIK0000732717.json</x:v>
      </x:c>
      <x:c r="CD78" s="20" t="str">
        <x:v>https://data.sec.gov/submissions/CIK0000732717.json</x:v>
      </x:c>
      <x:c r="CE78" s="20" t="str">
        <x:v>https://api.nasdaq.com/api/screener/stocks?tableonly=true&amp;limit=25000&amp;download=true</x:v>
      </x:c>
    </x:row>
    <x:row r="79">
      <x:c r="A79" s="12" t="str">
        <x:v>FAST</x:v>
      </x:c>
      <x:c r="B79" s="12" t="str">
        <x:v>Fastenal Co.</x:v>
      </x:c>
      <x:c r="C79" s="12" t="str">
        <x:v>Long</x:v>
      </x:c>
      <x:c r="D79" s="14" t="n">
        <x:v>0.004237</x:v>
      </x:c>
      <x:c r="E79" s="15" t="n">
        <x:v>0.2840875443450334</x:v>
      </x:c>
      <x:c r="F79" s="15" t="n">
        <x:v>0.010094951266704715</x:v>
      </x:c>
      <x:c r="G79" s="12" t="str">
        <x:v>Low Beta</x:v>
      </x:c>
      <x:c r="H79" s="12" t="str">
        <x:v>Low Bad Beta</x:v>
      </x:c>
      <x:c r="I79" s="12" t="str">
        <x:v>Low Beta / Low Bad Beta</x:v>
      </x:c>
      <x:c r="J79" s="15" t="n">
        <x:v>1</x:v>
      </x:c>
      <x:c r="K79" s="18" t="n">
        <x:v>46213</x:v>
      </x:c>
      <x:c r="L79" s="15" t="n">
        <x:v>46.4900016784668</x:v>
      </x:c>
      <x:c r="M79" s="19" t="n">
        <x:v>51988767737</x:v>
      </x:c>
      <x:c r="N79" s="12" t="str">
        <x:v>Nasdaq screener</x:v>
      </x:c>
      <x:c r="O79" s="12" t="str">
        <x:v>Consumer Discretionary</x:v>
      </x:c>
      <x:c r="P79" s="12" t="str">
        <x:v>RETAIL: Building Materials</x:v>
      </x:c>
      <x:c r="Q79" s="12" t="n">
        <x:v>5200</x:v>
      </x:c>
      <x:c r="R79" s="12" t="str">
        <x:v>Retail-Building Materials, Hardware, Garden Supply</x:v>
      </x:c>
      <x:c r="S79" s="18" t="n">
        <x:v>46112</x:v>
      </x:c>
      <x:c r="T79" s="18" t="n">
        <x:v>46022</x:v>
      </x:c>
      <x:c r="U79" s="15" t="n">
        <x:v>0.6795388346462512</x:v>
      </x:c>
      <x:c r="V79" s="16" t="n">
        <x:v>0.956896551724138</x:v>
      </x:c>
      <x:c r="W79" s="17" t="n">
        <x:v>0.3295466071609697</x:v>
      </x:c>
      <x:c r="X79" s="15" t="n">
        <x:v>0.7157703629706136</x:v>
      </x:c>
      <x:c r="Y79" s="17"/>
      <x:c r="Z79" s="15"/>
      <x:c r="AA79" s="17" t="n">
        <x:v>0.031696926665990464</x:v>
      </x:c>
      <x:c r="AB79" s="15" t="n">
        <x:v>0.6433073063218888</x:v>
      </x:c>
      <x:c r="AC79" s="13" t="b">
        <x:v>0</x:v>
      </x:c>
      <x:c r="AD79" s="15" t="n">
        <x:v>-1.9086672713409683</x:v>
      </x:c>
      <x:c r="AE79" s="16" t="n">
        <x:v>0.03636363636363636</x:v>
      </x:c>
      <x:c r="AF79" s="15" t="n">
        <x:v>-0.22000000000000003</x:v>
      </x:c>
      <x:c r="AG79" s="12" t="n">
        <x:v>8</x:v>
      </x:c>
      <x:c r="AH79" s="12" t="n">
        <x:v>64</x:v>
      </x:c>
      <x:c r="AI79" s="17" t="n">
        <x:v>-0.11423992884119472</x:v>
      </x:c>
      <x:c r="AJ79" s="16" t="n">
        <x:v>0.10434782608695652</x:v>
      </x:c>
      <x:c r="AK79" s="18" t="n">
        <x:v>46125</x:v>
      </x:c>
      <x:c r="AL79" s="18" t="n">
        <x:v>46125</x:v>
      </x:c>
      <x:c r="AM79" s="12" t="str">
        <x:v>2026-04-10 to 2026-04-13 to 2026-04-14</x:v>
      </x:c>
      <x:c r="AN79" s="12" t="str">
        <x:v>8-K Item 2.02 filing date</x:v>
      </x:c>
      <x:c r="AO79" s="12" t="str">
        <x:v>SUE + CAR3</x:v>
      </x:c>
      <x:c r="AP79" s="17" t="n">
        <x:v>0.024997707323520284</x:v>
      </x:c>
      <x:c r="AQ79" s="16" t="n">
        <x:v>0.11206896551724138</x:v>
      </x:c>
      <x:c r="AR79" s="17" t="n">
        <x:v>0.022379834157368307</x:v>
      </x:c>
      <x:c r="AS79" s="16" t="n">
        <x:v>0.19</x:v>
      </x:c>
      <x:c r="AT79" s="17" t="n">
        <x:v>0.07585484656897092</x:v>
      </x:c>
      <x:c r="AU79" s="16" t="n">
        <x:v>0.1206896551724138</x:v>
      </x:c>
      <x:c r="AV79" s="17" t="n">
        <x:v>0.16287025203393216</x:v>
      </x:c>
      <x:c r="AW79" s="16" t="n">
        <x:v>0.2608695652173913</x:v>
      </x:c>
      <x:c r="AX79" s="17" t="n">
        <x:v>0.07554278416347371</x:v>
      </x:c>
      <x:c r="AY79" s="16" t="n">
        <x:v>0.4224137931034483</x:v>
      </x:c>
      <x:c r="AZ79" s="17" t="n">
        <x:v>0.05096965408321283</x:v>
      </x:c>
      <x:c r="BA79" s="16" t="n">
        <x:v>0.31000000000000005</x:v>
      </x:c>
      <x:c r="BB79" s="17" t="n">
        <x:v>0.020290921403186786</x:v>
      </x:c>
      <x:c r="BC79" s="16" t="n">
        <x:v>0.3275862068965517</x:v>
      </x:c>
      <x:c r="BD79" s="17" t="n">
        <x:v>0.019315710752753977</x:v>
      </x:c>
      <x:c r="BE79" s="17" t="n">
        <x:v>-0.0004674086549411688</x:v>
      </x:c>
      <x:c r="BF79" s="17" t="n">
        <x:v>-0.001540864374780293</x:v>
      </x:c>
      <x:c r="BG79" s="17" t="n">
        <x:v>-0.0004674086549411688</x:v>
      </x:c>
      <x:c r="BH79" s="12" t="str">
        <x:v>cash repurchases less issuance</x:v>
      </x:c>
      <x:c r="BI79" s="17" t="n">
        <x:v>0.0014426193053739776</x:v>
      </x:c>
      <x:c r="BJ79" s="19" t="n">
        <x:v>1004200000</x:v>
      </x:c>
      <x:c r="BK79" s="19" t="n">
        <x:v>0</x:v>
      </x:c>
      <x:c r="BL79" s="19" t="n">
        <x:v>24300000</x:v>
      </x:c>
      <x:c r="BM79" s="19" t="n">
        <x:v>8442700000</x:v>
      </x:c>
      <x:c r="BN79" s="19" t="n">
        <x:v>1299600000</x:v>
      </x:c>
      <x:c r="BO79" s="19" t="n">
        <x:v>1412000000</x:v>
      </x:c>
      <x:c r="BP79" s="19" t="n">
        <x:v>248500000</x:v>
      </x:c>
      <x:c r="BQ79" s="19" t="n">
        <x:v>1163500000</x:v>
      </x:c>
      <x:c r="BR79" s="19" t="n">
        <x:v>5052900000</x:v>
      </x:c>
      <x:c r="BS79" s="19" t="n">
        <x:v>4698000000</x:v>
      </x:c>
      <x:c r="BT79" s="19" t="n">
        <x:v>3943600000</x:v>
      </x:c>
      <x:c r="BU79" s="19" t="n">
        <x:v>276800000</x:v>
      </x:c>
      <x:c r="BV79" s="19" t="n">
        <x:v>125000000</x:v>
      </x:c>
      <x:c r="BW79" s="19" t="n">
        <x:v>200000000</x:v>
      </x:c>
      <x:c r="BX79" s="12" t="n">
        <x:v>1148035061</x:v>
      </x:c>
      <x:c r="BY79" s="17" t="n">
        <x:v>0.001540864374780293</x:v>
      </x:c>
      <x:c r="BZ79" s="12" t="n">
        <x:v>5</x:v>
      </x:c>
      <x:c r="CA79" s="12" t="str">
        <x:v>OK</x:v>
      </x:c>
      <x:c r="CB79" s="20" t="str">
        <x:v>https://query1.finance.yahoo.com/v8/finance/chart/FAST?period1=1704067200&amp;period2=1783728000&amp;interval=1d&amp;events=div%2Csplits</x:v>
      </x:c>
      <x:c r="CC79" s="20" t="str">
        <x:v>https://data.sec.gov/api/xbrl/companyfacts/CIK0000815556.json</x:v>
      </x:c>
      <x:c r="CD79" s="20" t="str">
        <x:v>https://data.sec.gov/submissions/CIK0000815556.json</x:v>
      </x:c>
      <x:c r="CE79" s="20" t="str">
        <x:v>https://api.nasdaq.com/api/screener/stocks?tableonly=true&amp;limit=25000&amp;download=true</x:v>
      </x:c>
    </x:row>
    <x:row r="80">
      <x:c r="A80" s="12" t="str">
        <x:v>LMT</x:v>
      </x:c>
      <x:c r="B80" s="12" t="str">
        <x:v>Lockheed Martin Corp.</x:v>
      </x:c>
      <x:c r="C80" s="12" t="str">
        <x:v>Long</x:v>
      </x:c>
      <x:c r="D80" s="14" t="n">
        <x:v>0.003599</x:v>
      </x:c>
      <x:c r="E80" s="15" t="n">
        <x:v>-0.046373329483009</x:v>
      </x:c>
      <x:c r="F80" s="15" t="n">
        <x:v>-0.06476912300554814</x:v>
      </x:c>
      <x:c r="G80" s="12" t="str">
        <x:v>Low Beta</x:v>
      </x:c>
      <x:c r="H80" s="12" t="str">
        <x:v>Low Bad Beta</x:v>
      </x:c>
      <x:c r="I80" s="12" t="str">
        <x:v>Low Beta / Low Bad Beta</x:v>
      </x:c>
      <x:c r="J80" s="15" t="n">
        <x:v>1</x:v>
      </x:c>
      <x:c r="K80" s="18" t="n">
        <x:v>46213</x:v>
      </x:c>
      <x:c r="L80" s="15" t="n">
        <x:v>523.219970703125</x:v>
      </x:c>
      <x:c r="M80" s="19" t="n">
        <x:v>118329854898</x:v>
      </x:c>
      <x:c r="N80" s="12" t="str">
        <x:v>Nasdaq screener</x:v>
      </x:c>
      <x:c r="O80" s="12" t="str">
        <x:v>Industrials</x:v>
      </x:c>
      <x:c r="P80" s="12" t="str">
        <x:v>Military/Government/Technical</x:v>
      </x:c>
      <x:c r="Q80" s="12" t="n">
        <x:v>3760</x:v>
      </x:c>
      <x:c r="R80" s="12" t="str">
        <x:v>Guided Missiles &amp; Space Vehicles &amp; Parts</x:v>
      </x:c>
      <x:c r="S80" s="18" t="n">
        <x:v>46110</x:v>
      </x:c>
      <x:c r="T80" s="18" t="n">
        <x:v>46022</x:v>
      </x:c>
      <x:c r="U80" s="15" t="n">
        <x:v>0.10693418530407937</x:v>
      </x:c>
      <x:c r="V80" s="16" t="n">
        <x:v>0.6206896551724138</x:v>
      </x:c>
      <x:c r="W80" s="17" t="n">
        <x:v>0.7131379259038834</x:v>
      </x:c>
      <x:c r="X80" s="15" t="n">
        <x:v>2.9442941050596967</x:v>
      </x:c>
      <x:c r="Y80" s="17" t="n">
        <x:v>0.0031180439470971876</x:v>
      </x:c>
      <x:c r="Z80" s="15" t="n">
        <x:v>0.2916730798841592</x:v>
      </x:c>
      <x:c r="AA80" s="17" t="n">
        <x:v>3.228686207409612</x:v>
      </x:c>
      <x:c r="AB80" s="15" t="n">
        <x:v>-2.9151646290316178</x:v>
      </x:c>
      <x:c r="AC80" s="13" t="b">
        <x:v>0</x:v>
      </x:c>
      <x:c r="AD80" s="15" t="n">
        <x:v>-0.26966179709617677</x:v>
      </x:c>
      <x:c r="AE80" s="16" t="n">
        <x:v>0.2</x:v>
      </x:c>
      <x:c r="AF80" s="15" t="n">
        <x:v>-0.8300000000000001</x:v>
      </x:c>
      <x:c r="AG80" s="12" t="n">
        <x:v>8</x:v>
      </x:c>
      <x:c r="AH80" s="12" t="n">
        <x:v>68</x:v>
      </x:c>
      <x:c r="AI80" s="17" t="n">
        <x:v>-0.11799476977107659</x:v>
      </x:c>
      <x:c r="AJ80" s="16" t="n">
        <x:v>0.09565217391304348</x:v>
      </x:c>
      <x:c r="AK80" s="18" t="n">
        <x:v>46135</x:v>
      </x:c>
      <x:c r="AL80" s="18" t="n">
        <x:v>46135</x:v>
      </x:c>
      <x:c r="AM80" s="12" t="str">
        <x:v>2026-04-22 to 2026-04-23 to 2026-04-24</x:v>
      </x:c>
      <x:c r="AN80" s="12" t="str">
        <x:v>8-K Item 2.02 filing date</x:v>
      </x:c>
      <x:c r="AO80" s="12" t="str">
        <x:v>SUE + CAR3</x:v>
      </x:c>
      <x:c r="AP80" s="17" t="n">
        <x:v>0.040505416018058606</x:v>
      </x:c>
      <x:c r="AQ80" s="16" t="n">
        <x:v>0.39655172413793105</x:v>
      </x:c>
      <x:c r="AR80" s="17" t="n">
        <x:v>0.04784929386485454</x:v>
      </x:c>
      <x:c r="AS80" s="16" t="n">
        <x:v>0.45</x:v>
      </x:c>
      <x:c r="AT80" s="17" t="n">
        <x:v>0.05679885271382681</x:v>
      </x:c>
      <x:c r="AU80" s="16" t="n">
        <x:v>0.11206896551724138</x:v>
      </x:c>
      <x:c r="AV80" s="17" t="n">
        <x:v>0.5526203576387078</x:v>
      </x:c>
      <x:c r="AW80" s="16" t="n">
        <x:v>0.7304347826086957</x:v>
      </x:c>
      <x:c r="AX80" s="17" t="n">
        <x:v>0.07593002139633565</x:v>
      </x:c>
      <x:c r="AY80" s="16" t="n">
        <x:v>0.4137931034482759</x:v>
      </x:c>
      <x:c r="AZ80" s="17" t="n">
        <x:v>0.029552127631932233</x:v>
      </x:c>
      <x:c r="BA80" s="16" t="n">
        <x:v>0.45999999999999996</x:v>
      </x:c>
      <x:c r="BB80" s="17" t="n">
        <x:v>0.039127910737244184</x:v>
      </x:c>
      <x:c r="BC80" s="16" t="n">
        <x:v>0.5775862068965517</x:v>
      </x:c>
      <x:c r="BD80" s="17" t="n">
        <x:v>0.026459932725337264</x:v>
      </x:c>
      <x:c r="BE80" s="17" t="n">
        <x:v>0.024752840291444537</x:v>
      </x:c>
      <x:c r="BF80" s="17" t="n">
        <x:v>0.023829431438127102</x:v>
      </x:c>
      <x:c r="BG80" s="17" t="n">
        <x:v>0.024752840291444537</x:v>
      </x:c>
      <x:c r="BH80" s="12" t="str">
        <x:v>cash repurchases less issuance</x:v>
      </x:c>
      <x:c r="BI80" s="17" t="n">
        <x:v>-0.012084862279537619</x:v>
      </x:c>
      <x:c r="BJ80" s="19" t="n">
        <x:v>3131000000</x:v>
      </x:c>
      <x:c r="BK80" s="19" t="n">
        <x:v>3000000000</x:v>
      </x:c>
      <x:c r="BL80" s="19" t="n">
        <x:v>71000000</x:v>
      </x:c>
      <x:c r="BM80" s="19" t="n">
        <x:v>75106000000</x:v>
      </x:c>
      <x:c r="BN80" s="19" t="n">
        <x:v>4793000000</x:v>
      </x:c>
      <x:c r="BO80" s="19" t="n">
        <x:v>7368000000</x:v>
      </x:c>
      <x:c r="BP80" s="19" t="n">
        <x:v>1706000000</x:v>
      </x:c>
      <x:c r="BQ80" s="19" t="n">
        <x:v>5662000000</x:v>
      </x:c>
      <x:c r="BR80" s="19" t="n">
        <x:v>59840000000</x:v>
      </x:c>
      <x:c r="BS80" s="19" t="n">
        <x:v>55617000000</x:v>
      </x:c>
      <x:c r="BT80" s="19" t="n">
        <x:v>6721000000</x:v>
      </x:c>
      <x:c r="BU80" s="19" t="n">
        <x:v>4121000000</x:v>
      </x:c>
      <x:c r="BV80" s="19" t="n">
        <x:v>21700000000</x:v>
      </x:c>
      <x:c r="BW80" s="19" t="n">
        <x:v>20270000000</x:v>
      </x:c>
      <x:c r="BX80" s="12" t="n">
        <x:v>230563608</x:v>
      </x:c>
      <x:c r="BY80" s="17" t="n">
        <x:v>-0.023829431438127102</x:v>
      </x:c>
      <x:c r="BZ80" s="12" t="n">
        <x:v>5</x:v>
      </x:c>
      <x:c r="CA80" s="12" t="str">
        <x:v>OK</x:v>
      </x:c>
      <x:c r="CB80" s="20" t="str">
        <x:v>https://query1.finance.yahoo.com/v8/finance/chart/LMT?period1=1704067200&amp;period2=1783728000&amp;interval=1d&amp;events=div%2Csplits</x:v>
      </x:c>
      <x:c r="CC80" s="20" t="str">
        <x:v>https://data.sec.gov/api/xbrl/companyfacts/CIK0000936468.json</x:v>
      </x:c>
      <x:c r="CD80" s="20" t="str">
        <x:v>https://data.sec.gov/submissions/CIK0000936468.json</x:v>
      </x:c>
      <x:c r="CE80" s="20" t="str">
        <x:v>https://api.nasdaq.com/api/screener/stocks?tableonly=true&amp;limit=25000&amp;download=true</x:v>
      </x:c>
    </x:row>
    <x:row r="81">
      <x:c r="A81" s="12" t="str">
        <x:v>BJ</x:v>
      </x:c>
      <x:c r="B81" s="12" t="str">
        <x:v>BJ's Wholesale Club Holdings Inc.</x:v>
      </x:c>
      <x:c r="C81" s="12" t="str">
        <x:v>Long</x:v>
      </x:c>
      <x:c r="D81" s="14" t="n">
        <x:v>0.003785</x:v>
      </x:c>
      <x:c r="E81" s="15" t="n">
        <x:v>-0.2261360462125055</x:v>
      </x:c>
      <x:c r="F81" s="15" t="n">
        <x:v>-0.1283237108376308</x:v>
      </x:c>
      <x:c r="G81" s="12" t="str">
        <x:v>Low Beta</x:v>
      </x:c>
      <x:c r="H81" s="12" t="str">
        <x:v>Low Bad Beta</x:v>
      </x:c>
      <x:c r="I81" s="12" t="str">
        <x:v>Low Beta / Low Bad Beta</x:v>
      </x:c>
      <x:c r="J81" s="15" t="n">
        <x:v>1</x:v>
      </x:c>
      <x:c r="K81" s="18" t="n">
        <x:v>46213</x:v>
      </x:c>
      <x:c r="L81" s="15" t="n">
        <x:v>88.05000305175781</x:v>
      </x:c>
      <x:c r="M81" s="19" t="n">
        <x:v>11668676532</x:v>
      </x:c>
      <x:c r="N81" s="12" t="str">
        <x:v>Nasdaq screener</x:v>
      </x:c>
      <x:c r="O81" s="12" t="str">
        <x:v>Consumer Discretionary</x:v>
      </x:c>
      <x:c r="P81" s="12" t="str">
        <x:v>Department/Specialty Retail Stores</x:v>
      </x:c>
      <x:c r="Q81" s="12" t="n">
        <x:v>5331</x:v>
      </x:c>
      <x:c r="R81" s="12" t="str">
        <x:v>Retail-Variety Stores</x:v>
      </x:c>
      <x:c r="S81" s="18" t="n">
        <x:v>46144</x:v>
      </x:c>
      <x:c r="T81" s="18" t="n">
        <x:v>46053</x:v>
      </x:c>
      <x:c r="U81" s="15" t="n">
        <x:v>0.21874507904483398</x:v>
      </x:c>
      <x:c r="V81" s="16" t="n">
        <x:v>0.75</x:v>
      </x:c>
      <x:c r="W81" s="17" t="n">
        <x:v>0.2599743636296623</x:v>
      </x:c>
      <x:c r="X81" s="15" t="n">
        <x:v>0.3115813500179155</x:v>
      </x:c>
      <x:c r="Y81" s="17" t="n">
        <x:v>0.04562692356772673</x:v>
      </x:c>
      <x:c r="Z81" s="15" t="n">
        <x:v>-0.13179875913213482</x:v>
      </x:c>
      <x:c r="AA81" s="17" t="n">
        <x:v>0.18160187727031354</x:v>
      </x:c>
      <x:c r="AB81" s="15" t="n">
        <x:v>0.4764526462487213</x:v>
      </x:c>
      <x:c r="AC81" s="13" t="b">
        <x:v>0</x:v>
      </x:c>
      <x:c r="AD81" s="15" t="n">
        <x:v>-0.2072400656803071</x:v>
      </x:c>
      <x:c r="AE81" s="16" t="n">
        <x:v>0.20909090909090908</x:v>
      </x:c>
      <x:c r="AF81" s="15" t="n">
        <x:v>-0.029999999999999805</x:v>
      </x:c>
      <x:c r="AG81" s="12" t="n">
        <x:v>8</x:v>
      </x:c>
      <x:c r="AH81" s="12" t="n">
        <x:v>32</x:v>
      </x:c>
      <x:c r="AI81" s="17" t="n">
        <x:v>-0.12651824623024377</x:v>
      </x:c>
      <x:c r="AJ81" s="16" t="n">
        <x:v>0.06956521739130435</x:v>
      </x:c>
      <x:c r="AK81" s="18" t="n">
        <x:v>46164</x:v>
      </x:c>
      <x:c r="AL81" s="18" t="n">
        <x:v>46164</x:v>
      </x:c>
      <x:c r="AM81" s="12" t="str">
        <x:v>2026-05-21 to 2026-05-22 to 2026-05-26</x:v>
      </x:c>
      <x:c r="AN81" s="12" t="str">
        <x:v>8-K Item 2.02 filing date</x:v>
      </x:c>
      <x:c r="AO81" s="12" t="str">
        <x:v>SUE + CAR3</x:v>
      </x:c>
      <x:c r="AP81" s="17" t="n">
        <x:v>0.04896313634482708</x:v>
      </x:c>
      <x:c r="AQ81" s="16" t="n">
        <x:v>0.5258620689655172</x:v>
      </x:c>
      <x:c r="AR81" s="17" t="n">
        <x:v>0.01871386179925002</x:v>
      </x:c>
      <x:c r="AS81" s="16" t="n">
        <x:v>0.16</x:v>
      </x:c>
      <x:c r="AT81" s="17" t="n">
        <x:v>0.18833832559958052</x:v>
      </x:c>
      <x:c r="AU81" s="16" t="n">
        <x:v>0.27586206896551724</x:v>
      </x:c>
      <x:c r="AV81" s="17" t="n">
        <x:v>1.8271626014283953</x:v>
      </x:c>
      <x:c r="AW81" s="16" t="n">
        <x:v>0.9391304347826087</x:v>
      </x:c>
      <x:c r="AX81" s="17" t="n">
        <x:v>0.06300789562517117</x:v>
      </x:c>
      <x:c r="AY81" s="16" t="n">
        <x:v>0.5086206896551724</x:v>
      </x:c>
      <x:c r="AZ81" s="17" t="n">
        <x:v>0.10202610083302574</x:v>
      </x:c>
      <x:c r="BA81" s="16" t="n">
        <x:v>0.040000000000000036</x:v>
      </x:c>
      <x:c r="BB81" s="17" t="n">
        <x:v>0.02412492961202603</x:v>
      </x:c>
      <x:c r="BC81" s="16" t="n">
        <x:v>0.39655172413793105</x:v>
      </x:c>
      <x:c r="BD81" s="17" t="n">
        <x:v>0.0000021424880475039636</x:v>
      </x:c>
      <x:c r="BE81" s="17" t="n">
        <x:v>0.02414781138437337</x:v>
      </x:c>
      <x:c r="BF81" s="17" t="n">
        <x:v>0.011519029976423067</x:v>
      </x:c>
      <x:c r="BG81" s="17" t="n">
        <x:v>0.02414781138437337</x:v>
      </x:c>
      <x:c r="BH81" s="12" t="str">
        <x:v>cash repurchases less issuance</x:v>
      </x:c>
      <x:c r="BI81" s="17" t="n">
        <x:v>-0.000025024260394846293</x:v>
      </x:c>
      <x:c r="BJ81" s="19" t="n">
        <x:v>25000</x:v>
      </x:c>
      <x:c r="BK81" s="19" t="n">
        <x:v>286787000</x:v>
      </x:c>
      <x:c r="BL81" s="19" t="n">
        <x:v>5014000</x:v>
      </x:c>
      <x:c r="BM81" s="19" t="n">
        <x:v>21965291000</x:v>
      </x:c>
      <x:c r="BN81" s="19" t="n">
        <x:v>571335000</x:v>
      </x:c>
      <x:c r="BO81" s="19" t="n">
        <x:v>961921000</x:v>
      </x:c>
      <x:c r="BP81" s="19" t="n">
        <x:v>743555000</x:v>
      </x:c>
      <x:c r="BQ81" s="19" t="n">
        <x:v>218366000</x:v>
      </x:c>
      <x:c r="BR81" s="19" t="n">
        <x:v>7510475000</x:v>
      </x:c>
      <x:c r="BS81" s="19" t="n">
        <x:v>7065305000</x:v>
      </x:c>
      <x:c r="BT81" s="19" t="n">
        <x:v>2197659000</x:v>
      </x:c>
      <x:c r="BU81" s="19" t="n">
        <x:v>46245000</x:v>
      </x:c>
      <x:c r="BV81" s="19" t="n">
        <x:v>399099000</x:v>
      </x:c>
      <x:c r="BW81" s="19" t="n">
        <x:v>398807000</x:v>
      </x:c>
      <x:c r="BX81" s="12" t="n">
        <x:v>127693987</x:v>
      </x:c>
      <x:c r="BY81" s="17" t="n">
        <x:v>-0.011519029976423067</x:v>
      </x:c>
      <x:c r="BZ81" s="12" t="n">
        <x:v>5</x:v>
      </x:c>
      <x:c r="CA81" s="12" t="str">
        <x:v>OK</x:v>
      </x:c>
      <x:c r="CB81" s="20" t="str">
        <x:v>https://query1.finance.yahoo.com/v8/finance/chart/BJ?period1=1704067200&amp;period2=1783728000&amp;interval=1d&amp;events=div%2Csplits</x:v>
      </x:c>
      <x:c r="CC81" s="20" t="str">
        <x:v>https://data.sec.gov/api/xbrl/companyfacts/CIK0001531152.json</x:v>
      </x:c>
      <x:c r="CD81" s="20" t="str">
        <x:v>https://data.sec.gov/submissions/CIK0001531152.json</x:v>
      </x:c>
      <x:c r="CE81" s="20" t="str">
        <x:v>https://api.nasdaq.com/api/screener/stocks?tableonly=true&amp;limit=25000&amp;download=true</x:v>
      </x:c>
    </x:row>
    <x:row r="82">
      <x:c r="A82" s="12" t="str">
        <x:v>MRSH</x:v>
      </x:c>
      <x:c r="B82" s="12" t="str">
        <x:v>Marsh and McLennan Cos. Inc.</x:v>
      </x:c>
      <x:c r="C82" s="12" t="str">
        <x:v>Long</x:v>
      </x:c>
      <x:c r="D82" s="14" t="n">
        <x:v>0.004293</x:v>
      </x:c>
      <x:c r="E82" s="15" t="n">
        <x:v>0.16171120689280682</x:v>
      </x:c>
      <x:c r="F82" s="15" t="n">
        <x:v>-0.08191835007011287</x:v>
      </x:c>
      <x:c r="G82" s="12" t="str">
        <x:v>Low Beta</x:v>
      </x:c>
      <x:c r="H82" s="12" t="str">
        <x:v>Low Bad Beta</x:v>
      </x:c>
      <x:c r="I82" s="12" t="str">
        <x:v>Low Beta / Low Bad Beta</x:v>
      </x:c>
      <x:c r="J82" s="15" t="n">
        <x:v>1</x:v>
      </x:c>
      <x:c r="K82" s="18" t="n">
        <x:v>46213</x:v>
      </x:c>
      <x:c r="L82" s="15" t="n">
        <x:v>178.30999755859375</x:v>
      </x:c>
      <x:c r="M82" s="19" t="n">
        <x:v>85826872408</x:v>
      </x:c>
      <x:c r="N82" s="12" t="str">
        <x:v>Nasdaq screener</x:v>
      </x:c>
      <x:c r="O82" s="12" t="str">
        <x:v>Finance</x:v>
      </x:c>
      <x:c r="P82" s="12" t="str">
        <x:v>Specialty Insurers</x:v>
      </x:c>
      <x:c r="Q82" s="12" t="n">
        <x:v>6411</x:v>
      </x:c>
      <x:c r="R82" s="12" t="str">
        <x:v>Insurance Agents, Brokers &amp; Service</x:v>
      </x:c>
      <x:c r="S82" s="18" t="n">
        <x:v>46112</x:v>
      </x:c>
      <x:c r="T82" s="18" t="n">
        <x:v>46022</x:v>
      </x:c>
      <x:c r="U82" s="15" t="n">
        <x:v>-0.2274089724469269</x:v>
      </x:c>
      <x:c r="V82" s="16" t="n">
        <x:v>0.3275862068965517</x:v>
      </x:c>
      <x:c r="W82" s="17" t="n">
        <x:v>0.2562846882141691</x:v>
      </x:c>
      <x:c r="X82" s="15" t="n">
        <x:v>0.2901456999855439</x:v>
      </x:c>
      <x:c r="Y82" s="17"/>
      <x:c r="Z82" s="15"/>
      <x:c r="AA82" s="17" t="n">
        <x:v>1.2789422135161606</x:v>
      </x:c>
      <x:c r="AB82" s="15" t="n">
        <x:v>-0.7449636448793977</x:v>
      </x:c>
      <x:c r="AC82" s="13" t="b">
        <x:v>1</x:v>
      </x:c>
      <x:c r="AD82" s="15" t="n">
        <x:v>-2.2152827855660653</x:v>
      </x:c>
      <x:c r="AE82" s="16" t="n">
        <x:v>0.02727272727272727</x:v>
      </x:c>
      <x:c r="AF82" s="15" t="n">
        <x:v>-0.43999999999999995</x:v>
      </x:c>
      <x:c r="AG82" s="12" t="n">
        <x:v>8</x:v>
      </x:c>
      <x:c r="AH82" s="12" t="n">
        <x:v>68</x:v>
      </x:c>
      <x:c r="AI82" s="17" t="n">
        <x:v>-0.004219687791889082</x:v>
      </x:c>
      <x:c r="AJ82" s="16" t="n">
        <x:v>0.6173913043478261</x:v>
      </x:c>
      <x:c r="AK82" s="18" t="n">
        <x:v>46128</x:v>
      </x:c>
      <x:c r="AL82" s="18" t="n">
        <x:v>46128</x:v>
      </x:c>
      <x:c r="AM82" s="12" t="str">
        <x:v>2026-04-15 to 2026-04-16 to 2026-04-17</x:v>
      </x:c>
      <x:c r="AN82" s="12" t="str">
        <x:v>8-K Item 2.02 filing date</x:v>
      </x:c>
      <x:c r="AO82" s="12" t="str">
        <x:v>SUE + CAR3</x:v>
      </x:c>
      <x:c r="AP82" s="17" t="n">
        <x:v>0.04573159769054042</x:v>
      </x:c>
      <x:c r="AQ82" s="16" t="n">
        <x:v>0.47413793103448276</x:v>
      </x:c>
      <x:c r="AR82" s="17" t="n">
        <x:v>0.057417914246874695</x:v>
      </x:c>
      <x:c r="AS82" s="16"/>
      <x:c r="AT82" s="17" t="n">
        <x:v>0.1784406162116246</x:v>
      </x:c>
      <x:c r="AU82" s="16" t="n">
        <x:v>0.2672413793103448</x:v>
      </x:c>
      <x:c r="AV82" s="17" t="n">
        <x:v>0.26786564561910164</x:v>
      </x:c>
      <x:c r="AW82" s="16"/>
      <x:c r="AX82" s="17" t="n">
        <x:v>0.039464598714612054</x:v>
      </x:c>
      <x:c r="AY82" s="16" t="n">
        <x:v>0.7241379310344828</x:v>
      </x:c>
      <x:c r="AZ82" s="17" t="n">
        <x:v>0.00517401533105885</x:v>
      </x:c>
      <x:c r="BA82" s="16"/>
      <x:c r="BB82" s="17" t="n">
        <x:v>0.0415254558392576</x:v>
      </x:c>
      <x:c r="BC82" s="16" t="n">
        <x:v>0.5862068965517241</x:v>
      </x:c>
      <x:c r="BD82" s="17" t="n">
        <x:v>0.019795664834707814</x:v>
      </x:c>
      <x:c r="BE82" s="17" t="n">
        <x:v>0.02172979100454978</x:v>
      </x:c>
      <x:c r="BF82" s="17" t="n">
        <x:v>0.0040322580645161255</x:v>
      </x:c>
      <x:c r="BG82" s="17" t="n">
        <x:v>0.02172979100454978</x:v>
      </x:c>
      <x:c r="BH82" s="12" t="str">
        <x:v>cash repurchases less issuance</x:v>
      </x:c>
      <x:c r="BI82" s="17"/>
      <x:c r="BJ82" s="19" t="n">
        <x:v>1699000000</x:v>
      </x:c>
      <x:c r="BK82" s="19" t="n">
        <x:v>2012000000</x:v>
      </x:c>
      <x:c r="BL82" s="19" t="n">
        <x:v>147000000</x:v>
      </x:c>
      <x:c r="BM82" s="19" t="n">
        <x:v>27517000000</x:v>
      </x:c>
      <x:c r="BN82" s="19" t="n">
        <x:v>3925000000</x:v>
      </x:c>
      <x:c r="BO82" s="19" t="n">
        <x:v>5226000000</x:v>
      </x:c>
      <x:c r="BP82" s="19" t="n">
        <x:v>298000000</x:v>
      </x:c>
      <x:c r="BQ82" s="19" t="n">
        <x:v>4928000000</x:v>
      </x:c>
      <x:c r="BR82" s="19" t="n">
        <x:v>58710000000</x:v>
      </x:c>
      <x:c r="BS82" s="19" t="n">
        <x:v>56481000000</x:v>
      </x:c>
      <x:c r="BT82" s="19" t="n">
        <x:v>15315000000</x:v>
      </x:c>
      <x:c r="BU82" s="19" t="n">
        <x:v>2687000000</x:v>
      </x:c>
      <x:c r="BV82" s="19" t="n">
        <x:v>19587000000</x:v>
      </x:c>
      <x:c r="BW82" s="19" t="n">
        <x:v>19947000000</x:v>
      </x:c>
      <x:c r="BX82" s="12" t="n">
        <x:v>481794501</x:v>
      </x:c>
      <x:c r="BY82" s="17" t="n">
        <x:v>-0.0040322580645161255</x:v>
      </x:c>
      <x:c r="BZ82" s="12" t="n">
        <x:v>5</x:v>
      </x:c>
      <x:c r="CA82" s="12" t="str">
        <x:v>OK</x:v>
      </x:c>
      <x:c r="CB82" s="20" t="str">
        <x:v>https://query1.finance.yahoo.com/v8/finance/chart/MRSH?period1=1704067200&amp;period2=1783728000&amp;interval=1d&amp;events=div%2Csplits</x:v>
      </x:c>
      <x:c r="CC82" s="20" t="str">
        <x:v>https://data.sec.gov/api/xbrl/companyfacts/CIK0000062709.json</x:v>
      </x:c>
      <x:c r="CD82" s="20" t="str">
        <x:v>https://data.sec.gov/submissions/CIK0000062709.json</x:v>
      </x:c>
      <x:c r="CE82" s="20" t="str">
        <x:v>https://api.nasdaq.com/api/screener/stocks?tableonly=true&amp;limit=25000&amp;download=true</x:v>
      </x:c>
    </x:row>
    <x:row r="83">
      <x:c r="A83" s="12" t="str">
        <x:v>ABT</x:v>
      </x:c>
      <x:c r="B83" s="12" t="str">
        <x:v>Abbott Laboratories</x:v>
      </x:c>
      <x:c r="C83" s="12" t="str">
        <x:v>Long</x:v>
      </x:c>
      <x:c r="D83" s="14" t="n">
        <x:v>0.004361</x:v>
      </x:c>
      <x:c r="E83" s="15" t="n">
        <x:v>0.4510200603121302</x:v>
      </x:c>
      <x:c r="F83" s="15" t="n">
        <x:v>0.17762185868052782</x:v>
      </x:c>
      <x:c r="G83" s="12" t="str">
        <x:v>Low Beta</x:v>
      </x:c>
      <x:c r="H83" s="12" t="str">
        <x:v>Low Bad Beta</x:v>
      </x:c>
      <x:c r="I83" s="12" t="str">
        <x:v>Low Beta / Low Bad Beta</x:v>
      </x:c>
      <x:c r="J83" s="15" t="n">
        <x:v>1</x:v>
      </x:c>
      <x:c r="K83" s="18" t="n">
        <x:v>46213</x:v>
      </x:c>
      <x:c r="L83" s="15" t="n">
        <x:v>93.93000030517578</x:v>
      </x:c>
      <x:c r="M83" s="19" t="n">
        <x:v>155787703650</x:v>
      </x:c>
      <x:c r="N83" s="12" t="str">
        <x:v>Nasdaq screener</x:v>
      </x:c>
      <x:c r="O83" s="12" t="str">
        <x:v>Health Care</x:v>
      </x:c>
      <x:c r="P83" s="12" t="str">
        <x:v>Biotechnology: Pharmaceutical Preparations</x:v>
      </x:c>
      <x:c r="Q83" s="12" t="n">
        <x:v>2834</x:v>
      </x:c>
      <x:c r="R83" s="12" t="str">
        <x:v>Pharmaceutical Preparations</x:v>
      </x:c>
      <x:c r="S83" s="18" t="n">
        <x:v>46112</x:v>
      </x:c>
      <x:c r="T83" s="18" t="n">
        <x:v>46022</x:v>
      </x:c>
      <x:c r="U83" s="15" t="n">
        <x:v>-0.048406896692571394</x:v>
      </x:c>
      <x:c r="V83" s="16" t="n">
        <x:v>0.4396551724137931</x:v>
      </x:c>
      <x:c r="W83" s="17" t="n">
        <x:v>0.12039132936888548</x:v>
      </x:c>
      <x:c r="X83" s="15" t="n">
        <x:v>-0.49934447297093315</x:v>
      </x:c>
      <x:c r="Y83" s="17"/>
      <x:c r="Z83" s="15"/>
      <x:c r="AA83" s="17" t="n">
        <x:v>0.24801457893727222</x:v>
      </x:c>
      <x:c r="AB83" s="15" t="n">
        <x:v>0.40253067958579036</x:v>
      </x:c>
      <x:c r="AC83" s="13" t="b">
        <x:v>0</x:v>
      </x:c>
      <x:c r="AD83" s="15" t="n">
        <x:v>-0.06061247063584401</x:v>
      </x:c>
      <x:c r="AE83" s="16" t="n">
        <x:v>0.2818181818181818</x:v>
      </x:c>
      <x:c r="AF83" s="15" t="n">
        <x:v>-0.14</x:v>
      </x:c>
      <x:c r="AG83" s="12" t="n">
        <x:v>8</x:v>
      </x:c>
      <x:c r="AH83" s="12" t="n">
        <x:v>68</x:v>
      </x:c>
      <x:c r="AI83" s="17" t="n">
        <x:v>-0.05742812727260449</x:v>
      </x:c>
      <x:c r="AJ83" s="16" t="n">
        <x:v>0.23478260869565218</x:v>
      </x:c>
      <x:c r="AK83" s="18" t="n">
        <x:v>46128</x:v>
      </x:c>
      <x:c r="AL83" s="18" t="n">
        <x:v>46128</x:v>
      </x:c>
      <x:c r="AM83" s="12" t="str">
        <x:v>2026-04-15 to 2026-04-16 to 2026-04-17</x:v>
      </x:c>
      <x:c r="AN83" s="12" t="str">
        <x:v>8-K Item 2.02 filing date</x:v>
      </x:c>
      <x:c r="AO83" s="12" t="str">
        <x:v>SUE + CAR3</x:v>
      </x:c>
      <x:c r="AP83" s="17" t="n">
        <x:v>0.04028559284820038</x:v>
      </x:c>
      <x:c r="AQ83" s="16" t="n">
        <x:v>0.3793103448275862</x:v>
      </x:c>
      <x:c r="AR83" s="17" t="n">
        <x:v>0.04735932186647903</x:v>
      </x:c>
      <x:c r="AS83" s="16" t="n">
        <x:v>0.44</x:v>
      </x:c>
      <x:c r="AT83" s="17" t="n">
        <x:v>0.33462204512056815</x:v>
      </x:c>
      <x:c r="AU83" s="16" t="n">
        <x:v>0.5172413793103449</x:v>
      </x:c>
      <x:c r="AV83" s="17" t="n">
        <x:v>0.2817446455571379</x:v>
      </x:c>
      <x:c r="AW83" s="16" t="n">
        <x:v>0.4956521739130435</x:v>
      </x:c>
      <x:c r="AX83" s="17" t="n">
        <x:v>0.06508708575920608</x:v>
      </x:c>
      <x:c r="AY83" s="16" t="n">
        <x:v>0.48275862068965514</x:v>
      </x:c>
      <x:c r="AZ83" s="17" t="n">
        <x:v>0.024814574696509186</x:v>
      </x:c>
      <x:c r="BA83" s="16" t="n">
        <x:v>0.5</x:v>
      </x:c>
      <x:c r="BB83" s="17" t="n">
        <x:v>0.037287923654428935</x:v>
      </x:c>
      <x:c r="BC83" s="16" t="n">
        <x:v>0.5431034482758621</x:v>
      </x:c>
      <x:c r="BD83" s="17" t="n">
        <x:v>0.026420570453026253</x:v>
      </x:c>
      <x:c r="BE83" s="17" t="n">
        <x:v>0.0031902389492599725</x:v>
      </x:c>
      <x:c r="BF83" s="17" t="n">
        <x:v>0</x:v>
      </x:c>
      <x:c r="BG83" s="17" t="n">
        <x:v>0.0031902389492599725</x:v>
      </x:c>
      <x:c r="BH83" s="12" t="str">
        <x:v>cash repurchases less issuance</x:v>
      </x:c>
      <x:c r="BI83" s="17" t="n">
        <x:v>0.007677114252142711</x:v>
      </x:c>
      <x:c r="BJ83" s="19" t="n">
        <x:v>4116000000</x:v>
      </x:c>
      <x:c r="BK83" s="19" t="n">
        <x:v>893000000</x:v>
      </x:c>
      <x:c r="BL83" s="19" t="n">
        <x:v>396000000</x:v>
      </x:c>
      <x:c r="BM83" s="19" t="n">
        <x:v>45134000000</x:v>
      </x:c>
      <x:c r="BN83" s="19" t="n">
        <x:v>6276000000</x:v>
      </x:c>
      <x:c r="BO83" s="19" t="n">
        <x:v>9464000000</x:v>
      </x:c>
      <x:c r="BP83" s="19" t="n">
        <x:v>2086000000</x:v>
      </x:c>
      <x:c r="BQ83" s="19" t="n">
        <x:v>7378000000</x:v>
      </x:c>
      <x:c r="BR83" s="19" t="n">
        <x:v>86713000000</x:v>
      </x:c>
      <x:c r="BS83" s="19" t="n">
        <x:v>81414000000</x:v>
      </x:c>
      <x:c r="BT83" s="19" t="n">
        <x:v>52130000000</x:v>
      </x:c>
      <x:c r="BU83" s="19" t="n">
        <x:v>8522000000</x:v>
      </x:c>
      <x:c r="BV83" s="19" t="n">
        <x:v>12929000000</x:v>
      </x:c>
      <x:c r="BW83" s="19" t="n">
        <x:v>14125000000</x:v>
      </x:c>
      <x:c r="BX83" s="12" t="n">
        <x:v>1741812429</x:v>
      </x:c>
      <x:c r="BY83" s="17" t="n">
        <x:v>0</x:v>
      </x:c>
      <x:c r="BZ83" s="12" t="n">
        <x:v>5</x:v>
      </x:c>
      <x:c r="CA83" s="12" t="str">
        <x:v>OK</x:v>
      </x:c>
      <x:c r="CB83" s="20" t="str">
        <x:v>https://query1.finance.yahoo.com/v8/finance/chart/ABT?period1=1704067200&amp;period2=1783728000&amp;interval=1d&amp;events=div%2Csplits</x:v>
      </x:c>
      <x:c r="CC83" s="20" t="str">
        <x:v>https://data.sec.gov/api/xbrl/companyfacts/CIK0000001800.json</x:v>
      </x:c>
      <x:c r="CD83" s="20" t="str">
        <x:v>https://data.sec.gov/submissions/CIK0000001800.json</x:v>
      </x:c>
      <x:c r="CE83" s="20" t="str">
        <x:v>https://api.nasdaq.com/api/screener/stocks?tableonly=true&amp;limit=25000&amp;download=true</x:v>
      </x:c>
    </x:row>
    <x:row r="84">
      <x:c r="A84" s="12" t="str">
        <x:v>SBRA</x:v>
      </x:c>
      <x:c r="B84" s="12" t="str">
        <x:v>Sabra Health Care REIT Inc.</x:v>
      </x:c>
      <x:c r="C84" s="12" t="str">
        <x:v>Long</x:v>
      </x:c>
      <x:c r="D84" s="14" t="n">
        <x:v>0.003779</x:v>
      </x:c>
      <x:c r="E84" s="15" t="n">
        <x:v>0.24085582635384103</x:v>
      </x:c>
      <x:c r="F84" s="15" t="n">
        <x:v>0.017575274911056805</x:v>
      </x:c>
      <x:c r="G84" s="12" t="str">
        <x:v>Low Beta</x:v>
      </x:c>
      <x:c r="H84" s="12" t="str">
        <x:v>Low Bad Beta</x:v>
      </x:c>
      <x:c r="I84" s="12" t="str">
        <x:v>Low Beta / Low Bad Beta</x:v>
      </x:c>
      <x:c r="J84" s="15" t="n">
        <x:v>1</x:v>
      </x:c>
      <x:c r="K84" s="18" t="n">
        <x:v>46213</x:v>
      </x:c>
      <x:c r="L84" s="15" t="n">
        <x:v>19.6200008392334</x:v>
      </x:c>
      <x:c r="M84" s="19" t="n">
        <x:v>4974449624</x:v>
      </x:c>
      <x:c r="N84" s="12" t="str">
        <x:v>Nasdaq screener</x:v>
      </x:c>
      <x:c r="O84" s="12" t="str">
        <x:v>Real Estate</x:v>
      </x:c>
      <x:c r="P84" s="12" t="str">
        <x:v>Real Estate Investment Trusts</x:v>
      </x:c>
      <x:c r="Q84" s="12" t="n">
        <x:v>6798</x:v>
      </x:c>
      <x:c r="R84" s="12" t="str">
        <x:v>Real Estate Investment Trusts</x:v>
      </x:c>
      <x:c r="S84" s="18" t="n">
        <x:v>46112</x:v>
      </x:c>
      <x:c r="T84" s="18" t="n">
        <x:v>46022</x:v>
      </x:c>
      <x:c r="U84" s="15" t="n">
        <x:v>-0.5980742531967114</x:v>
      </x:c>
      <x:c r="V84" s="16" t="n">
        <x:v>0.22413793103448276</x:v>
      </x:c>
      <x:c r="W84" s="17" t="n">
        <x:v>0.05534861815389315</x:v>
      </x:c>
      <x:c r="X84" s="15" t="n">
        <x:v>-0.8772185778059296</x:v>
      </x:c>
      <x:c r="Y84" s="17"/>
      <x:c r="Z84" s="15"/>
      <x:c r="AA84" s="17" t="n">
        <x:v>0.8961865675635161</x:v>
      </x:c>
      <x:c r="AB84" s="15" t="n">
        <x:v>-0.31892992858749314</x:v>
      </x:c>
      <x:c r="AC84" s="13" t="b">
        <x:v>1</x:v>
      </x:c>
      <x:c r="AD84" s="15" t="n">
        <x:v>-0.09262691656222148</x:v>
      </x:c>
      <x:c r="AE84" s="16" t="n">
        <x:v>0.2636363636363636</x:v>
      </x:c>
      <x:c r="AF84" s="15" t="n">
        <x:v>-0.010000000000000009</x:v>
      </x:c>
      <x:c r="AG84" s="12" t="n">
        <x:v>8</x:v>
      </x:c>
      <x:c r="AH84" s="12" t="n">
        <x:v>60</x:v>
      </x:c>
      <x:c r="AI84" s="17" t="n">
        <x:v>0.013526487930324516</x:v>
      </x:c>
      <x:c r="AJ84" s="16" t="n">
        <x:v>0.7478260869565218</x:v>
      </x:c>
      <x:c r="AK84" s="18" t="n">
        <x:v>46141</x:v>
      </x:c>
      <x:c r="AL84" s="18" t="n">
        <x:v>46141</x:v>
      </x:c>
      <x:c r="AM84" s="12" t="str">
        <x:v>2026-04-28 to 2026-04-29 to 2026-04-30</x:v>
      </x:c>
      <x:c r="AN84" s="12" t="str">
        <x:v>8-K Item 2.02 filing date</x:v>
      </x:c>
      <x:c r="AO84" s="12" t="str">
        <x:v>SUE + CAR3</x:v>
      </x:c>
      <x:c r="AP84" s="17" t="n">
        <x:v>0.03139744329633199</x:v>
      </x:c>
      <x:c r="AQ84" s="16" t="n">
        <x:v>0.1896551724137931</x:v>
      </x:c>
      <x:c r="AR84" s="17"/>
      <x:c r="AS84" s="16"/>
      <x:c r="AT84" s="17" t="n">
        <x:v>0.5672669769104892</x:v>
      </x:c>
      <x:c r="AU84" s="16" t="n">
        <x:v>0.7672413793103449</x:v>
      </x:c>
      <x:c r="AV84" s="17" t="n">
        <x:v>0.05330075356364559</x:v>
      </x:c>
      <x:c r="AW84" s="16"/>
      <x:c r="AX84" s="17" t="n">
        <x:v>0.03577083002195258</x:v>
      </x:c>
      <x:c r="AY84" s="16" t="n">
        <x:v>0.75</x:v>
      </x:c>
      <x:c r="AZ84" s="17"/>
      <x:c r="BA84" s="16"/>
      <x:c r="BB84" s="17" t="n">
        <x:v>-0.01554001062289178</x:v>
      </x:c>
      <x:c r="BC84" s="16" t="n">
        <x:v>0.12931034482758622</x:v>
      </x:c>
      <x:c r="BD84" s="17" t="n">
        <x:v>0.05819678997316146</x:v>
      </x:c>
      <x:c r="BE84" s="17" t="n">
        <x:v>-0.07373680059605324</x:v>
      </x:c>
      <x:c r="BF84" s="17" t="n">
        <x:v>-0.03580397439883942</x:v>
      </x:c>
      <x:c r="BG84" s="17" t="n">
        <x:v>-0.07373680059605324</x:v>
      </x:c>
      <x:c r="BH84" s="12" t="str">
        <x:v>cash repurchases less issuance</x:v>
      </x:c>
      <x:c r="BI84" s="17"/>
      <x:c r="BJ84" s="19" t="n">
        <x:v>289497000</x:v>
      </x:c>
      <x:c r="BK84" s="19" t="n">
        <x:v>0</x:v>
      </x:c>
      <x:c r="BL84" s="19" t="n">
        <x:v>366800000</x:v>
      </x:c>
      <x:c r="BM84" s="19" t="n">
        <x:v>396121000</x:v>
      </x:c>
      <x:c r="BN84" s="19" t="n">
        <x:v>156185000</x:v>
      </x:c>
      <x:c r="BO84" s="19" t="n">
        <x:v>366712000</x:v>
      </x:c>
      <x:c r="BP84" s="19"/>
      <x:c r="BQ84" s="19"/>
      <x:c r="BR84" s="19" t="n">
        <x:v>5493396000</x:v>
      </x:c>
      <x:c r="BS84" s="19" t="n">
        <x:v>5303679000</x:v>
      </x:c>
      <x:c r="BT84" s="19" t="n">
        <x:v>2821841000</x:v>
      </x:c>
      <x:c r="BU84" s="19" t="n">
        <x:v>71537000</x:v>
      </x:c>
      <x:c r="BV84" s="19" t="n">
        <x:v>2528896000</x:v>
      </x:c>
      <x:c r="BW84" s="19" t="n">
        <x:v>2417648000</x:v>
      </x:c>
      <x:c r="BX84" s="12" t="n">
        <x:v>252190095</x:v>
      </x:c>
      <x:c r="BY84" s="17" t="n">
        <x:v>0.03580397439883942</x:v>
      </x:c>
      <x:c r="BZ84" s="12" t="n">
        <x:v>5</x:v>
      </x:c>
      <x:c r="CA84" s="12" t="str">
        <x:v>OK</x:v>
      </x:c>
      <x:c r="CB84" s="20" t="str">
        <x:v>https://query1.finance.yahoo.com/v8/finance/chart/SBRA?period1=1704067200&amp;period2=1783728000&amp;interval=1d&amp;events=div%2Csplits</x:v>
      </x:c>
      <x:c r="CC84" s="20" t="str">
        <x:v>https://data.sec.gov/api/xbrl/companyfacts/CIK0001492298.json</x:v>
      </x:c>
      <x:c r="CD84" s="20" t="str">
        <x:v>https://data.sec.gov/submissions/CIK0001492298.json</x:v>
      </x:c>
      <x:c r="CE84" s="20" t="str">
        <x:v>https://api.nasdaq.com/api/screener/stocks?tableonly=true&amp;limit=25000&amp;download=true</x:v>
      </x:c>
    </x:row>
    <x:row r="85">
      <x:c r="A85" s="12" t="str">
        <x:v>CACI</x:v>
      </x:c>
      <x:c r="B85" s="12" t="str">
        <x:v>CACI International Inc.</x:v>
      </x:c>
      <x:c r="C85" s="12" t="str">
        <x:v>Long</x:v>
      </x:c>
      <x:c r="D85" s="14" t="n">
        <x:v>0.004182</x:v>
      </x:c>
      <x:c r="E85" s="15" t="n">
        <x:v>-0.017929153282266443</x:v>
      </x:c>
      <x:c r="F85" s="15" t="n">
        <x:v>0.17624883032560967</x:v>
      </x:c>
      <x:c r="G85" s="12" t="str">
        <x:v>Low Beta</x:v>
      </x:c>
      <x:c r="H85" s="12" t="str">
        <x:v>Low Bad Beta</x:v>
      </x:c>
      <x:c r="I85" s="12" t="str">
        <x:v>Low Beta / Low Bad Beta</x:v>
      </x:c>
      <x:c r="J85" s="15" t="n">
        <x:v>1</x:v>
      </x:c>
      <x:c r="K85" s="18" t="n">
        <x:v>46213</x:v>
      </x:c>
      <x:c r="L85" s="15" t="n">
        <x:v>486.45001220703125</x:v>
      </x:c>
      <x:c r="M85" s="19" t="n">
        <x:v>10468627613</x:v>
      </x:c>
      <x:c r="N85" s="12" t="str">
        <x:v>Nasdaq screener</x:v>
      </x:c>
      <x:c r="O85" s="12" t="str">
        <x:v>Technology</x:v>
      </x:c>
      <x:c r="P85" s="12" t="str">
        <x:v>EDP Services</x:v>
      </x:c>
      <x:c r="Q85" s="12" t="n">
        <x:v>7373</x:v>
      </x:c>
      <x:c r="R85" s="12" t="str">
        <x:v>Services-Computer Integrated Systems Design</x:v>
      </x:c>
      <x:c r="S85" s="18" t="n">
        <x:v>46112</x:v>
      </x:c>
      <x:c r="T85" s="18" t="n">
        <x:v>45838</x:v>
      </x:c>
      <x:c r="U85" s="15" t="n">
        <x:v>-0.8417783843351168</x:v>
      </x:c>
      <x:c r="V85" s="16" t="n">
        <x:v>0.1379310344827586</x:v>
      </x:c>
      <x:c r="W85" s="17" t="n">
        <x:v>0.1378840738633956</x:v>
      </x:c>
      <x:c r="X85" s="15" t="n">
        <x:v>-0.39771809480349435</x:v>
      </x:c>
      <x:c r="Y85" s="17" t="n">
        <x:v>0.23036203956060008</x:v>
      </x:c>
      <x:c r="Z85" s="15" t="n">
        <x:v>-1.972122945479907</x:v>
      </x:c>
      <x:c r="AA85" s="17" t="n">
        <x:v>0.749353162409844</x:v>
      </x:c>
      <x:c r="AB85" s="15" t="n">
        <x:v>-0.15549411272194885</x:v>
      </x:c>
      <x:c r="AC85" s="13" t="b">
        <x:v>0</x:v>
      </x:c>
      <x:c r="AD85" s="15" t="n">
        <x:v>1.5466546605097347</x:v>
      </x:c>
      <x:c r="AE85" s="16" t="n">
        <x:v>0.7727272727272727</x:v>
      </x:c>
      <x:c r="AF85" s="15" t="n">
        <x:v>0.8800000000000008</x:v>
      </x:c>
      <x:c r="AG85" s="12" t="n">
        <x:v>8</x:v>
      </x:c>
      <x:c r="AH85" s="12" t="n">
        <x:v>60</x:v>
      </x:c>
      <x:c r="AI85" s="17" t="n">
        <x:v>0.009998850835157835</x:v>
      </x:c>
      <x:c r="AJ85" s="16" t="n">
        <x:v>0.7130434782608696</x:v>
      </x:c>
      <x:c r="AK85" s="18" t="n">
        <x:v>46134</x:v>
      </x:c>
      <x:c r="AL85" s="18" t="n">
        <x:v>46134</x:v>
      </x:c>
      <x:c r="AM85" s="12" t="str">
        <x:v>2026-04-21 to 2026-04-22 to 2026-04-23</x:v>
      </x:c>
      <x:c r="AN85" s="12" t="str">
        <x:v>8-K Item 2.02 filing date</x:v>
      </x:c>
      <x:c r="AO85" s="12" t="str">
        <x:v>SUE + CAR3</x:v>
      </x:c>
      <x:c r="AP85" s="17" t="n">
        <x:v>0.05128781153064022</x:v>
      </x:c>
      <x:c r="AQ85" s="16" t="n">
        <x:v>0.5603448275862069</x:v>
      </x:c>
      <x:c r="AR85" s="17" t="n">
        <x:v>0.055077611059924515</x:v>
      </x:c>
      <x:c r="AS85" s="16" t="n">
        <x:v>0.57</x:v>
      </x:c>
      <x:c r="AT85" s="17" t="n">
        <x:v>0.37196327388362516</x:v>
      </x:c>
      <x:c r="AU85" s="16" t="n">
        <x:v>0.5603448275862069</x:v>
      </x:c>
      <x:c r="AV85" s="17" t="n">
        <x:v>0.6899547631415028</x:v>
      </x:c>
      <x:c r="AW85" s="16" t="n">
        <x:v>0.7652173913043478</x:v>
      </x:c>
      <x:c r="AX85" s="17" t="n">
        <x:v>0.2724351801128324</x:v>
      </x:c>
      <x:c r="AY85" s="16" t="n">
        <x:v>0.051724137931034475</x:v>
      </x:c>
      <x:c r="AZ85" s="17" t="n">
        <x:v>0.011375383578765682</x:v>
      </x:c>
      <x:c r="BA85" s="16" t="n">
        <x:v>0.72</x:v>
      </x:c>
      <x:c r="BB85" s="17" t="n">
        <x:v>-0.11533804091957627</x:v>
      </x:c>
      <x:c r="BC85" s="16" t="n">
        <x:v>0.008620689655172414</x:v>
      </x:c>
      <x:c r="BD85" s="17" t="n">
        <x:v>0</x:v>
      </x:c>
      <x:c r="BE85" s="17" t="n">
        <x:v>0.016035721797147087</x:v>
      </x:c>
      <x:c r="BF85" s="17" t="n">
        <x:v>0.007974128383467005</x:v>
      </x:c>
      <x:c r="BG85" s="17" t="n">
        <x:v>0.016035721797147087</x:v>
      </x:c>
      <x:c r="BH85" s="12" t="str">
        <x:v>cash repurchases less issuance</x:v>
      </x:c>
      <x:c r="BI85" s="17" t="n">
        <x:v>-0.13137376271672335</x:v>
      </x:c>
      <x:c r="BJ85" s="19" t="n">
        <x:v>0</x:v>
      </x:c>
      <x:c r="BK85" s="19" t="n">
        <x:v>168563000</x:v>
      </x:c>
      <x:c r="BL85" s="19" t="n">
        <x:v>691000</x:v>
      </x:c>
      <x:c r="BM85" s="19" t="n">
        <x:v>9162866000</x:v>
      </x:c>
      <x:c r="BN85" s="19" t="n">
        <x:v>536913000</x:v>
      </x:c>
      <x:c r="BO85" s="19" t="n">
        <x:v>664426000</x:v>
      </x:c>
      <x:c r="BP85" s="19" t="n">
        <x:v>87839000</x:v>
      </x:c>
      <x:c r="BQ85" s="19" t="n">
        <x:v>576587000</x:v>
      </x:c>
      <x:c r="BR85" s="19" t="n">
        <x:v>8647598000</x:v>
      </x:c>
      <x:c r="BS85" s="19" t="n">
        <x:v>6796101000</x:v>
      </x:c>
      <x:c r="BT85" s="19" t="n">
        <x:v>3893945000</x:v>
      </x:c>
      <x:c r="BU85" s="19" t="n">
        <x:v>106181000</x:v>
      </x:c>
      <x:c r="BV85" s="19" t="n">
        <x:v>2917940000</x:v>
      </x:c>
      <x:c r="BW85" s="19" t="n">
        <x:v>1542637000</x:v>
      </x:c>
      <x:c r="BX85" s="12" t="n">
        <x:v>22091305</x:v>
      </x:c>
      <x:c r="BY85" s="17" t="n">
        <x:v>-0.007974128383467005</x:v>
      </x:c>
      <x:c r="BZ85" s="12" t="n">
        <x:v>5</x:v>
      </x:c>
      <x:c r="CA85" s="12" t="str">
        <x:v>OK</x:v>
      </x:c>
      <x:c r="CB85" s="20" t="str">
        <x:v>https://query1.finance.yahoo.com/v8/finance/chart/CACI?period1=1704067200&amp;period2=1783728000&amp;interval=1d&amp;events=div%2Csplits</x:v>
      </x:c>
      <x:c r="CC85" s="20" t="str">
        <x:v>https://data.sec.gov/api/xbrl/companyfacts/CIK0000016058.json</x:v>
      </x:c>
      <x:c r="CD85" s="20" t="str">
        <x:v>https://data.sec.gov/submissions/CIK0000016058.json</x:v>
      </x:c>
      <x:c r="CE85" s="20" t="str">
        <x:v>https://api.nasdaq.com/api/screener/stocks?tableonly=true&amp;limit=25000&amp;download=true</x:v>
      </x:c>
    </x:row>
    <x:row r="86">
      <x:c r="A86" s="12" t="str">
        <x:v>ED</x:v>
      </x:c>
      <x:c r="B86" s="12" t="str">
        <x:v>Consolidated Edison Inc.</x:v>
      </x:c>
      <x:c r="C86" s="12" t="str">
        <x:v>Long</x:v>
      </x:c>
      <x:c r="D86" s="14" t="n">
        <x:v>0.004204</x:v>
      </x:c>
      <x:c r="E86" s="15" t="n">
        <x:v>-0.19949078763507044</x:v>
      </x:c>
      <x:c r="F86" s="15" t="n">
        <x:v>-0.10171732778628781</x:v>
      </x:c>
      <x:c r="G86" s="12" t="str">
        <x:v>Low Beta</x:v>
      </x:c>
      <x:c r="H86" s="12" t="str">
        <x:v>Low Bad Beta</x:v>
      </x:c>
      <x:c r="I86" s="12" t="str">
        <x:v>Low Beta / Low Bad Beta</x:v>
      </x:c>
      <x:c r="J86" s="15" t="n">
        <x:v>1</x:v>
      </x:c>
      <x:c r="K86" s="18" t="n">
        <x:v>46213</x:v>
      </x:c>
      <x:c r="L86" s="15" t="n">
        <x:v>111.12000274658203</x:v>
      </x:c>
      <x:c r="M86" s="19" t="n">
        <x:v>41050523840</x:v>
      </x:c>
      <x:c r="N86" s="12" t="str">
        <x:v>Nasdaq screener</x:v>
      </x:c>
      <x:c r="O86" s="12" t="str">
        <x:v>Utilities</x:v>
      </x:c>
      <x:c r="P86" s="12" t="str">
        <x:v>Power Generation</x:v>
      </x:c>
      <x:c r="Q86" s="12" t="n">
        <x:v>4931</x:v>
      </x:c>
      <x:c r="R86" s="12" t="str">
        <x:v>Electric &amp; Other Services Combined</x:v>
      </x:c>
      <x:c r="S86" s="18" t="n">
        <x:v>46112</x:v>
      </x:c>
      <x:c r="T86" s="18" t="n">
        <x:v>46022</x:v>
      </x:c>
      <x:c r="U86" s="15" t="n">
        <x:v>-0.5949120081955619</x:v>
      </x:c>
      <x:c r="V86" s="16" t="n">
        <x:v>0.23275862068965514</x:v>
      </x:c>
      <x:c r="W86" s="17" t="n">
        <x:v>0.08908639933856966</x:v>
      </x:c>
      <x:c r="X86" s="15" t="n">
        <x:v>-0.6812145425168831</x:v>
      </x:c>
      <x:c r="Y86" s="17"/>
      <x:c r="Z86" s="15"/>
      <x:c r="AA86" s="17" t="n">
        <x:v>1.066597767672592</x:v>
      </x:c>
      <x:c r="AB86" s="15" t="n">
        <x:v>-0.5086094738742408</x:v>
      </x:c>
      <x:c r="AC86" s="13" t="b">
        <x:v>0</x:v>
      </x:c>
      <x:c r="AD86" s="15" t="n">
        <x:v>1.9641278382879293</x:v>
      </x:c>
      <x:c r="AE86" s="16" t="n">
        <x:v>0.8727272727272727</x:v>
      </x:c>
      <x:c r="AF86" s="15" t="n">
        <x:v>0.29000000000000004</x:v>
      </x:c>
      <x:c r="AG86" s="12" t="n">
        <x:v>8</x:v>
      </x:c>
      <x:c r="AH86" s="12" t="n">
        <x:v>63</x:v>
      </x:c>
      <x:c r="AI86" s="17" t="n">
        <x:v>-0.042599082974779545</x:v>
      </x:c>
      <x:c r="AJ86" s="16" t="n">
        <x:v>0.3130434782608696</x:v>
      </x:c>
      <x:c r="AK86" s="18" t="n">
        <x:v>46149</x:v>
      </x:c>
      <x:c r="AL86" s="18" t="n">
        <x:v>46149</x:v>
      </x:c>
      <x:c r="AM86" s="12" t="str">
        <x:v>2026-05-06 to 2026-05-07 to 2026-05-08</x:v>
      </x:c>
      <x:c r="AN86" s="12" t="str">
        <x:v>8-K Item 2.02 filing date</x:v>
      </x:c>
      <x:c r="AO86" s="12" t="str">
        <x:v>SUE + CAR3</x:v>
      </x:c>
      <x:c r="AP86" s="17" t="n">
        <x:v>0.0524962850267004</x:v>
      </x:c>
      <x:c r="AQ86" s="16" t="n">
        <x:v>0.603448275862069</x:v>
      </x:c>
      <x:c r="AR86" s="17" t="n">
        <x:v>0.011230063757451919</x:v>
      </x:c>
      <x:c r="AS86" s="16" t="n">
        <x:v>0.15</x:v>
      </x:c>
      <x:c r="AT86" s="17" t="n">
        <x:v>0.5892738444528458</x:v>
      </x:c>
      <x:c r="AU86" s="16" t="n">
        <x:v>0.7844827586206896</x:v>
      </x:c>
      <x:c r="AV86" s="17" t="n">
        <x:v>0.26665634777741837</x:v>
      </x:c>
      <x:c r="AW86" s="16" t="n">
        <x:v>0.45217391304347826</x:v>
      </x:c>
      <x:c r="AX86" s="17" t="n">
        <x:v>0.05726878489838727</x:v>
      </x:c>
      <x:c r="AY86" s="16" t="n">
        <x:v>0.5862068965517242</x:v>
      </x:c>
      <x:c r="AZ86" s="17" t="n">
        <x:v>0.05064581682912548</x:v>
      </x:c>
      <x:c r="BA86" s="16" t="n">
        <x:v>0.31999999999999995</x:v>
      </x:c>
      <x:c r="BB86" s="17" t="n">
        <x:v>0.0018270168802795965</x:v>
      </x:c>
      <x:c r="BC86" s="16" t="n">
        <x:v>0.1724137931034483</x:v>
      </x:c>
      <x:c r="BD86" s="17" t="n">
        <x:v>0.028404022432080126</x:v>
      </x:c>
      <x:c r="BE86" s="17" t="n">
        <x:v>0</x:v>
      </x:c>
      <x:c r="BF86" s="17" t="n">
        <x:v>-0.03282464727900947</x:v>
      </x:c>
      <x:c r="BG86" s="17" t="n">
        <x:v>0</x:v>
      </x:c>
      <x:c r="BH86" s="12" t="str">
        <x:v>cash repurchases less issuance</x:v>
      </x:c>
      <x:c r="BI86" s="17" t="n">
        <x:v>-0.02657700555180053</x:v>
      </x:c>
      <x:c r="BJ86" s="19" t="n">
        <x:v>1166000000</x:v>
      </x:c>
      <x:c r="BK86" s="19" t="n">
        <x:v>0</x:v>
      </x:c>
      <x:c r="BL86" s="19" t="n">
        <x:v>0</x:v>
      </x:c>
      <x:c r="BM86" s="19" t="n">
        <x:v>17392000000</x:v>
      </x:c>
      <x:c r="BN86" s="19" t="n">
        <x:v>2155000000</x:v>
      </x:c>
      <x:c r="BO86" s="19" t="n">
        <x:v>4137000000</x:v>
      </x:c>
      <x:c r="BP86" s="19" t="n">
        <x:v>3676000000</x:v>
      </x:c>
      <x:c r="BQ86" s="19" t="n">
        <x:v>461000000</x:v>
      </x:c>
      <x:c r="BR86" s="19" t="n">
        <x:v>74603000000</x:v>
      </x:c>
      <x:c r="BS86" s="19" t="n">
        <x:v>70562000000</x:v>
      </x:c>
      <x:c r="BT86" s="19" t="n">
        <x:v>24190000000</x:v>
      </x:c>
      <x:c r="BU86" s="19" t="n">
        <x:v>1629000000</x:v>
      </x:c>
      <x:c r="BV86" s="19" t="n">
        <x:v>25801000000</x:v>
      </x:c>
      <x:c r="BW86" s="19" t="n">
        <x:v>24710000000</x:v>
      </x:c>
      <x:c r="BX86" s="12" t="n">
        <x:v>368529705</x:v>
      </x:c>
      <x:c r="BY86" s="17" t="n">
        <x:v>0.03282464727900947</x:v>
      </x:c>
      <x:c r="BZ86" s="12" t="n">
        <x:v>5</x:v>
      </x:c>
      <x:c r="CA86" s="12" t="str">
        <x:v>OK</x:v>
      </x:c>
      <x:c r="CB86" s="20" t="str">
        <x:v>https://query1.finance.yahoo.com/v8/finance/chart/ED?period1=1704067200&amp;period2=1783728000&amp;interval=1d&amp;events=div%2Csplits</x:v>
      </x:c>
      <x:c r="CC86" s="20" t="str">
        <x:v>https://data.sec.gov/api/xbrl/companyfacts/CIK0001047862.json</x:v>
      </x:c>
      <x:c r="CD86" s="20" t="str">
        <x:v>https://data.sec.gov/submissions/CIK0001047862.json</x:v>
      </x:c>
      <x:c r="CE86" s="20" t="str">
        <x:v>https://api.nasdaq.com/api/screener/stocks?tableonly=true&amp;limit=25000&amp;download=true</x:v>
      </x:c>
    </x:row>
    <x:row r="87">
      <x:c r="A87" s="12" t="str">
        <x:v>YUM</x:v>
      </x:c>
      <x:c r="B87" s="12" t="str">
        <x:v>Yum! Brands Inc.</x:v>
      </x:c>
      <x:c r="C87" s="12" t="str">
        <x:v>Long</x:v>
      </x:c>
      <x:c r="D87" s="14" t="n">
        <x:v>0.004218</x:v>
      </x:c>
      <x:c r="E87" s="15" t="n">
        <x:v>0.26387696543795586</x:v>
      </x:c>
      <x:c r="F87" s="15" t="n">
        <x:v>0.041008961246633856</x:v>
      </x:c>
      <x:c r="G87" s="12" t="str">
        <x:v>Low Beta</x:v>
      </x:c>
      <x:c r="H87" s="12" t="str">
        <x:v>Low Bad Beta</x:v>
      </x:c>
      <x:c r="I87" s="12" t="str">
        <x:v>Low Beta / Low Bad Beta</x:v>
      </x:c>
      <x:c r="J87" s="15" t="n">
        <x:v>1</x:v>
      </x:c>
      <x:c r="K87" s="18" t="n">
        <x:v>46213</x:v>
      </x:c>
      <x:c r="L87" s="15" t="n">
        <x:v>163.5399932861328</x:v>
      </x:c>
      <x:c r="M87" s="19" t="n">
        <x:v>42407078140</x:v>
      </x:c>
      <x:c r="N87" s="12" t="str">
        <x:v>Nasdaq screener</x:v>
      </x:c>
      <x:c r="O87" s="12" t="str">
        <x:v>Consumer Discretionary</x:v>
      </x:c>
      <x:c r="P87" s="12" t="str">
        <x:v>Restaurants</x:v>
      </x:c>
      <x:c r="Q87" s="12" t="n">
        <x:v>5812</x:v>
      </x:c>
      <x:c r="R87" s="12" t="str">
        <x:v>Retail-Eating  Places</x:v>
      </x:c>
      <x:c r="S87" s="18" t="n">
        <x:v>46112</x:v>
      </x:c>
      <x:c r="T87" s="18" t="n">
        <x:v>46022</x:v>
      </x:c>
      <x:c r="U87" s="15" t="n">
        <x:v>-1.5382749420889923</x:v>
      </x:c>
      <x:c r="V87" s="16" t="n">
        <x:v>0.051724137931034475</x:v>
      </x:c>
      <x:c r="W87" s="17" t="n">
        <x:v>-0.23726962457337883</x:v>
      </x:c>
      <x:c r="X87" s="15" t="n">
        <x:v>-1.029601712582685</x:v>
      </x:c>
      <x:c r="Y87" s="17" t="n">
        <x:v>0.03243098365049585</x:v>
      </x:c>
      <x:c r="Z87" s="15" t="n">
        <x:v>-0.0003413084966591683</x:v>
      </x:c>
      <x:c r="AA87" s="17" t="n">
        <x:v>-0.005187713310580205</x:v>
      </x:c>
      <x:c r="AB87" s="15" t="n">
        <x:v>-3.5848818051876323</x:v>
      </x:c>
      <x:c r="AC87" s="13" t="b">
        <x:v>0</x:v>
      </x:c>
      <x:c r="AD87" s="15" t="n">
        <x:v>2.0957035615706703</x:v>
      </x:c>
      <x:c r="AE87" s="16" t="n">
        <x:v>0.8909090909090909</x:v>
      </x:c>
      <x:c r="AF87" s="15" t="n">
        <x:v>0.65</x:v>
      </x:c>
      <x:c r="AG87" s="12" t="n">
        <x:v>8</x:v>
      </x:c>
      <x:c r="AH87" s="12" t="n">
        <x:v>65</x:v>
      </x:c>
      <x:c r="AI87" s="17" t="n">
        <x:v>0.023979100617970928</x:v>
      </x:c>
      <x:c r="AJ87" s="16" t="n">
        <x:v>0.808695652173913</x:v>
      </x:c>
      <x:c r="AK87" s="18" t="n">
        <x:v>46141</x:v>
      </x:c>
      <x:c r="AL87" s="18" t="n">
        <x:v>46141</x:v>
      </x:c>
      <x:c r="AM87" s="12" t="str">
        <x:v>2026-04-28 to 2026-04-29 to 2026-04-30</x:v>
      </x:c>
      <x:c r="AN87" s="12" t="str">
        <x:v>8-K Item 2.02 filing date</x:v>
      </x:c>
      <x:c r="AO87" s="12" t="str">
        <x:v>SUE + CAR3</x:v>
      </x:c>
      <x:c r="AP87" s="17" t="n">
        <x:v>0.040983724326921996</x:v>
      </x:c>
      <x:c r="AQ87" s="16" t="n">
        <x:v>0.41379310344827586</x:v>
      </x:c>
      <x:c r="AR87" s="17" t="n">
        <x:v>0.03883785613719248</x:v>
      </x:c>
      <x:c r="AS87" s="16" t="n">
        <x:v>0.34</x:v>
      </x:c>
      <x:c r="AT87" s="17" t="n">
        <x:v>-0.17273059878866723</x:v>
      </x:c>
      <x:c r="AU87" s="16" t="n">
        <x:v>0</x:v>
      </x:c>
      <x:c r="AV87" s="17" t="n">
        <x:v>0.20332528541695893</x:v>
      </x:c>
      <x:c r="AW87" s="16" t="n">
        <x:v>0.3217391304347826</x:v>
      </x:c>
      <x:c r="AX87" s="17" t="n">
        <x:v>0.21852237252861606</x:v>
      </x:c>
      <x:c r="AY87" s="16" t="n">
        <x:v>0.06896551724137934</x:v>
      </x:c>
      <x:c r="AZ87" s="17" t="n">
        <x:v>0.05025462342535513</x:v>
      </x:c>
      <x:c r="BA87" s="16" t="n">
        <x:v>0.32999999999999996</x:v>
      </x:c>
      <x:c r="BB87" s="17" t="n">
        <x:v>0.031315526988580214</x:v>
      </x:c>
      <x:c r="BC87" s="16" t="n">
        <x:v>0.4827586206896552</x:v>
      </x:c>
      <x:c r="BD87" s="17" t="n">
        <x:v>0.018605384634028454</x:v>
      </x:c>
      <x:c r="BE87" s="17" t="n">
        <x:v>0.012969533014848733</x:v>
      </x:c>
      <x:c r="BF87" s="17" t="n">
        <x:v>0.01403508771929829</x:v>
      </x:c>
      <x:c r="BG87" s="17" t="n">
        <x:v>0.012969533014848733</x:v>
      </x:c>
      <x:c r="BH87" s="12" t="str">
        <x:v>cash repurchases less issuance</x:v>
      </x:c>
      <x:c r="BI87" s="17" t="n">
        <x:v>-0.00025939066029697467</x:v>
      </x:c>
      <x:c r="BJ87" s="19" t="n">
        <x:v>789000000</x:v>
      </x:c>
      <x:c r="BK87" s="19" t="n">
        <x:v>552000000</x:v>
      </x:c>
      <x:c r="BL87" s="19" t="n">
        <x:v>2000000</x:v>
      </x:c>
      <x:c r="BM87" s="19" t="n">
        <x:v>8486000000</x:v>
      </x:c>
      <x:c r="BN87" s="19" t="n">
        <x:v>1738000000</x:v>
      </x:c>
      <x:c r="BO87" s="19" t="n">
        <x:v>2022000000</x:v>
      </x:c>
      <x:c r="BP87" s="19" t="n">
        <x:v>375000000</x:v>
      </x:c>
      <x:c r="BQ87" s="19" t="n">
        <x:v>1647000000</x:v>
      </x:c>
      <x:c r="BR87" s="19" t="n">
        <x:v>8197000000</x:v>
      </x:c>
      <x:c r="BS87" s="19" t="n">
        <x:v>6727000000</x:v>
      </x:c>
      <x:c r="BT87" s="19" t="n">
        <x:v>-7325000000</x:v>
      </x:c>
      <x:c r="BU87" s="19" t="n">
        <x:v>709000000</x:v>
      </x:c>
      <x:c r="BV87" s="19" t="n">
        <x:v>38000000</x:v>
      </x:c>
      <x:c r="BW87" s="19" t="n">
        <x:v>27000000</x:v>
      </x:c>
      <x:c r="BX87" s="12" t="n">
        <x:v>275621202</x:v>
      </x:c>
      <x:c r="BY87" s="17" t="n">
        <x:v>-0.01403508771929829</x:v>
      </x:c>
      <x:c r="BZ87" s="12" t="n">
        <x:v>5</x:v>
      </x:c>
      <x:c r="CA87" s="12" t="str">
        <x:v>OK</x:v>
      </x:c>
      <x:c r="CB87" s="20" t="str">
        <x:v>https://query1.finance.yahoo.com/v8/finance/chart/YUM?period1=1704067200&amp;period2=1783728000&amp;interval=1d&amp;events=div%2Csplits</x:v>
      </x:c>
      <x:c r="CC87" s="20" t="str">
        <x:v>https://data.sec.gov/api/xbrl/companyfacts/CIK0001041061.json</x:v>
      </x:c>
      <x:c r="CD87" s="20" t="str">
        <x:v>https://data.sec.gov/submissions/CIK0001041061.json</x:v>
      </x:c>
      <x:c r="CE87" s="20" t="str">
        <x:v>https://api.nasdaq.com/api/screener/stocks?tableonly=true&amp;limit=25000&amp;download=true</x:v>
      </x:c>
    </x:row>
    <x:row r="88">
      <x:c r="A88" s="12" t="str">
        <x:v>MOS</x:v>
      </x:c>
      <x:c r="B88" s="12" t="str">
        <x:v>The Mosaic Co.</x:v>
      </x:c>
      <x:c r="C88" s="12" t="str">
        <x:v>Long</x:v>
      </x:c>
      <x:c r="D88" s="14" t="n">
        <x:v>0.003921</x:v>
      </x:c>
      <x:c r="E88" s="15" t="n">
        <x:v>0.4716245465474435</x:v>
      </x:c>
      <x:c r="F88" s="15" t="n">
        <x:v>0.17993745226425145</x:v>
      </x:c>
      <x:c r="G88" s="12" t="str">
        <x:v>Low Beta</x:v>
      </x:c>
      <x:c r="H88" s="12" t="str">
        <x:v>Low Bad Beta</x:v>
      </x:c>
      <x:c r="I88" s="12" t="str">
        <x:v>Low Beta / Low Bad Beta</x:v>
      </x:c>
      <x:c r="J88" s="15" t="n">
        <x:v>1</x:v>
      </x:c>
      <x:c r="K88" s="18" t="n">
        <x:v>46213</x:v>
      </x:c>
      <x:c r="L88" s="15" t="n">
        <x:v>21.510000228881836</x:v>
      </x:c>
      <x:c r="M88" s="19" t="n">
        <x:v>7129300225</x:v>
      </x:c>
      <x:c r="N88" s="12" t="str">
        <x:v>Nasdaq screener</x:v>
      </x:c>
      <x:c r="O88" s="12" t="str">
        <x:v>Industrials</x:v>
      </x:c>
      <x:c r="P88" s="12" t="str">
        <x:v>Agricultural Chemicals</x:v>
      </x:c>
      <x:c r="Q88" s="12" t="n">
        <x:v>2870</x:v>
      </x:c>
      <x:c r="R88" s="12" t="str">
        <x:v>Agricultural Chemicals</x:v>
      </x:c>
      <x:c r="S88" s="18" t="n">
        <x:v>46112</x:v>
      </x:c>
      <x:c r="T88" s="18" t="n">
        <x:v>46022</x:v>
      </x:c>
      <x:c r="U88" s="15" t="n">
        <x:v>-0.21050173887065204</x:v>
      </x:c>
      <x:c r="V88" s="16" t="n">
        <x:v>0.3362068965517242</x:v>
      </x:c>
      <x:c r="W88" s="17" t="n">
        <x:v>0.0037236551398853114</x:v>
      </x:c>
      <x:c r="X88" s="15" t="n">
        <x:v>-1.029601712582685</x:v>
      </x:c>
      <x:c r="Y88" s="17"/>
      <x:c r="Z88" s="15"/>
      <x:c r="AA88" s="17" t="n">
        <x:v>0.06288012312886329</x:v>
      </x:c>
      <x:c r="AB88" s="15" t="n">
        <x:v>0.608598234841381</x:v>
      </x:c>
      <x:c r="AC88" s="13" t="b">
        <x:v>0</x:v>
      </x:c>
      <x:c r="AD88" s="15" t="n">
        <x:v>-1.10146115586685</x:v>
      </x:c>
      <x:c r="AE88" s="16" t="n">
        <x:v>0.1</x:v>
      </x:c>
      <x:c r="AF88" s="15" t="n">
        <x:v>-1.56</x:v>
      </x:c>
      <x:c r="AG88" s="12" t="n">
        <x:v>8</x:v>
      </x:c>
      <x:c r="AH88" s="12" t="n">
        <x:v>61</x:v>
      </x:c>
      <x:c r="AI88" s="17" t="n">
        <x:v>-0.02911484811781928</x:v>
      </x:c>
      <x:c r="AJ88" s="16" t="n">
        <x:v>0.4608695652173913</x:v>
      </x:c>
      <x:c r="AK88" s="18" t="n">
        <x:v>46153</x:v>
      </x:c>
      <x:c r="AL88" s="18" t="n">
        <x:v>46153</x:v>
      </x:c>
      <x:c r="AM88" s="12" t="str">
        <x:v>2026-05-08 to 2026-05-11 to 2026-05-12</x:v>
      </x:c>
      <x:c r="AN88" s="12" t="str">
        <x:v>8-K Item 2.02 filing date</x:v>
      </x:c>
      <x:c r="AO88" s="12" t="str">
        <x:v>SUE + CAR3</x:v>
      </x:c>
      <x:c r="AP88" s="17" t="n">
        <x:v>0.0063119799390970385</x:v>
      </x:c>
      <x:c r="AQ88" s="16" t="n">
        <x:v>0.05172413793103448</x:v>
      </x:c>
      <x:c r="AR88" s="17" t="n">
        <x:v>-0.06863226187111512</x:v>
      </x:c>
      <x:c r="AS88" s="16" t="n">
        <x:v>0.03</x:v>
      </x:c>
      <x:c r="AT88" s="17" t="n">
        <x:v>1.69510325257764</x:v>
      </x:c>
      <x:c r="AU88" s="16" t="n">
        <x:v>1</x:v>
      </x:c>
      <x:c r="AV88" s="17" t="n">
        <x:v>1.6327535444697545</x:v>
      </x:c>
      <x:c r="AW88" s="16" t="n">
        <x:v>0.9130434782608695</x:v>
      </x:c>
      <x:c r="AX88" s="17" t="n">
        <x:v>0.06788082359099623</x:v>
      </x:c>
      <x:c r="AY88" s="16" t="n">
        <x:v>0.47413793103448276</x:v>
      </x:c>
      <x:c r="AZ88" s="17" t="n">
        <x:v>0.05802873591102879</x:v>
      </x:c>
      <x:c r="BA88" s="16" t="n">
        <x:v>0.28</x:v>
      </x:c>
      <x:c r="BB88" s="17" t="n">
        <x:v>0.051477703058858064</x:v>
      </x:c>
      <x:c r="BC88" s="16" t="n">
        <x:v>0.6982758620689655</x:v>
      </x:c>
      <x:c r="BD88" s="17" t="n">
        <x:v>0.039330648331617986</x:v>
      </x:c>
      <x:c r="BE88" s="17" t="n">
        <x:v>-0.00008415973252129384</x:v>
      </x:c>
      <x:c r="BF88" s="17" t="n">
        <x:v>0.005612722170252549</x:v>
      </x:c>
      <x:c r="BG88" s="17" t="n">
        <x:v>-0.00008415973252129384</x:v>
      </x:c>
      <x:c r="BH88" s="12" t="str">
        <x:v>cash repurchases less issuance</x:v>
      </x:c>
      <x:c r="BI88" s="17" t="n">
        <x:v>0.012231214459761372</x:v>
      </x:c>
      <x:c r="BJ88" s="19" t="n">
        <x:v>280400000</x:v>
      </x:c>
      <x:c r="BK88" s="19" t="n">
        <x:v>0</x:v>
      </x:c>
      <x:c r="BL88" s="19" t="n">
        <x:v>600000</x:v>
      </x:c>
      <x:c r="BM88" s="19" t="n">
        <x:v>12429500000</x:v>
      </x:c>
      <x:c r="BN88" s="19" t="n">
        <x:v>45000000</x:v>
      </x:c>
      <x:c r="BO88" s="19" t="n">
        <x:v>886100000</x:v>
      </x:c>
      <x:c r="BP88" s="19" t="n">
        <x:v>1375400000</x:v>
      </x:c>
      <x:c r="BQ88" s="19" t="n">
        <x:v>-489300000</x:v>
      </x:c>
      <x:c r="BR88" s="19" t="n">
        <x:v>24480100000</x:v>
      </x:c>
      <x:c r="BS88" s="19" t="n">
        <x:v>22924000000</x:v>
      </x:c>
      <x:c r="BT88" s="19" t="n">
        <x:v>12084900000</x:v>
      </x:c>
      <x:c r="BU88" s="19" t="n">
        <x:v>276600000</x:v>
      </x:c>
      <x:c r="BV88" s="19" t="n">
        <x:v>759900000</x:v>
      </x:c>
      <x:c r="BW88" s="19" t="n">
        <x:v>847100000</x:v>
      </x:c>
      <x:c r="BX88" s="12" t="n">
        <x:v>317846644</x:v>
      </x:c>
      <x:c r="BY88" s="17" t="n">
        <x:v>-0.005612722170252549</x:v>
      </x:c>
      <x:c r="BZ88" s="12" t="n">
        <x:v>5</x:v>
      </x:c>
      <x:c r="CA88" s="12" t="str">
        <x:v>OK</x:v>
      </x:c>
      <x:c r="CB88" s="20" t="str">
        <x:v>https://query1.finance.yahoo.com/v8/finance/chart/MOS?period1=1704067200&amp;period2=1783728000&amp;interval=1d&amp;events=div%2Csplits</x:v>
      </x:c>
      <x:c r="CC88" s="20" t="str">
        <x:v>https://data.sec.gov/api/xbrl/companyfacts/CIK0001285785.json</x:v>
      </x:c>
      <x:c r="CD88" s="20" t="str">
        <x:v>https://data.sec.gov/submissions/CIK0001285785.json</x:v>
      </x:c>
      <x:c r="CE88" s="20" t="str">
        <x:v>https://api.nasdaq.com/api/screener/stocks?tableonly=true&amp;limit=25000&amp;download=true</x:v>
      </x:c>
    </x:row>
    <x:row r="89">
      <x:c r="A89" s="12" t="str">
        <x:v>KR</x:v>
      </x:c>
      <x:c r="B89" s="12" t="str">
        <x:v>The Kroger Co.</x:v>
      </x:c>
      <x:c r="C89" s="12" t="str">
        <x:v>Long</x:v>
      </x:c>
      <x:c r="D89" s="14" t="n">
        <x:v>0.003644</x:v>
      </x:c>
      <x:c r="E89" s="15" t="n">
        <x:v>-0.10838777477724561</x:v>
      </x:c>
      <x:c r="F89" s="15" t="n">
        <x:v>0.0018546801043051032</x:v>
      </x:c>
      <x:c r="G89" s="12" t="str">
        <x:v>Low Beta</x:v>
      </x:c>
      <x:c r="H89" s="12" t="str">
        <x:v>Low Bad Beta</x:v>
      </x:c>
      <x:c r="I89" s="12" t="str">
        <x:v>Low Beta / Low Bad Beta</x:v>
      </x:c>
      <x:c r="J89" s="15" t="n">
        <x:v>1</x:v>
      </x:c>
      <x:c r="K89" s="18" t="n">
        <x:v>46213</x:v>
      </x:c>
      <x:c r="L89" s="15" t="n">
        <x:v>60.540000915527344</x:v>
      </x:c>
      <x:c r="M89" s="19" t="n">
        <x:v>35613186503</x:v>
      </x:c>
      <x:c r="N89" s="12" t="str">
        <x:v>Nasdaq screener</x:v>
      </x:c>
      <x:c r="O89" s="12" t="str">
        <x:v>Consumer Staples</x:v>
      </x:c>
      <x:c r="P89" s="12" t="str">
        <x:v>Food Chains</x:v>
      </x:c>
      <x:c r="Q89" s="12" t="n">
        <x:v>5411</x:v>
      </x:c>
      <x:c r="R89" s="12" t="str">
        <x:v>Retail-Grocery Stores</x:v>
      </x:c>
      <x:c r="S89" s="18" t="n">
        <x:v>46165</x:v>
      </x:c>
      <x:c r="T89" s="18" t="n">
        <x:v>46053</x:v>
      </x:c>
      <x:c r="U89" s="15" t="n">
        <x:v>-0.6019529661913047</x:v>
      </x:c>
      <x:c r="V89" s="16" t="n">
        <x:v>0.2155172413793103</x:v>
      </x:c>
      <x:c r="W89" s="17" t="n">
        <x:v>0.177661548844272</x:v>
      </x:c>
      <x:c r="X89" s="15" t="n">
        <x:v>-0.16662567152931643</x:v>
      </x:c>
      <x:c r="Y89" s="17" t="n">
        <x:v>-0.03420136688473126</x:v>
      </x:c>
      <x:c r="Z89" s="15" t="n">
        <x:v>0.6634476285666762</x:v>
      </x:c>
      <x:c r="AA89" s="17" t="n">
        <x:v>2.6784207862324956</x:v>
      </x:c>
      <x:c r="AB89" s="15" t="n">
        <x:v>-2.302680855611274</x:v>
      </x:c>
      <x:c r="AC89" s="13" t="b">
        <x:v>0</x:v>
      </x:c>
      <x:c r="AD89" s="15" t="n">
        <x:v>0.13772392879099501</x:v>
      </x:c>
      <x:c r="AE89" s="16" t="n">
        <x:v>0.38181818181818183</x:v>
      </x:c>
      <x:c r="AF89" s="15" t="n">
        <x:v>0.15999999999999992</x:v>
      </x:c>
      <x:c r="AG89" s="12" t="n">
        <x:v>8</x:v>
      </x:c>
      <x:c r="AH89" s="12" t="n">
        <x:v>58</x:v>
      </x:c>
      <x:c r="AI89" s="17" t="n">
        <x:v>-0.13124114720460311</x:v>
      </x:c>
      <x:c r="AJ89" s="16" t="n">
        <x:v>0.043478260869565216</x:v>
      </x:c>
      <x:c r="AK89" s="18" t="n">
        <x:v>46191</x:v>
      </x:c>
      <x:c r="AL89" s="18" t="n">
        <x:v>46191</x:v>
      </x:c>
      <x:c r="AM89" s="12" t="str">
        <x:v>2026-06-17 to 2026-06-18 to 2026-06-22</x:v>
      </x:c>
      <x:c r="AN89" s="12" t="str">
        <x:v>8-K Item 2.02 filing date</x:v>
      </x:c>
      <x:c r="AO89" s="12" t="str">
        <x:v>SUE + CAR3</x:v>
      </x:c>
      <x:c r="AP89" s="17" t="n">
        <x:v>0.029567699591029208</x:v>
      </x:c>
      <x:c r="AQ89" s="16" t="n">
        <x:v>0.13793103448275862</x:v>
      </x:c>
      <x:c r="AR89" s="17" t="n">
        <x:v>0.07952110659239764</x:v>
      </x:c>
      <x:c r="AS89" s="16" t="n">
        <x:v>0.76</x:v>
      </x:c>
      <x:c r="AT89" s="17" t="n">
        <x:v>0.16642711821085482</x:v>
      </x:c>
      <x:c r="AU89" s="16" t="n">
        <x:v>0.23275862068965517</x:v>
      </x:c>
      <x:c r="AV89" s="17" t="n">
        <x:v>3.0868551790557075</x:v>
      </x:c>
      <x:c r="AW89" s="16" t="n">
        <x:v>0.9739130434782609</x:v>
      </x:c>
      <x:c r="AX89" s="17" t="n">
        <x:v>-0.050611981146419294</x:v>
      </x:c>
      <x:c r="AY89" s="16" t="n">
        <x:v>0.9827586206896551</x:v>
      </x:c>
      <x:c r="AZ89" s="17" t="n">
        <x:v>0.08002417884546013</x:v>
      </x:c>
      <x:c r="BA89" s="16" t="n">
        <x:v>0.15000000000000002</x:v>
      </x:c>
      <x:c r="BB89" s="17" t="n">
        <x:v>0.09648111661422257</x:v>
      </x:c>
      <x:c r="BC89" s="16" t="n">
        <x:v>0.896551724137931</x:v>
      </x:c>
      <x:c r="BD89" s="17" t="n">
        <x:v>0.024850345810124262</x:v>
      </x:c>
      <x:c r="BE89" s="17" t="n">
        <x:v>0.07067606825320087</x:v>
      </x:c>
      <x:c r="BF89" s="17" t="n">
        <x:v>0.09027777777777779</x:v>
      </x:c>
      <x:c r="BG89" s="17" t="n">
        <x:v>0.07067606825320087</x:v>
      </x:c>
      <x:c r="BH89" s="12" t="str">
        <x:v>cash repurchases less issuance</x:v>
      </x:c>
      <x:c r="BI89" s="17" t="n">
        <x:v>0.0009547025508974293</x:v>
      </x:c>
      <x:c r="BJ89" s="19" t="n">
        <x:v>885000000</x:v>
      </x:c>
      <x:c r="BK89" s="19" t="n">
        <x:v>2699000000</x:v>
      </x:c>
      <x:c r="BL89" s="19" t="n">
        <x:v>182000000</x:v>
      </x:c>
      <x:c r="BM89" s="19" t="n">
        <x:v>148645000000</x:v>
      </x:c>
      <x:c r="BN89" s="19" t="n">
        <x:v>1053000000</x:v>
      </x:c>
      <x:c r="BO89" s="19" t="n">
        <x:v>6936000000</x:v>
      </x:c>
      <x:c r="BP89" s="19" t="n">
        <x:v>4104000000</x:v>
      </x:c>
      <x:c r="BQ89" s="19" t="n">
        <x:v>2832000000</x:v>
      </x:c>
      <x:c r="BR89" s="19" t="n">
        <x:v>49953000000</x:v>
      </x:c>
      <x:c r="BS89" s="19" t="n">
        <x:v>52616000000</x:v>
      </x:c>
      <x:c r="BT89" s="19" t="n">
        <x:v>5927000000</x:v>
      </x:c>
      <x:c r="BU89" s="19" t="n">
        <x:v>3334000000</x:v>
      </x:c>
      <x:c r="BV89" s="19" t="n">
        <x:v>15875000000</x:v>
      </x:c>
      <x:c r="BW89" s="19" t="n">
        <x:v>15909000000</x:v>
      </x:c>
      <x:c r="BX89" s="12" t="n">
        <x:v>612647282</x:v>
      </x:c>
      <x:c r="BY89" s="17" t="n">
        <x:v>-0.09027777777777779</x:v>
      </x:c>
      <x:c r="BZ89" s="12" t="n">
        <x:v>5</x:v>
      </x:c>
      <x:c r="CA89" s="12" t="str">
        <x:v>OK</x:v>
      </x:c>
      <x:c r="CB89" s="20" t="str">
        <x:v>https://query1.finance.yahoo.com/v8/finance/chart/KR?period1=1704067200&amp;period2=1783728000&amp;interval=1d&amp;events=div%2Csplits</x:v>
      </x:c>
      <x:c r="CC89" s="20" t="str">
        <x:v>https://data.sec.gov/api/xbrl/companyfacts/CIK0000056873.json</x:v>
      </x:c>
      <x:c r="CD89" s="20" t="str">
        <x:v>https://data.sec.gov/submissions/CIK0000056873.json</x:v>
      </x:c>
      <x:c r="CE89" s="20" t="str">
        <x:v>https://api.nasdaq.com/api/screener/stocks?tableonly=true&amp;limit=25000&amp;download=true</x:v>
      </x:c>
    </x:row>
    <x:row r="90">
      <x:c r="A90" s="12" t="str">
        <x:v>CCC</x:v>
      </x:c>
      <x:c r="B90" s="12" t="str">
        <x:v>CCC Intelligent Solutions Holdings Inc.</x:v>
      </x:c>
      <x:c r="C90" s="12" t="str">
        <x:v>Long</x:v>
      </x:c>
      <x:c r="D90" s="14" t="n">
        <x:v>0.005222</x:v>
      </x:c>
      <x:c r="E90" s="15" t="n">
        <x:v>0.23981597989120043</x:v>
      </x:c>
      <x:c r="F90" s="15" t="n">
        <x:v>0.07787463909678498</x:v>
      </x:c>
      <x:c r="G90" s="12" t="str">
        <x:v>Low Beta</x:v>
      </x:c>
      <x:c r="H90" s="12" t="str">
        <x:v>Low Bad Beta</x:v>
      </x:c>
      <x:c r="I90" s="12" t="str">
        <x:v>Low Beta / Low Bad Beta</x:v>
      </x:c>
      <x:c r="J90" s="15" t="n">
        <x:v>1</x:v>
      </x:c>
      <x:c r="K90" s="18" t="n">
        <x:v>46213</x:v>
      </x:c>
      <x:c r="L90" s="15" t="n">
        <x:v>5.920000076293945</x:v>
      </x:c>
      <x:c r="M90" s="19" t="n">
        <x:v>3668378350</x:v>
      </x:c>
      <x:c r="N90" s="12" t="str">
        <x:v>Nasdaq screener</x:v>
      </x:c>
      <x:c r="O90" s="12" t="str">
        <x:v>Technology</x:v>
      </x:c>
      <x:c r="P90" s="12" t="str">
        <x:v>Computer Software: Prepackaged Software</x:v>
      </x:c>
      <x:c r="Q90" s="12" t="n">
        <x:v>7372</x:v>
      </x:c>
      <x:c r="R90" s="12" t="str">
        <x:v>Services-Prepackaged Software</x:v>
      </x:c>
      <x:c r="S90" s="18" t="n">
        <x:v>46022</x:v>
      </x:c>
      <x:c r="T90" s="18" t="n">
        <x:v>46022</x:v>
      </x:c>
      <x:c r="U90" s="15" t="n">
        <x:v>-0.844846658147391</x:v>
      </x:c>
      <x:c r="V90" s="16" t="n">
        <x:v>0.1293103448275862</x:v>
      </x:c>
      <x:c r="W90" s="17" t="n">
        <x:v>0.0009445946021566751</x:v>
      </x:c>
      <x:c r="X90" s="15" t="n">
        <x:v>-1.029601712582685</x:v>
      </x:c>
      <x:c r="Y90" s="17" t="n">
        <x:v>0.17086455565997943</x:v>
      </x:c>
      <x:c r="Z90" s="15" t="n">
        <x:v>-1.3794112779625443</x:v>
      </x:c>
      <x:c r="AA90" s="17" t="n">
        <x:v>0.7224302046435107</x:v>
      </x:c>
      <x:c r="AB90" s="15" t="n">
        <x:v>-0.12552698389694372</x:v>
      </x:c>
      <x:c r="AC90" s="13" t="b">
        <x:v>0</x:v>
      </x:c>
      <x:c r="AD90" s="15" t="n">
        <x:v>0.1371758152921836</x:v>
      </x:c>
      <x:c r="AE90" s="16" t="n">
        <x:v>0.37272727272727274</x:v>
      </x:c>
      <x:c r="AF90" s="15" t="n">
        <x:v>0.01</x:v>
      </x:c>
      <x:c r="AG90" s="12" t="n">
        <x:v>8</x:v>
      </x:c>
      <x:c r="AH90" s="12" t="n">
        <x:v>18</x:v>
      </x:c>
      <x:c r="AI90" s="17" t="n">
        <x:v>0.09601167363613472</x:v>
      </x:c>
      <x:c r="AJ90" s="16" t="n">
        <x:v>0.9739130434782609</x:v>
      </x:c>
      <x:c r="AK90" s="18" t="n">
        <x:v>46142</x:v>
      </x:c>
      <x:c r="AL90" s="18" t="n">
        <x:v>46142</x:v>
      </x:c>
      <x:c r="AM90" s="12" t="str">
        <x:v>2026-04-29 to 2026-04-30 to 2026-05-01</x:v>
      </x:c>
      <x:c r="AN90" s="12" t="str">
        <x:v>8-K Item 2.02 filing date</x:v>
      </x:c>
      <x:c r="AO90" s="12" t="str">
        <x:v>SUE + CAR3</x:v>
      </x:c>
      <x:c r="AP90" s="17" t="n">
        <x:v>0.0004601488284325961</x:v>
      </x:c>
      <x:c r="AQ90" s="16" t="n">
        <x:v>0.034482758620689655</x:v>
      </x:c>
      <x:c r="AR90" s="17" t="n">
        <x:v>0.0693788850869213</x:v>
      </x:c>
      <x:c r="AS90" s="16" t="n">
        <x:v>0.7</x:v>
      </x:c>
      <x:c r="AT90" s="17" t="n">
        <x:v>0.4871389561003161</x:v>
      </x:c>
      <x:c r="AU90" s="16" t="n">
        <x:v>0.646551724137931</x:v>
      </x:c>
      <x:c r="AV90" s="17" t="n">
        <x:v>0.21802032840657704</x:v>
      </x:c>
      <x:c r="AW90" s="16" t="n">
        <x:v>0.3652173913043478</x:v>
      </x:c>
      <x:c r="AX90" s="17" t="n">
        <x:v>0.12258475542674119</x:v>
      </x:c>
      <x:c r="AY90" s="16" t="n">
        <x:v>0.18965517241379315</x:v>
      </x:c>
      <x:c r="AZ90" s="17" t="n">
        <x:v>0.01804770115367823</x:v>
      </x:c>
      <x:c r="BA90" s="16" t="n">
        <x:v>0.5900000000000001</x:v>
      </x:c>
      <x:c r="BB90" s="17" t="n">
        <x:v>0.02015250144522307</x:v>
      </x:c>
      <x:c r="BC90" s="16" t="n">
        <x:v>0.31896551724137934</x:v>
      </x:c>
      <x:c r="BD90" s="17" t="n">
        <x:v>0</x:v>
      </x:c>
      <x:c r="BE90" s="17" t="n">
        <x:v>0.16243253643670644</x:v>
      </x:c>
      <x:c r="BF90" s="17" t="n">
        <x:v>-0.0275907856122104</x:v>
      </x:c>
      <x:c r="BG90" s="17" t="n">
        <x:v>0.16243253643670644</x:v>
      </x:c>
      <x:c r="BH90" s="12" t="str">
        <x:v>cash repurchases less issuance</x:v>
      </x:c>
      <x:c r="BI90" s="17" t="n">
        <x:v>-0.14228003499148337</x:v>
      </x:c>
      <x:c r="BJ90" s="19" t="n">
        <x:v>0</x:v>
      </x:c>
      <x:c r="BK90" s="19" t="n">
        <x:v>600567000</x:v>
      </x:c>
      <x:c r="BL90" s="19" t="n">
        <x:v>4703000</x:v>
      </x:c>
      <x:c r="BM90" s="19" t="n">
        <x:v>1057001000</x:v>
      </x:c>
      <x:c r="BN90" s="19" t="n">
        <x:v>1688000</x:v>
      </x:c>
      <x:c r="BO90" s="19" t="n">
        <x:v>315479000</x:v>
      </x:c>
      <x:c r="BP90" s="19" t="n">
        <x:v>60971000</x:v>
      </x:c>
      <x:c r="BQ90" s="19" t="n">
        <x:v>254508000</x:v>
      </x:c>
      <x:c r="BR90" s="19" t="n">
        <x:v>3573432000</x:v>
      </x:c>
      <x:c r="BS90" s="19" t="n">
        <x:v>3183218000</x:v>
      </x:c>
      <x:c r="BT90" s="19" t="n">
        <x:v>1787010000</x:v>
      </x:c>
      <x:c r="BU90" s="19" t="n">
        <x:v>111192000</x:v>
      </x:c>
      <x:c r="BV90" s="19" t="n">
        <x:v>1290990000</x:v>
      </x:c>
      <x:c r="BW90" s="19" t="n">
        <x:v>769053000</x:v>
      </x:c>
      <x:c r="BX90" s="12" t="n">
        <x:v>607126060</x:v>
      </x:c>
      <x:c r="BY90" s="17" t="n">
        <x:v>0.0275907856122104</x:v>
      </x:c>
      <x:c r="BZ90" s="12" t="n">
        <x:v>5</x:v>
      </x:c>
      <x:c r="CA90" s="12" t="str">
        <x:v>OK</x:v>
      </x:c>
      <x:c r="CB90" s="20" t="str">
        <x:v>https://query1.finance.yahoo.com/v8/finance/chart/CCC?period1=1704067200&amp;period2=1783728000&amp;interval=1d&amp;events=div%2Csplits</x:v>
      </x:c>
      <x:c r="CC90" s="20" t="str">
        <x:v>https://data.sec.gov/api/xbrl/companyfacts/CIK0001818201.json</x:v>
      </x:c>
      <x:c r="CD90" s="20" t="str">
        <x:v>https://data.sec.gov/submissions/CIK0001818201.json</x:v>
      </x:c>
      <x:c r="CE90" s="20" t="str">
        <x:v>https://api.nasdaq.com/api/screener/stocks?tableonly=true&amp;limit=25000&amp;download=true</x:v>
      </x:c>
    </x:row>
    <x:row r="91">
      <x:c r="A91" s="12" t="str">
        <x:v>WELL</x:v>
      </x:c>
      <x:c r="B91" s="12" t="str">
        <x:v>Welltower Inc. REIT</x:v>
      </x:c>
      <x:c r="C91" s="12" t="str">
        <x:v>Long</x:v>
      </x:c>
      <x:c r="D91" s="14" t="n">
        <x:v>0.004381</x:v>
      </x:c>
      <x:c r="E91" s="15" t="n">
        <x:v>0.3778856916466246</x:v>
      </x:c>
      <x:c r="F91" s="15" t="n">
        <x:v>0.09811960782404805</x:v>
      </x:c>
      <x:c r="G91" s="12" t="str">
        <x:v>Low Beta</x:v>
      </x:c>
      <x:c r="H91" s="12" t="str">
        <x:v>Low Bad Beta</x:v>
      </x:c>
      <x:c r="I91" s="12" t="str">
        <x:v>Low Beta / Low Bad Beta</x:v>
      </x:c>
      <x:c r="J91" s="15" t="n">
        <x:v>1</x:v>
      </x:c>
      <x:c r="K91" s="18" t="n">
        <x:v>46213</x:v>
      </x:c>
      <x:c r="L91" s="15" t="n">
        <x:v>231.58999633789062</x:v>
      </x:c>
      <x:c r="M91" s="19" t="n">
        <x:v>165459287936</x:v>
      </x:c>
      <x:c r="N91" s="12" t="str">
        <x:v>Nasdaq screener</x:v>
      </x:c>
      <x:c r="O91" s="12" t="str">
        <x:v>Real Estate</x:v>
      </x:c>
      <x:c r="P91" s="12" t="str">
        <x:v>Real Estate Investment Trusts</x:v>
      </x:c>
      <x:c r="Q91" s="12" t="n">
        <x:v>6798</x:v>
      </x:c>
      <x:c r="R91" s="12" t="str">
        <x:v>Real Estate Investment Trusts</x:v>
      </x:c>
      <x:c r="S91" s="18" t="n">
        <x:v>46112</x:v>
      </x:c>
      <x:c r="T91" s="18" t="n">
        <x:v>46022</x:v>
      </x:c>
      <x:c r="U91" s="15" t="n">
        <x:v>-0.4132385277442626</x:v>
      </x:c>
      <x:c r="V91" s="16" t="n">
        <x:v>0.25</x:v>
      </x:c>
      <x:c r="W91" s="17" t="n">
        <x:v>0.03458135200186815</x:v>
      </x:c>
      <x:c r="X91" s="15" t="n">
        <x:v>-0.9978687161608285</x:v>
      </x:c>
      <x:c r="Y91" s="17"/>
      <x:c r="Z91" s="15"/>
      <x:c r="AA91" s="17" t="n">
        <x:v>0.455673647001443</x:v>
      </x:c>
      <x:c r="AB91" s="15" t="n">
        <x:v>0.17139166067230324</x:v>
      </x:c>
      <x:c r="AC91" s="13" t="b">
        <x:v>1</x:v>
      </x:c>
      <x:c r="AD91" s="15" t="n">
        <x:v>2.093203713454875</x:v>
      </x:c>
      <x:c r="AE91" s="16" t="n">
        <x:v>0.8818181818181818</x:v>
      </x:c>
      <x:c r="AF91" s="15" t="n">
        <x:v>0.64</x:v>
      </x:c>
      <x:c r="AG91" s="12" t="n">
        <x:v>8</x:v>
      </x:c>
      <x:c r="AH91" s="12" t="n">
        <x:v>64</x:v>
      </x:c>
      <x:c r="AI91" s="17" t="n">
        <x:v>0.021365651336471392</x:v>
      </x:c>
      <x:c r="AJ91" s="16" t="n">
        <x:v>0.782608695652174</x:v>
      </x:c>
      <x:c r="AK91" s="18" t="n">
        <x:v>46140</x:v>
      </x:c>
      <x:c r="AL91" s="18" t="n">
        <x:v>46140</x:v>
      </x:c>
      <x:c r="AM91" s="12" t="str">
        <x:v>2026-04-27 to 2026-04-28 to 2026-04-29</x:v>
      </x:c>
      <x:c r="AN91" s="12" t="str">
        <x:v>8-K Item 2.02 filing date</x:v>
      </x:c>
      <x:c r="AO91" s="12" t="str">
        <x:v>SUE + CAR3</x:v>
      </x:c>
      <x:c r="AP91" s="17" t="n">
        <x:v>0.008805156955368562</x:v>
      </x:c>
      <x:c r="AQ91" s="16" t="n">
        <x:v>0.06896551724137931</x:v>
      </x:c>
      <x:c r="AR91" s="17"/>
      <x:c r="AS91" s="16"/>
      <x:c r="AT91" s="17" t="n">
        <x:v>0.25462153575987695</x:v>
      </x:c>
      <x:c r="AU91" s="16" t="n">
        <x:v>0.3793103448275862</x:v>
      </x:c>
      <x:c r="AV91" s="17" t="n">
        <x:v>0.05216148039810386</x:v>
      </x:c>
      <x:c r="AW91" s="16"/>
      <x:c r="AX91" s="17" t="n">
        <x:v>0.3185220769375501</x:v>
      </x:c>
      <x:c r="AY91" s="16" t="n">
        <x:v>0.0431034482758621</x:v>
      </x:c>
      <x:c r="AZ91" s="17"/>
      <x:c r="BA91" s="16"/>
      <x:c r="BB91" s="17" t="n">
        <x:v>0.011329784041649606</x:v>
      </x:c>
      <x:c r="BC91" s="16" t="n">
        <x:v>0.2413793103448276</x:v>
      </x:c>
      <x:c r="BD91" s="17" t="n">
        <x:v>0.01134592698553217</x:v>
      </x:c>
      <x:c r="BE91" s="17" t="n">
        <x:v>-0.000016142943882564928</x:v>
      </x:c>
      <x:c r="BF91" s="17" t="n">
        <x:v>-0.11625626283367563</x:v>
      </x:c>
      <x:c r="BG91" s="17" t="n">
        <x:v>-0.000016142943882564928</x:v>
      </x:c>
      <x:c r="BH91" s="12" t="str">
        <x:v>cash repurchases less issuance</x:v>
      </x:c>
      <x:c r="BI91" s="17"/>
      <x:c r="BJ91" s="19" t="n">
        <x:v>1877289000</x:v>
      </x:c>
      <x:c r="BK91" s="19" t="n">
        <x:v>0</x:v>
      </x:c>
      <x:c r="BL91" s="19" t="n">
        <x:v>2671000</x:v>
      </x:c>
      <x:c r="BM91" s="19" t="n">
        <x:v>9369397000</x:v>
      </x:c>
      <x:c r="BN91" s="19" t="n">
        <x:v>1456895000</x:v>
      </x:c>
      <x:c r="BO91" s="19" t="n">
        <x:v>2952730000</x:v>
      </x:c>
      <x:c r="BP91" s="19"/>
      <x:c r="BQ91" s="19"/>
      <x:c r="BR91" s="19" t="n">
        <x:v>67303047000</x:v>
      </x:c>
      <x:c r="BS91" s="19" t="n">
        <x:v>51044308000</x:v>
      </x:c>
      <x:c r="BT91" s="19" t="n">
        <x:v>42129498000</x:v>
      </x:c>
      <x:c r="BU91" s="19" t="n">
        <x:v>5033678000</x:v>
      </x:c>
      <x:c r="BV91" s="19" t="n">
        <x:v>19197302000</x:v>
      </x:c>
      <x:c r="BW91" s="19" t="n">
        <x:v>15500257000</x:v>
      </x:c>
      <x:c r="BX91" s="12" t="n">
        <x:v>705914450</x:v>
      </x:c>
      <x:c r="BY91" s="17" t="n">
        <x:v>0.11625626283367563</x:v>
      </x:c>
      <x:c r="BZ91" s="12" t="n">
        <x:v>5</x:v>
      </x:c>
      <x:c r="CA91" s="12" t="str">
        <x:v>OK</x:v>
      </x:c>
      <x:c r="CB91" s="20" t="str">
        <x:v>https://query1.finance.yahoo.com/v8/finance/chart/WELL?period1=1704067200&amp;period2=1783728000&amp;interval=1d&amp;events=div%2Csplits</x:v>
      </x:c>
      <x:c r="CC91" s="20" t="str">
        <x:v>https://data.sec.gov/api/xbrl/companyfacts/CIK0000766704.json</x:v>
      </x:c>
      <x:c r="CD91" s="20" t="str">
        <x:v>https://data.sec.gov/submissions/CIK0000766704.json</x:v>
      </x:c>
      <x:c r="CE91" s="20" t="str">
        <x:v>https://api.nasdaq.com/api/screener/stocks?tableonly=true&amp;limit=25000&amp;download=true</x:v>
      </x:c>
    </x:row>
    <x:row r="92">
      <x:c r="A92" s="12" t="str">
        <x:v>LIN</x:v>
      </x:c>
      <x:c r="B92" s="12" t="str">
        <x:v>Linde PLC</x:v>
      </x:c>
      <x:c r="C92" s="12" t="str">
        <x:v>Long</x:v>
      </x:c>
      <x:c r="D92" s="14" t="n">
        <x:v>0.003644</x:v>
      </x:c>
      <x:c r="E92" s="15" t="n">
        <x:v>0.392294158588773</x:v>
      </x:c>
      <x:c r="F92" s="15" t="n">
        <x:v>0.11492284441123202</x:v>
      </x:c>
      <x:c r="G92" s="12" t="str">
        <x:v>Low Beta</x:v>
      </x:c>
      <x:c r="H92" s="12" t="str">
        <x:v>Low Bad Beta</x:v>
      </x:c>
      <x:c r="I92" s="12" t="str">
        <x:v>Low Beta / Low Bad Beta</x:v>
      </x:c>
      <x:c r="J92" s="15" t="n">
        <x:v>1</x:v>
      </x:c>
      <x:c r="K92" s="18" t="n">
        <x:v>46213</x:v>
      </x:c>
      <x:c r="L92" s="15" t="n">
        <x:v>529.7899780273438</x:v>
      </x:c>
      <x:c r="M92" s="19" t="n">
        <x:v>237801606021</x:v>
      </x:c>
      <x:c r="N92" s="12" t="str">
        <x:v>Nasdaq screener</x:v>
      </x:c>
      <x:c r="O92" s="12" t="str">
        <x:v>Basic Materials</x:v>
      </x:c>
      <x:c r="P92" s="12" t="str">
        <x:v>Major Chemicals</x:v>
      </x:c>
      <x:c r="Q92" s="12" t="n">
        <x:v>2810</x:v>
      </x:c>
      <x:c r="R92" s="12" t="str">
        <x:v>Industrial Inorganic Chemicals</x:v>
      </x:c>
      <x:c r="S92" s="18" t="n">
        <x:v>46112</x:v>
      </x:c>
      <x:c r="T92" s="18" t="n">
        <x:v>46022</x:v>
      </x:c>
      <x:c r="U92" s="15" t="n">
        <x:v>-0.12918838709239142</x:v>
      </x:c>
      <x:c r="V92" s="16" t="n">
        <x:v>0.4137931034482758</x:v>
      </x:c>
      <x:c r="W92" s="17" t="n">
        <x:v>0.18517453261864297</x:v>
      </x:c>
      <x:c r="X92" s="15" t="n">
        <x:v>-0.1229780134697319</x:v>
      </x:c>
      <x:c r="Y92" s="17" t="n">
        <x:v>0.061402458014901413</x:v>
      </x:c>
      <x:c r="Z92" s="15" t="n">
        <x:v>-0.2889540321816723</x:v>
      </x:c>
      <x:c r="AA92" s="17" t="n">
        <x:v>0.5877631062884037</x:v>
      </x:c>
      <x:c r="AB92" s="15" t="n">
        <x:v>0.024366884374229986</x:v>
      </x:c>
      <x:c r="AC92" s="13" t="b">
        <x:v>0</x:v>
      </x:c>
      <x:c r="AD92" s="15" t="n">
        <x:v>1.3417720371931041</x:v>
      </x:c>
      <x:c r="AE92" s="16" t="n">
        <x:v>0.7363636363636363</x:v>
      </x:c>
      <x:c r="AF92" s="15" t="n">
        <x:v>0.4700000000000002</x:v>
      </x:c>
      <x:c r="AG92" s="12" t="n">
        <x:v>8</x:v>
      </x:c>
      <x:c r="AH92" s="12" t="n">
        <x:v>32</x:v>
      </x:c>
      <x:c r="AI92" s="17" t="n">
        <x:v>-0.032619077098128835</x:v>
      </x:c>
      <x:c r="AJ92" s="16" t="n">
        <x:v>0.40869565217391307</x:v>
      </x:c>
      <x:c r="AK92" s="18" t="n">
        <x:v>46143</x:v>
      </x:c>
      <x:c r="AL92" s="18" t="n">
        <x:v>46143</x:v>
      </x:c>
      <x:c r="AM92" s="12" t="str">
        <x:v>2026-04-30 to 2026-05-01 to 2026-05-04</x:v>
      </x:c>
      <x:c r="AN92" s="12" t="str">
        <x:v>8-K Item 2.02 filing date</x:v>
      </x:c>
      <x:c r="AO92" s="12" t="str">
        <x:v>SUE + CAR3</x:v>
      </x:c>
      <x:c r="AP92" s="17" t="n">
        <x:v>0.029781127716078572</x:v>
      </x:c>
      <x:c r="AQ92" s="16" t="n">
        <x:v>0.16379310344827586</x:v>
      </x:c>
      <x:c r="AR92" s="17" t="n">
        <x:v>0.021429628189937364</x:v>
      </x:c>
      <x:c r="AS92" s="16" t="n">
        <x:v>0.17</x:v>
      </x:c>
      <x:c r="AT92" s="17" t="n">
        <x:v>0.16082734107616845</x:v>
      </x:c>
      <x:c r="AU92" s="16" t="n">
        <x:v>0.22413793103448276</x:v>
      </x:c>
      <x:c r="AV92" s="17" t="n">
        <x:v>0.13578236260319104</x:v>
      </x:c>
      <x:c r="AW92" s="16" t="n">
        <x:v>0.1826086956521739</x:v>
      </x:c>
      <x:c r="AX92" s="17" t="n">
        <x:v>0.08322207942904902</x:v>
      </x:c>
      <x:c r="AY92" s="16" t="n">
        <x:v>0.3448275862068966</x:v>
      </x:c>
      <x:c r="AZ92" s="17" t="n">
        <x:v>0.06388203445054023</x:v>
      </x:c>
      <x:c r="BA92" s="16" t="n">
        <x:v>0.26</x:v>
      </x:c>
      <x:c r="BB92" s="17" t="n">
        <x:v>0.009713979811372706</x:v>
      </x:c>
      <x:c r="BC92" s="16" t="n">
        <x:v>0.21551724137931033</x:v>
      </x:c>
      <x:c r="BD92" s="17" t="n">
        <x:v>0.01182077803020289</x:v>
      </x:c>
      <x:c r="BE92" s="17" t="n">
        <x:v>0.01925134180799318</x:v>
      </x:c>
      <x:c r="BF92" s="17" t="n">
        <x:v>0.02052927656961745</x:v>
      </x:c>
      <x:c r="BG92" s="17" t="n">
        <x:v>0.01925134180799318</x:v>
      </x:c>
      <x:c r="BH92" s="12" t="str">
        <x:v>cash repurchases less issuance</x:v>
      </x:c>
      <x:c r="BI92" s="17" t="n">
        <x:v>-0.021358140026823364</x:v>
      </x:c>
      <x:c r="BJ92" s="19" t="n">
        <x:v>2811000000</x:v>
      </x:c>
      <x:c r="BK92" s="19" t="n">
        <x:v>4601000000</x:v>
      </x:c>
      <x:c r="BL92" s="19" t="n">
        <x:v>23000000</x:v>
      </x:c>
      <x:c r="BM92" s="19" t="n">
        <x:v>34655000000</x:v>
      </x:c>
      <x:c r="BN92" s="19" t="n">
        <x:v>7082000000</x:v>
      </x:c>
      <x:c r="BO92" s="19" t="n">
        <x:v>10429000000</x:v>
      </x:c>
      <x:c r="BP92" s="19" t="n">
        <x:v>5333000000</x:v>
      </x:c>
      <x:c r="BQ92" s="19" t="n">
        <x:v>5096000000</x:v>
      </x:c>
      <x:c r="BR92" s="19" t="n">
        <x:v>86817000000</x:v>
      </x:c>
      <x:c r="BS92" s="19" t="n">
        <x:v>80147000000</x:v>
      </x:c>
      <x:c r="BT92" s="19" t="n">
        <x:v>38245000000</x:v>
      </x:c>
      <x:c r="BU92" s="19" t="n">
        <x:v>5056000000</x:v>
      </x:c>
      <x:c r="BV92" s="19" t="n">
        <x:v>22479000000</x:v>
      </x:c>
      <x:c r="BW92" s="19" t="n">
        <x:v>17400000000</x:v>
      </x:c>
      <x:c r="BX92" s="12" t="n">
        <x:v>462599539</x:v>
      </x:c>
      <x:c r="BY92" s="17" t="n">
        <x:v>-0.02052927656961745</x:v>
      </x:c>
      <x:c r="BZ92" s="12" t="n">
        <x:v>5</x:v>
      </x:c>
      <x:c r="CA92" s="12" t="str">
        <x:v>OK</x:v>
      </x:c>
      <x:c r="CB92" s="20" t="str">
        <x:v>https://query1.finance.yahoo.com/v8/finance/chart/LIN?period1=1704067200&amp;period2=1783728000&amp;interval=1d&amp;events=div%2Csplits</x:v>
      </x:c>
      <x:c r="CC92" s="20" t="str">
        <x:v>https://data.sec.gov/api/xbrl/companyfacts/CIK0001707925.json</x:v>
      </x:c>
      <x:c r="CD92" s="20" t="str">
        <x:v>https://data.sec.gov/submissions/CIK0001707925.json</x:v>
      </x:c>
      <x:c r="CE92" s="20" t="str">
        <x:v>https://api.nasdaq.com/api/screener/stocks?tableonly=true&amp;limit=25000&amp;download=true</x:v>
      </x:c>
    </x:row>
    <x:row r="93">
      <x:c r="A93" s="12" t="str">
        <x:v>VTR</x:v>
      </x:c>
      <x:c r="B93" s="12" t="str">
        <x:v>Ventas Inc. REIT</x:v>
      </x:c>
      <x:c r="C93" s="12" t="str">
        <x:v>Long</x:v>
      </x:c>
      <x:c r="D93" s="14" t="n">
        <x:v>0.004053</x:v>
      </x:c>
      <x:c r="E93" s="15" t="n">
        <x:v>0.3429567615360264</x:v>
      </x:c>
      <x:c r="F93" s="15" t="n">
        <x:v>0.09621604522945264</x:v>
      </x:c>
      <x:c r="G93" s="12" t="str">
        <x:v>Low Beta</x:v>
      </x:c>
      <x:c r="H93" s="12" t="str">
        <x:v>Low Bad Beta</x:v>
      </x:c>
      <x:c r="I93" s="12" t="str">
        <x:v>Low Beta / Low Bad Beta</x:v>
      </x:c>
      <x:c r="J93" s="15" t="n">
        <x:v>1</x:v>
      </x:c>
      <x:c r="K93" s="18" t="n">
        <x:v>46213</x:v>
      </x:c>
      <x:c r="L93" s="15" t="n">
        <x:v>90.66000366210938</x:v>
      </x:c>
      <x:c r="M93" s="19" t="n">
        <x:v>44934236648</x:v>
      </x:c>
      <x:c r="N93" s="12" t="str">
        <x:v>Nasdaq screener</x:v>
      </x:c>
      <x:c r="O93" s="12" t="str">
        <x:v>Real Estate</x:v>
      </x:c>
      <x:c r="P93" s="12" t="str">
        <x:v>Real Estate Investment Trusts</x:v>
      </x:c>
      <x:c r="Q93" s="12" t="n">
        <x:v>6798</x:v>
      </x:c>
      <x:c r="R93" s="12" t="str">
        <x:v>Real Estate Investment Trusts</x:v>
      </x:c>
      <x:c r="S93" s="18" t="n">
        <x:v>46112</x:v>
      </x:c>
      <x:c r="T93" s="18" t="n">
        <x:v>46022</x:v>
      </x:c>
      <x:c r="U93" s="15" t="n">
        <x:v>-0.753533235030436</x:v>
      </x:c>
      <x:c r="V93" s="16" t="n">
        <x:v>0.15517241379310345</x:v>
      </x:c>
      <x:c r="W93" s="17" t="n">
        <x:v>0.02172926498730408</x:v>
      </x:c>
      <x:c r="X93" s="15" t="n">
        <x:v>-1.029601712582685</x:v>
      </x:c>
      <x:c r="Y93" s="17"/>
      <x:c r="Z93" s="15"/>
      <x:c r="AA93" s="17" t="n">
        <x:v>1.0386168460076604</x:v>
      </x:c>
      <x:c r="AB93" s="15" t="n">
        <x:v>-0.47746475747818706</x:v>
      </x:c>
      <x:c r="AC93" s="13" t="b">
        <x:v>1</x:v>
      </x:c>
      <x:c r="AD93" s="15" t="n">
        <x:v>0.05931670909519414</x:v>
      </x:c>
      <x:c r="AE93" s="16" t="n">
        <x:v>0.34545454545454546</x:v>
      </x:c>
      <x:c r="AF93" s="15" t="n">
        <x:v>0.009999999999999995</x:v>
      </x:c>
      <x:c r="AG93" s="12" t="n">
        <x:v>8</x:v>
      </x:c>
      <x:c r="AH93" s="12" t="n">
        <x:v>68</x:v>
      </x:c>
      <x:c r="AI93" s="17" t="n">
        <x:v>0.052714046235543655</x:v>
      </x:c>
      <x:c r="AJ93" s="16" t="n">
        <x:v>0.9130434782608695</x:v>
      </x:c>
      <x:c r="AK93" s="18" t="n">
        <x:v>46139</x:v>
      </x:c>
      <x:c r="AL93" s="18" t="n">
        <x:v>46139</x:v>
      </x:c>
      <x:c r="AM93" s="12" t="str">
        <x:v>2026-04-24 to 2026-04-27 to 2026-04-28</x:v>
      </x:c>
      <x:c r="AN93" s="12" t="str">
        <x:v>8-K Item 2.02 filing date</x:v>
      </x:c>
      <x:c r="AO93" s="12" t="str">
        <x:v>SUE + CAR3</x:v>
      </x:c>
      <x:c r="AP93" s="17" t="n">
        <x:v>0.006057919757987384</x:v>
      </x:c>
      <x:c r="AQ93" s="16" t="n">
        <x:v>0.04310344827586207</x:v>
      </x:c>
      <x:c r="AR93" s="17" t="n">
        <x:v>-0.02688106197201332</x:v>
      </x:c>
      <x:c r="AS93" s="16"/>
      <x:c r="AT93" s="17" t="n">
        <x:v>0.27879082709548114</x:v>
      </x:c>
      <x:c r="AU93" s="16" t="n">
        <x:v>0.4224137931034483</x:v>
      </x:c>
      <x:c r="AV93" s="17" t="n">
        <x:v>0.10720981219342679</x:v>
      </x:c>
      <x:c r="AW93" s="16"/>
      <x:c r="AX93" s="17" t="n">
        <x:v>0.05365425758965192</x:v>
      </x:c>
      <x:c r="AY93" s="16" t="n">
        <x:v>0.6293103448275862</x:v>
      </x:c>
      <x:c r="AZ93" s="17" t="n">
        <x:v>0.10889295496476858</x:v>
      </x:c>
      <x:c r="BA93" s="16"/>
      <x:c r="BB93" s="17" t="n">
        <x:v>0.01667318855039115</x:v>
      </x:c>
      <x:c r="BC93" s="16" t="n">
        <x:v>0.29310344827586204</x:v>
      </x:c>
      <x:c r="BD93" s="17" t="n">
        <x:v>0.01914041639869008</x:v>
      </x:c>
      <x:c r="BE93" s="17" t="n">
        <x:v>-0.002467227848298931</x:v>
      </x:c>
      <x:c r="BF93" s="17" t="n">
        <x:v>-0.11107775370707507</x:v>
      </x:c>
      <x:c r="BG93" s="17" t="n">
        <x:v>-0.002467227848298931</x:v>
      </x:c>
      <x:c r="BH93" s="12" t="str">
        <x:v>cash repurchases less issuance</x:v>
      </x:c>
      <x:c r="BI93" s="17"/>
      <x:c r="BJ93" s="19" t="n">
        <x:v>860060000</x:v>
      </x:c>
      <x:c r="BK93" s="19" t="n">
        <x:v>0</x:v>
      </x:c>
      <x:c r="BL93" s="19" t="n">
        <x:v>110863000</x:v>
      </x:c>
      <x:c r="BM93" s="19" t="n">
        <x:v>6132850000</x:v>
      </x:c>
      <x:c r="BN93" s="19" t="n">
        <x:v>272208000</x:v>
      </x:c>
      <x:c r="BO93" s="19" t="n">
        <x:v>1720189000</x:v>
      </x:c>
      <x:c r="BP93" s="19" t="n">
        <x:v>2928069000</x:v>
      </x:c>
      <x:c r="BQ93" s="19" t="n">
        <x:v>-1207880000</x:v>
      </x:c>
      <x:c r="BR93" s="19" t="n">
        <x:v>27591945000</x:v>
      </x:c>
      <x:c r="BS93" s="19" t="n">
        <x:v>26186906000</x:v>
      </x:c>
      <x:c r="BT93" s="19" t="n">
        <x:v>12527253000</x:v>
      </x:c>
      <x:c r="BU93" s="19" t="n">
        <x:v>741067000</x:v>
      </x:c>
      <x:c r="BV93" s="19" t="n">
        <x:v>13011016000</x:v>
      </x:c>
      <x:c r="BW93" s="19" t="n">
        <x:v>13522551000</x:v>
      </x:c>
      <x:c r="BX93" s="12" t="n">
        <x:v>486169723</x:v>
      </x:c>
      <x:c r="BY93" s="17" t="n">
        <x:v>0.11107775370707507</x:v>
      </x:c>
      <x:c r="BZ93" s="12" t="n">
        <x:v>5</x:v>
      </x:c>
      <x:c r="CA93" s="12" t="str">
        <x:v>OK</x:v>
      </x:c>
      <x:c r="CB93" s="20" t="str">
        <x:v>https://query1.finance.yahoo.com/v8/finance/chart/VTR?period1=1704067200&amp;period2=1783728000&amp;interval=1d&amp;events=div%2Csplits</x:v>
      </x:c>
      <x:c r="CC93" s="20" t="str">
        <x:v>https://data.sec.gov/api/xbrl/companyfacts/CIK0000740260.json</x:v>
      </x:c>
      <x:c r="CD93" s="20" t="str">
        <x:v>https://data.sec.gov/submissions/CIK0000740260.json</x:v>
      </x:c>
      <x:c r="CE93" s="20" t="str">
        <x:v>https://api.nasdaq.com/api/screener/stocks?tableonly=true&amp;limit=25000&amp;download=true</x:v>
      </x:c>
    </x:row>
    <x:row r="94">
      <x:c r="A94" s="12" t="str">
        <x:v>PR</x:v>
      </x:c>
      <x:c r="B94" s="12" t="str">
        <x:v>Permian Resources Corp.</x:v>
      </x:c>
      <x:c r="C94" s="12" t="str">
        <x:v>Long</x:v>
      </x:c>
      <x:c r="D94" s="14" t="n">
        <x:v>0.003754</x:v>
      </x:c>
      <x:c r="E94" s="15" t="n">
        <x:v>0.07388309590108909</x:v>
      </x:c>
      <x:c r="F94" s="15" t="n">
        <x:v>-0.0802880697844768</x:v>
      </x:c>
      <x:c r="G94" s="12" t="str">
        <x:v>Low Beta</x:v>
      </x:c>
      <x:c r="H94" s="12" t="str">
        <x:v>Low Bad Beta</x:v>
      </x:c>
      <x:c r="I94" s="12" t="str">
        <x:v>Low Beta / Low Bad Beta</x:v>
      </x:c>
      <x:c r="J94" s="15" t="n">
        <x:v>1</x:v>
      </x:c>
      <x:c r="K94" s="18" t="n">
        <x:v>46213</x:v>
      </x:c>
      <x:c r="L94" s="15" t="n">
        <x:v>19.149999618530273</x:v>
      </x:c>
      <x:c r="M94" s="19" t="n">
        <x:v>16255948927</x:v>
      </x:c>
      <x:c r="N94" s="12" t="str">
        <x:v>Nasdaq screener</x:v>
      </x:c>
      <x:c r="O94" s="12" t="str">
        <x:v>Energy</x:v>
      </x:c>
      <x:c r="P94" s="12" t="str">
        <x:v>Oil &amp; Gas Production</x:v>
      </x:c>
      <x:c r="Q94" s="12" t="n">
        <x:v>1311</x:v>
      </x:c>
      <x:c r="R94" s="12" t="str">
        <x:v>Crude Petroleum &amp; Natural Gas</x:v>
      </x:c>
      <x:c r="S94" s="18" t="n">
        <x:v>46112</x:v>
      </x:c>
      <x:c r="T94" s="18" t="n">
        <x:v>46022</x:v>
      </x:c>
      <x:c r="U94" s="15" t="n">
        <x:v>-0.20543802678482015</x:v>
      </x:c>
      <x:c r="V94" s="16" t="n">
        <x:v>0.3448275862068966</x:v>
      </x:c>
      <x:c r="W94" s="17" t="n">
        <x:v>0.06319110528393752</x:v>
      </x:c>
      <x:c r="X94" s="15" t="n">
        <x:v>-0.8316566270725103</x:v>
      </x:c>
      <x:c r="Y94" s="17" t="n">
        <x:v>0.04035508675143999</x:v>
      </x:c>
      <x:c r="Z94" s="15" t="n">
        <x:v>-0.07928092164710894</x:v>
      </x:c>
      <x:c r="AA94" s="17" t="n">
        <x:v>0.34496017914277893</x:v>
      </x:c>
      <x:c r="AB94" s="15" t="n">
        <x:v>0.29462346836515885</x:v>
      </x:c>
      <x:c r="AC94" s="13" t="b">
        <x:v>0</x:v>
      </x:c>
      <x:c r="AD94" s="15" t="n">
        <x:v>-1.2546000382255238</x:v>
      </x:c>
      <x:c r="AE94" s="16" t="n">
        <x:v>0.07272727272727272</x:v>
      </x:c>
      <x:c r="AF94" s="15" t="n">
        <x:v>-0.42</x:v>
      </x:c>
      <x:c r="AG94" s="12" t="n">
        <x:v>8</x:v>
      </x:c>
      <x:c r="AH94" s="12" t="n">
        <x:v>38</x:v>
      </x:c>
      <x:c r="AI94" s="17" t="n">
        <x:v>-0.1292665293405637</x:v>
      </x:c>
      <x:c r="AJ94" s="16" t="n">
        <x:v>0.06086956521739131</x:v>
      </x:c>
      <x:c r="AK94" s="18" t="n">
        <x:v>46148</x:v>
      </x:c>
      <x:c r="AL94" s="18" t="n">
        <x:v>46148</x:v>
      </x:c>
      <x:c r="AM94" s="12" t="str">
        <x:v>2026-05-05 to 2026-05-06 to 2026-05-07</x:v>
      </x:c>
      <x:c r="AN94" s="12" t="str">
        <x:v>8-K Item 2.02 filing date</x:v>
      </x:c>
      <x:c r="AO94" s="12" t="str">
        <x:v>SUE + CAR3</x:v>
      </x:c>
      <x:c r="AP94" s="17" t="n">
        <x:v>0.03995435781181819</x:v>
      </x:c>
      <x:c r="AQ94" s="16" t="n">
        <x:v>0.35344827586206895</x:v>
      </x:c>
      <x:c r="AR94" s="17"/>
      <x:c r="AS94" s="16"/>
      <x:c r="AT94" s="17" t="n">
        <x:v>0.632278192196365</x:v>
      </x:c>
      <x:c r="AU94" s="16" t="n">
        <x:v>0.8362068965517241</x:v>
      </x:c>
      <x:c r="AV94" s="17" t="n">
        <x:v>0.2583948986834965</x:v>
      </x:c>
      <x:c r="AW94" s="16" t="n">
        <x:v>0.43478260869565216</x:v>
      </x:c>
      <x:c r="AX94" s="17" t="n">
        <x:v>0.060024322548955844</x:v>
      </x:c>
      <x:c r="AY94" s="16" t="n">
        <x:v>0.5603448275862069</x:v>
      </x:c>
      <x:c r="AZ94" s="17"/>
      <x:c r="BA94" s="16"/>
      <x:c r="BB94" s="17" t="n">
        <x:v>0.06681430932623156</x:v>
      </x:c>
      <x:c r="BC94" s="16" t="n">
        <x:v>0.8275862068965517</x:v>
      </x:c>
      <x:c r="BD94" s="17" t="n">
        <x:v>0.02754154814403841</x:v>
      </x:c>
      <x:c r="BE94" s="17" t="n">
        <x:v>-0.000013471991145115881</x:v>
      </x:c>
      <x:c r="BF94" s="17" t="n">
        <x:v>-0.06790875569035149</x:v>
      </x:c>
      <x:c r="BG94" s="17" t="n">
        <x:v>-0.000013471991145115881</x:v>
      </x:c>
      <x:c r="BH94" s="12" t="str">
        <x:v>cash repurchases less issuance</x:v>
      </x:c>
      <x:c r="BI94" s="17" t="n">
        <x:v>0.039286233173338264</x:v>
      </x:c>
      <x:c r="BJ94" s="19" t="n">
        <x:v>447714000</x:v>
      </x:c>
      <x:c r="BK94" s="19" t="n">
        <x:v>0</x:v>
      </x:c>
      <x:c r="BL94" s="19" t="n">
        <x:v>219000</x:v>
      </x:c>
      <x:c r="BM94" s="19" t="n">
        <x:v>5076906000</x:v>
      </x:c>
      <x:c r="BN94" s="19" t="n">
        <x:v>649496000</x:v>
      </x:c>
      <x:c r="BO94" s="19" t="n">
        <x:v>3524585000</x:v>
      </x:c>
      <x:c r="BP94" s="19"/>
      <x:c r="BQ94" s="19"/>
      <x:c r="BR94" s="19" t="n">
        <x:v>17912185000</x:v>
      </x:c>
      <x:c r="BS94" s="19" t="n">
        <x:v>16897900000</x:v>
      </x:c>
      <x:c r="BT94" s="19" t="n">
        <x:v>10278282000</x:v>
      </x:c>
      <x:c r="BU94" s="19" t="n">
        <x:v>153690000</x:v>
      </x:c>
      <x:c r="BV94" s="19" t="n">
        <x:v>3545598000</x:v>
      </x:c>
      <x:c r="BW94" s="19" t="n">
        <x:v>4184233000</x:v>
      </x:c>
      <x:c r="BX94" s="12" t="n">
        <x:v>837288124</x:v>
      </x:c>
      <x:c r="BY94" s="17" t="n">
        <x:v>0.06790875569035149</x:v>
      </x:c>
      <x:c r="BZ94" s="12" t="n">
        <x:v>5</x:v>
      </x:c>
      <x:c r="CA94" s="12" t="str">
        <x:v>OK</x:v>
      </x:c>
      <x:c r="CB94" s="20" t="str">
        <x:v>https://query1.finance.yahoo.com/v8/finance/chart/PR?period1=1704067200&amp;period2=1783728000&amp;interval=1d&amp;events=div%2Csplits</x:v>
      </x:c>
      <x:c r="CC94" s="20" t="str">
        <x:v>https://data.sec.gov/api/xbrl/companyfacts/CIK0001658566.json</x:v>
      </x:c>
      <x:c r="CD94" s="20" t="str">
        <x:v>https://data.sec.gov/submissions/CIK0001658566.json</x:v>
      </x:c>
      <x:c r="CE94" s="20" t="str">
        <x:v>https://api.nasdaq.com/api/screener/stocks?tableonly=true&amp;limit=25000&amp;download=true</x:v>
      </x:c>
    </x:row>
    <x:row r="95">
      <x:c r="A95" s="12" t="str">
        <x:v>ADC</x:v>
      </x:c>
      <x:c r="B95" s="12" t="str">
        <x:v>Agree Realty Corp. REIT</x:v>
      </x:c>
      <x:c r="C95" s="12" t="str">
        <x:v>Long</x:v>
      </x:c>
      <x:c r="D95" s="14" t="n">
        <x:v>0.004155</x:v>
      </x:c>
      <x:c r="E95" s="15" t="n">
        <x:v>0.32584594416795964</x:v>
      </x:c>
      <x:c r="F95" s="15" t="n">
        <x:v>0.14709284522977262</x:v>
      </x:c>
      <x:c r="G95" s="12" t="str">
        <x:v>Low Beta</x:v>
      </x:c>
      <x:c r="H95" s="12" t="str">
        <x:v>Low Bad Beta</x:v>
      </x:c>
      <x:c r="I95" s="12" t="str">
        <x:v>Low Beta / Low Bad Beta</x:v>
      </x:c>
      <x:c r="J95" s="15" t="n">
        <x:v>1</x:v>
      </x:c>
      <x:c r="K95" s="18" t="n">
        <x:v>46213</x:v>
      </x:c>
      <x:c r="L95" s="15" t="n">
        <x:v>77.94999694824219</x:v>
      </x:c>
      <x:c r="M95" s="19" t="n">
        <x:v>9386038431</x:v>
      </x:c>
      <x:c r="N95" s="12" t="str">
        <x:v>Nasdaq screener</x:v>
      </x:c>
      <x:c r="O95" s="12" t="str">
        <x:v>Real Estate</x:v>
      </x:c>
      <x:c r="P95" s="12" t="str">
        <x:v>Real Estate Investment Trusts</x:v>
      </x:c>
      <x:c r="Q95" s="12" t="n">
        <x:v>6798</x:v>
      </x:c>
      <x:c r="R95" s="12" t="str">
        <x:v>Real Estate Investment Trusts</x:v>
      </x:c>
      <x:c r="S95" s="18" t="n">
        <x:v>46112</x:v>
      </x:c>
      <x:c r="T95" s="18" t="n">
        <x:v>46022</x:v>
      </x:c>
      <x:c r="U95" s="15" t="n">
        <x:v>-0.15846190582349606</x:v>
      </x:c>
      <x:c r="V95" s="16" t="n">
        <x:v>0.396551724137931</x:v>
      </x:c>
      <x:c r="W95" s="17" t="n">
        <x:v>0.03498700762320433</x:v>
      </x:c>
      <x:c r="X95" s="15" t="n">
        <x:v>-0.9955120069781959</x:v>
      </x:c>
      <x:c r="Y95" s="17"/>
      <x:c r="Z95" s="15"/>
      <x:c r="AA95" s="17" t="n">
        <x:v>0</x:v>
      </x:c>
      <x:c r="AB95" s="15" t="n">
        <x:v>0.6785881953312037</x:v>
      </x:c>
      <x:c r="AC95" s="13" t="b">
        <x:v>1</x:v>
      </x:c>
      <x:c r="AD95" s="15" t="n">
        <x:v>1.1966126114619173</x:v>
      </x:c>
      <x:c r="AE95" s="16" t="n">
        <x:v>0.7181818181818181</x:v>
      </x:c>
      <x:c r="AF95" s="15" t="n">
        <x:v>0.08000000000000002</x:v>
      </x:c>
      <x:c r="AG95" s="12" t="n">
        <x:v>8</x:v>
      </x:c>
      <x:c r="AH95" s="12" t="n">
        <x:v>60</x:v>
      </x:c>
      <x:c r="AI95" s="17" t="n">
        <x:v>-0.037347591513247735</x:v>
      </x:c>
      <x:c r="AJ95" s="16" t="n">
        <x:v>0.3739130434782609</x:v>
      </x:c>
      <x:c r="AK95" s="18" t="n">
        <x:v>46133</x:v>
      </x:c>
      <x:c r="AL95" s="18" t="n">
        <x:v>46133</x:v>
      </x:c>
      <x:c r="AM95" s="12" t="str">
        <x:v>2026-04-20 to 2026-04-21 to 2026-04-22</x:v>
      </x:c>
      <x:c r="AN95" s="12" t="str">
        <x:v>8-K Item 2.02 filing date</x:v>
      </x:c>
      <x:c r="AO95" s="12" t="str">
        <x:v>SUE + CAR3</x:v>
      </x:c>
      <x:c r="AP95" s="17" t="n">
        <x:v>0.02337546363281026</x:v>
      </x:c>
      <x:c r="AQ95" s="16" t="n">
        <x:v>0.09482758620689655</x:v>
      </x:c>
      <x:c r="AR95" s="17" t="n">
        <x:v>-0.0375413975331932</x:v>
      </x:c>
      <x:c r="AS95" s="16"/>
      <x:c r="AT95" s="17" t="n">
        <x:v>0.66811840225247</x:v>
      </x:c>
      <x:c r="AU95" s="16" t="n">
        <x:v>0.8620689655172413</x:v>
      </x:c>
      <x:c r="AV95" s="17" t="n">
        <x:v>0.08004968391327129</x:v>
      </x:c>
      <x:c r="AW95" s="16"/>
      <x:c r="AX95" s="17" t="n">
        <x:v>0.15450118930822154</x:v>
      </x:c>
      <x:c r="AY95" s="16" t="n">
        <x:v>0.1293103448275862</x:v>
      </x:c>
      <x:c r="AZ95" s="17" t="n">
        <x:v>0.09571179439487668</x:v>
      </x:c>
      <x:c r="BA95" s="16"/>
      <x:c r="BB95" s="17" t="n">
        <x:v>-0.05965445423179942</x:v>
      </x:c>
      <x:c r="BC95" s="16" t="n">
        <x:v>0.0603448275862069</x:v>
      </x:c>
      <x:c r="BD95" s="17" t="n">
        <x:v>0.03629348020512063</x:v>
      </x:c>
      <x:c r="BE95" s="17" t="n">
        <x:v>-0.09594793443692005</x:v>
      </x:c>
      <x:c r="BF95" s="17" t="n">
        <x:v>-0.09152610208552514</x:v>
      </x:c>
      <x:c r="BG95" s="17" t="n">
        <x:v>-0.09594793443692005</x:v>
      </x:c>
      <x:c r="BH95" s="12" t="str">
        <x:v>cash repurchases less issuance</x:v>
      </x:c>
      <x:c r="BI95" s="17"/>
      <x:c r="BJ95" s="19" t="n">
        <x:v>340652000</x:v>
      </x:c>
      <x:c r="BK95" s="19" t="n">
        <x:v>3740000</x:v>
      </x:c>
      <x:c r="BL95" s="19" t="n">
        <x:v>904311000</x:v>
      </x:c>
      <x:c r="BM95" s="19" t="n">
        <x:v>750045000</x:v>
      </x:c>
      <x:c r="BN95" s="19" t="n">
        <x:v>219403000</x:v>
      </x:c>
      <x:c r="BO95" s="19" t="n">
        <x:v>522635000</x:v>
      </x:c>
      <x:c r="BP95" s="19" t="n">
        <x:v>875000000</x:v>
      </x:c>
      <x:c r="BQ95" s="19" t="n">
        <x:v>-352365000</x:v>
      </x:c>
      <x:c r="BR95" s="19" t="n">
        <x:v>9797612000</x:v>
      </x:c>
      <x:c r="BS95" s="19" t="n">
        <x:v>8486446000</x:v>
      </x:c>
      <x:c r="BT95" s="19" t="n">
        <x:v>6270985000</x:v>
      </x:c>
      <x:c r="BU95" s="19" t="n">
        <x:v>16295000</x:v>
      </x:c>
      <x:c r="BV95" s="19"/>
      <x:c r="BW95" s="19"/>
      <x:c r="BX95" s="12" t="n">
        <x:v>120102901</x:v>
      </x:c>
      <x:c r="BY95" s="17" t="n">
        <x:v>0.09152610208552514</x:v>
      </x:c>
      <x:c r="BZ95" s="12" t="n">
        <x:v>5</x:v>
      </x:c>
      <x:c r="CA95" s="12" t="str">
        <x:v>OK</x:v>
      </x:c>
      <x:c r="CB95" s="20" t="str">
        <x:v>https://query1.finance.yahoo.com/v8/finance/chart/ADC?period1=1704067200&amp;period2=1783728000&amp;interval=1d&amp;events=div%2Csplits</x:v>
      </x:c>
      <x:c r="CC95" s="20" t="str">
        <x:v>https://data.sec.gov/api/xbrl/companyfacts/CIK0000917251.json</x:v>
      </x:c>
      <x:c r="CD95" s="20" t="str">
        <x:v>https://data.sec.gov/submissions/CIK0000917251.json</x:v>
      </x:c>
      <x:c r="CE95" s="20" t="str">
        <x:v>https://api.nasdaq.com/api/screener/stocks?tableonly=true&amp;limit=25000&amp;download=true</x:v>
      </x:c>
    </x:row>
    <x:row r="96">
      <x:c r="A96" s="12" t="str">
        <x:v>RSG</x:v>
      </x:c>
      <x:c r="B96" s="12" t="str">
        <x:v>Republic Services Inc.</x:v>
      </x:c>
      <x:c r="C96" s="12" t="str">
        <x:v>Long</x:v>
      </x:c>
      <x:c r="D96" s="14" t="n">
        <x:v>0.004146</x:v>
      </x:c>
      <x:c r="E96" s="15" t="n">
        <x:v>0.1356140238804152</x:v>
      </x:c>
      <x:c r="F96" s="15" t="n">
        <x:v>0.04765566932139244</x:v>
      </x:c>
      <x:c r="G96" s="12" t="str">
        <x:v>Low Beta</x:v>
      </x:c>
      <x:c r="H96" s="12" t="str">
        <x:v>Low Bad Beta</x:v>
      </x:c>
      <x:c r="I96" s="12" t="str">
        <x:v>Low Beta / Low Bad Beta</x:v>
      </x:c>
      <x:c r="J96" s="15" t="n">
        <x:v>1</x:v>
      </x:c>
      <x:c r="K96" s="18" t="n">
        <x:v>46213</x:v>
      </x:c>
      <x:c r="L96" s="15" t="n">
        <x:v>219.1999969482422</x:v>
      </x:c>
      <x:c r="M96" s="19" t="n">
        <x:v>67433814589</x:v>
      </x:c>
      <x:c r="N96" s="12" t="str">
        <x:v>Nasdaq screener</x:v>
      </x:c>
      <x:c r="O96" s="12" t="str">
        <x:v>Utilities</x:v>
      </x:c>
      <x:c r="P96" s="12" t="str">
        <x:v>Environmental Services</x:v>
      </x:c>
      <x:c r="Q96" s="12" t="n">
        <x:v>4953</x:v>
      </x:c>
      <x:c r="R96" s="12" t="str">
        <x:v>Refuse Systems</x:v>
      </x:c>
      <x:c r="S96" s="18" t="n">
        <x:v>46112</x:v>
      </x:c>
      <x:c r="T96" s="18" t="n">
        <x:v>46022</x:v>
      </x:c>
      <x:c r="U96" s="15" t="n">
        <x:v>-0.37106040604211477</x:v>
      </x:c>
      <x:c r="V96" s="16" t="n">
        <x:v>0.2672413793103448</x:v>
      </x:c>
      <x:c r="W96" s="17" t="n">
        <x:v>0.18127606951871658</x:v>
      </x:c>
      <x:c r="X96" s="15" t="n">
        <x:v>-0.14562664275653497</x:v>
      </x:c>
      <x:c r="Y96" s="17"/>
      <x:c r="Z96" s="15"/>
      <x:c r="AA96" s="17" t="n">
        <x:v>1.1455548128342246</x:v>
      </x:c>
      <x:c r="AB96" s="15" t="n">
        <x:v>-0.5964941693276945</x:v>
      </x:c>
      <x:c r="AC96" s="13" t="b">
        <x:v>0</x:v>
      </x:c>
      <x:c r="AD96" s="15" t="n">
        <x:v>1.1324498876734463</x:v>
      </x:c>
      <x:c r="AE96" s="16" t="n">
        <x:v>0.7</x:v>
      </x:c>
      <x:c r="AF96" s="15" t="n">
        <x:v>0.11999999999999988</x:v>
      </x:c>
      <x:c r="AG96" s="12" t="n">
        <x:v>8</x:v>
      </x:c>
      <x:c r="AH96" s="12" t="n">
        <x:v>67</x:v>
      </x:c>
      <x:c r="AI96" s="17" t="n">
        <x:v>-0.03529502728139622</x:v>
      </x:c>
      <x:c r="AJ96" s="16" t="n">
        <x:v>0.391304347826087</x:v>
      </x:c>
      <x:c r="AK96" s="18" t="n">
        <x:v>46149</x:v>
      </x:c>
      <x:c r="AL96" s="18" t="n">
        <x:v>46149</x:v>
      </x:c>
      <x:c r="AM96" s="12" t="str">
        <x:v>2026-05-06 to 2026-05-07 to 2026-05-08</x:v>
      </x:c>
      <x:c r="AN96" s="12" t="str">
        <x:v>8-K Item 2.02 filing date</x:v>
      </x:c>
      <x:c r="AO96" s="12" t="str">
        <x:v>SUE + CAR3</x:v>
      </x:c>
      <x:c r="AP96" s="17" t="n">
        <x:v>0.03217246441155499</x:v>
      </x:c>
      <x:c r="AQ96" s="16" t="n">
        <x:v>0.21551724137931033</x:v>
      </x:c>
      <x:c r="AR96" s="17" t="n">
        <x:v>0.03846734781073976</x:v>
      </x:c>
      <x:c r="AS96" s="16" t="n">
        <x:v>0.33</x:v>
      </x:c>
      <x:c r="AT96" s="17" t="n">
        <x:v>0.17747772498031358</x:v>
      </x:c>
      <x:c r="AU96" s="16" t="n">
        <x:v>0.25862068965517243</x:v>
      </x:c>
      <x:c r="AV96" s="17" t="n">
        <x:v>0.2059386957036008</x:v>
      </x:c>
      <x:c r="AW96" s="16" t="n">
        <x:v>0.33043478260869563</x:v>
      </x:c>
      <x:c r="AX96" s="17" t="n">
        <x:v>0.060613542373927576</x:v>
      </x:c>
      <x:c r="AY96" s="16" t="n">
        <x:v>0.5517241379310345</x:v>
      </x:c>
      <x:c r="AZ96" s="17" t="n">
        <x:v>0.057033309369757965</x:v>
      </x:c>
      <x:c r="BA96" s="16" t="n">
        <x:v>0.29000000000000004</x:v>
      </x:c>
      <x:c r="BB96" s="17" t="n">
        <x:v>0.011145743490575176</x:v>
      </x:c>
      <x:c r="BC96" s="16" t="n">
        <x:v>0.23275862068965517</x:v>
      </x:c>
      <x:c r="BD96" s="17" t="n">
        <x:v>0.010944064257643</x:v>
      </x:c>
      <x:c r="BE96" s="17" t="n">
        <x:v>0.013103218398446281</x:v>
      </x:c>
      <x:c r="BF96" s="17" t="n">
        <x:v>0.008389213777242666</x:v>
      </x:c>
      <x:c r="BG96" s="17" t="n">
        <x:v>0.013103218398446281</x:v>
      </x:c>
      <x:c r="BH96" s="12" t="str">
        <x:v>cash repurchases less issuance</x:v>
      </x:c>
      <x:c r="BI96" s="17" t="n">
        <x:v>-0.012901539165514106</x:v>
      </x:c>
      <x:c r="BJ96" s="19" t="n">
        <x:v>738000000</x:v>
      </x:c>
      <x:c r="BK96" s="19" t="n">
        <x:v>870000000</x:v>
      </x:c>
      <x:c r="BL96" s="19" t="n">
        <x:v>-13600000</x:v>
      </x:c>
      <x:c r="BM96" s="19" t="n">
        <x:v>16695000000</x:v>
      </x:c>
      <x:c r="BN96" s="19" t="n">
        <x:v>2169512000</x:v>
      </x:c>
      <x:c r="BO96" s="19" t="n">
        <x:v>4498000000</x:v>
      </x:c>
      <x:c r="BP96" s="19" t="n">
        <x:v>1904000000</x:v>
      </x:c>
      <x:c r="BQ96" s="19" t="n">
        <x:v>2594000000</x:v>
      </x:c>
      <x:c r="BR96" s="19" t="n">
        <x:v>34366000000</x:v>
      </x:c>
      <x:c r="BS96" s="19" t="n">
        <x:v>32402000000</x:v>
      </x:c>
      <x:c r="BT96" s="19" t="n">
        <x:v>11968000000</x:v>
      </x:c>
      <x:c r="BU96" s="19" t="n">
        <x:v>76000000</x:v>
      </x:c>
      <x:c r="BV96" s="19" t="n">
        <x:v>13710000000</x:v>
      </x:c>
      <x:c r="BW96" s="19" t="n">
        <x:v>12840000000</x:v>
      </x:c>
      <x:c r="BX96" s="12" t="n">
        <x:v>307664087</x:v>
      </x:c>
      <x:c r="BY96" s="17" t="n">
        <x:v>-0.008389213777242666</x:v>
      </x:c>
      <x:c r="BZ96" s="12" t="n">
        <x:v>5</x:v>
      </x:c>
      <x:c r="CA96" s="12" t="str">
        <x:v>OK</x:v>
      </x:c>
      <x:c r="CB96" s="20" t="str">
        <x:v>https://query1.finance.yahoo.com/v8/finance/chart/RSG?period1=1704067200&amp;period2=1783728000&amp;interval=1d&amp;events=div%2Csplits</x:v>
      </x:c>
      <x:c r="CC96" s="20" t="str">
        <x:v>https://data.sec.gov/api/xbrl/companyfacts/CIK0001060391.json</x:v>
      </x:c>
      <x:c r="CD96" s="20" t="str">
        <x:v>https://data.sec.gov/submissions/CIK0001060391.json</x:v>
      </x:c>
      <x:c r="CE96" s="20" t="str">
        <x:v>https://api.nasdaq.com/api/screener/stocks?tableonly=true&amp;limit=25000&amp;download=true</x:v>
      </x:c>
    </x:row>
    <x:row r="97">
      <x:c r="A97" s="12" t="str">
        <x:v>MCK</x:v>
      </x:c>
      <x:c r="B97" s="12" t="str">
        <x:v>McKesson Corp.</x:v>
      </x:c>
      <x:c r="C97" s="12" t="str">
        <x:v>Long</x:v>
      </x:c>
      <x:c r="D97" s="14" t="n">
        <x:v>0.004158</x:v>
      </x:c>
      <x:c r="E97" s="15" t="n">
        <x:v>0.055227106225139294</x:v>
      </x:c>
      <x:c r="F97" s="15" t="n">
        <x:v>0.02312889354101876</x:v>
      </x:c>
      <x:c r="G97" s="12" t="str">
        <x:v>Low Beta</x:v>
      </x:c>
      <x:c r="H97" s="12" t="str">
        <x:v>Low Bad Beta</x:v>
      </x:c>
      <x:c r="I97" s="12" t="str">
        <x:v>Low Beta / Low Bad Beta</x:v>
      </x:c>
      <x:c r="J97" s="15" t="n">
        <x:v>1</x:v>
      </x:c>
      <x:c r="K97" s="18" t="n">
        <x:v>46213</x:v>
      </x:c>
      <x:c r="L97" s="15" t="n">
        <x:v>805.9600219726562</x:v>
      </x:c>
      <x:c r="M97" s="19" t="n">
        <x:v>97365281310</x:v>
      </x:c>
      <x:c r="N97" s="12" t="str">
        <x:v>Nasdaq screener</x:v>
      </x:c>
      <x:c r="O97" s="12" t="str">
        <x:v>Health Care</x:v>
      </x:c>
      <x:c r="P97" s="12" t="str">
        <x:v>Other Pharmaceuticals</x:v>
      </x:c>
      <x:c r="Q97" s="12" t="n">
        <x:v>5122</x:v>
      </x:c>
      <x:c r="R97" s="12" t="str">
        <x:v>Wholesale-Drugs, Proprietaries &amp; Druggists' Sundries</x:v>
      </x:c>
      <x:c r="S97" s="18" t="n">
        <x:v>46112</x:v>
      </x:c>
      <x:c r="T97" s="18" t="n">
        <x:v>46112</x:v>
      </x:c>
      <x:c r="U97" s="15" t="n">
        <x:v>-2.3072417588851586</x:v>
      </x:c>
      <x:c r="V97" s="16" t="n">
        <x:v>0.017241379310344824</x:v>
      </x:c>
      <x:c r="W97" s="17" t="n">
        <x:v>-2.192449355432781</x:v>
      </x:c>
      <x:c r="X97" s="15" t="n">
        <x:v>-1.029601712582685</x:v>
      </x:c>
      <x:c r="Y97" s="17"/>
      <x:c r="Z97" s="15"/>
      <x:c r="AA97" s="17" t="n">
        <x:v>-3.0046040515653774</x:v>
      </x:c>
      <x:c r="AB97" s="15" t="n">
        <x:v>-3.5848818051876323</x:v>
      </x:c>
      <x:c r="AC97" s="13" t="b">
        <x:v>0</x:v>
      </x:c>
      <x:c r="AD97" s="15" t="n">
        <x:v>1.1776242439054712</x:v>
      </x:c>
      <x:c r="AE97" s="16" t="n">
        <x:v>0.7090909090909091</x:v>
      </x:c>
      <x:c r="AF97" s="15" t="n">
        <x:v>3.74</x:v>
      </x:c>
      <x:c r="AG97" s="12" t="n">
        <x:v>8</x:v>
      </x:c>
      <x:c r="AH97" s="12" t="n">
        <x:v>68</x:v>
      </x:c>
      <x:c r="AI97" s="17" t="n">
        <x:v>-0.09787535568910455</x:v>
      </x:c>
      <x:c r="AJ97" s="16" t="n">
        <x:v>0.12173913043478261</x:v>
      </x:c>
      <x:c r="AK97" s="18" t="n">
        <x:v>46149</x:v>
      </x:c>
      <x:c r="AL97" s="18" t="n">
        <x:v>46149</x:v>
      </x:c>
      <x:c r="AM97" s="12" t="str">
        <x:v>2026-05-06 to 2026-05-07 to 2026-05-08</x:v>
      </x:c>
      <x:c r="AN97" s="12" t="str">
        <x:v>8-K Item 2.02 filing date</x:v>
      </x:c>
      <x:c r="AO97" s="12" t="str">
        <x:v>SUE + CAR3</x:v>
      </x:c>
      <x:c r="AP97" s="17" t="n">
        <x:v>0.048908604134140304</x:v>
      </x:c>
      <x:c r="AQ97" s="16" t="n">
        <x:v>0.5172413793103449</x:v>
      </x:c>
      <x:c r="AR97" s="17" t="n">
        <x:v>0.05873756972766662</x:v>
      </x:c>
      <x:c r="AS97" s="16" t="n">
        <x:v>0.61</x:v>
      </x:c>
      <x:c r="AT97" s="17" t="n">
        <x:v>-0.022307746362736823</x:v>
      </x:c>
      <x:c r="AU97" s="16" t="n">
        <x:v>0.04310344827586207</x:v>
      </x:c>
      <x:c r="AV97" s="17" t="n">
        <x:v>4.037680293047727</x:v>
      </x:c>
      <x:c r="AW97" s="16" t="n">
        <x:v>0.9826086956521739</x:v>
      </x:c>
      <x:c r="AX97" s="17" t="n">
        <x:v>0.09559488953952622</x:v>
      </x:c>
      <x:c r="AY97" s="16" t="n">
        <x:v>0.3017241379310345</x:v>
      </x:c>
      <x:c r="AZ97" s="17" t="n">
        <x:v>0.005537808882086585</x:v>
      </x:c>
      <x:c r="BA97" s="16" t="n">
        <x:v>0.8200000000000001</x:v>
      </x:c>
      <x:c r="BB97" s="17" t="n">
        <x:v>0.04202730115852628</x:v>
      </x:c>
      <x:c r="BC97" s="16" t="n">
        <x:v>0.603448275862069</x:v>
      </x:c>
      <x:c r="BD97" s="17" t="n">
        <x:v>0.00391309915478947</x:v>
      </x:c>
      <x:c r="BE97" s="17" t="n">
        <x:v>0.04707016647349119</x:v>
      </x:c>
      <x:c r="BF97" s="17" t="n">
        <x:v>0.031225604996096834</x:v>
      </x:c>
      <x:c r="BG97" s="17" t="n">
        <x:v>0.04707016647349119</x:v>
      </x:c>
      <x:c r="BH97" s="12" t="str">
        <x:v>cash repurchases less issuance</x:v>
      </x:c>
      <x:c r="BI97" s="17" t="n">
        <x:v>-0.008955964469754378</x:v>
      </x:c>
      <x:c r="BJ97" s="19" t="n">
        <x:v>381000000</x:v>
      </x:c>
      <x:c r="BK97" s="19" t="n">
        <x:v>4750000000</x:v>
      </x:c>
      <x:c r="BL97" s="19" t="n">
        <x:v>167000000</x:v>
      </x:c>
      <x:c r="BM97" s="19" t="n">
        <x:v>403430000000</x:v>
      </x:c>
      <x:c r="BN97" s="19" t="n">
        <x:v>4762000000</x:v>
      </x:c>
      <x:c r="BO97" s="19" t="n">
        <x:v>6155000000</x:v>
      </x:c>
      <x:c r="BP97" s="19" t="n">
        <x:v>436000000</x:v>
      </x:c>
      <x:c r="BQ97" s="19" t="n">
        <x:v>5719000000</x:v>
      </x:c>
      <x:c r="BR97" s="19" t="n">
        <x:v>82323000000</x:v>
      </x:c>
      <x:c r="BS97" s="19" t="n">
        <x:v>75140000000</x:v>
      </x:c>
      <x:c r="BT97" s="19" t="n">
        <x:v>-2172000000</x:v>
      </x:c>
      <x:c r="BU97" s="19" t="n">
        <x:v>3975000000</x:v>
      </x:c>
      <x:c r="BV97" s="19" t="n">
        <x:v>6526000000</x:v>
      </x:c>
      <x:c r="BW97" s="19" t="n">
        <x:v>5654000000</x:v>
      </x:c>
      <x:c r="BX97" s="12" t="n">
        <x:v>120204051</x:v>
      </x:c>
      <x:c r="BY97" s="17" t="n">
        <x:v>-0.031225604996096834</x:v>
      </x:c>
      <x:c r="BZ97" s="12" t="n">
        <x:v>5</x:v>
      </x:c>
      <x:c r="CA97" s="12" t="str">
        <x:v>OK</x:v>
      </x:c>
      <x:c r="CB97" s="20" t="str">
        <x:v>https://query1.finance.yahoo.com/v8/finance/chart/MCK?period1=1704067200&amp;period2=1783728000&amp;interval=1d&amp;events=div%2Csplits</x:v>
      </x:c>
      <x:c r="CC97" s="20" t="str">
        <x:v>https://data.sec.gov/api/xbrl/companyfacts/CIK0000927653.json</x:v>
      </x:c>
      <x:c r="CD97" s="20" t="str">
        <x:v>https://data.sec.gov/submissions/CIK0000927653.json</x:v>
      </x:c>
      <x:c r="CE97" s="20" t="str">
        <x:v>https://api.nasdaq.com/api/screener/stocks?tableonly=true&amp;limit=25000&amp;download=true</x:v>
      </x:c>
    </x:row>
    <x:row r="98">
      <x:c r="A98" s="12" t="str">
        <x:v>PAYX</x:v>
      </x:c>
      <x:c r="B98" s="12" t="str">
        <x:v>Paychex Inc.</x:v>
      </x:c>
      <x:c r="C98" s="12" t="str">
        <x:v>Long</x:v>
      </x:c>
      <x:c r="D98" s="14" t="n">
        <x:v>0.004623</x:v>
      </x:c>
      <x:c r="E98" s="15" t="n">
        <x:v>0.46691114196693567</x:v>
      </x:c>
      <x:c r="F98" s="15" t="n">
        <x:v>0.09168601263068783</x:v>
      </x:c>
      <x:c r="G98" s="12" t="str">
        <x:v>Low Beta</x:v>
      </x:c>
      <x:c r="H98" s="12" t="str">
        <x:v>Low Bad Beta</x:v>
      </x:c>
      <x:c r="I98" s="12" t="str">
        <x:v>Low Beta / Low Bad Beta</x:v>
      </x:c>
      <x:c r="J98" s="15" t="n">
        <x:v>1</x:v>
      </x:c>
      <x:c r="K98" s="18" t="n">
        <x:v>46213</x:v>
      </x:c>
      <x:c r="L98" s="15" t="n">
        <x:v>107.54000091552734</x:v>
      </x:c>
      <x:c r="M98" s="19" t="n">
        <x:v>39949433232</x:v>
      </x:c>
      <x:c r="N98" s="12" t="str">
        <x:v>Nasdaq screener</x:v>
      </x:c>
      <x:c r="O98" s="12" t="str">
        <x:v>Industrials</x:v>
      </x:c>
      <x:c r="P98" s="12" t="str">
        <x:v>Diversified Commercial Services</x:v>
      </x:c>
      <x:c r="Q98" s="12" t="n">
        <x:v>8700</x:v>
      </x:c>
      <x:c r="R98" s="12" t="str">
        <x:v>Services-Engineering, Accounting, Research, Management</x:v>
      </x:c>
      <x:c r="S98" s="18" t="n">
        <x:v>46081</x:v>
      </x:c>
      <x:c r="T98" s="18" t="n">
        <x:v>45808</x:v>
      </x:c>
      <x:c r="U98" s="15" t="n">
        <x:v>-0.754351030118293</x:v>
      </x:c>
      <x:c r="V98" s="16" t="n">
        <x:v>0.146551724137931</x:v>
      </x:c>
      <x:c r="W98" s="17" t="n">
        <x:v>0.3964874031007752</x:v>
      </x:c>
      <x:c r="X98" s="15" t="n">
        <x:v>1.1046716383046842</x:v>
      </x:c>
      <x:c r="Y98" s="17" t="n">
        <x:v>0.3203969243557772</x:v>
      </x:c>
      <x:c r="Z98" s="15" t="n">
        <x:v>-2.7120853210725495</x:v>
      </x:c>
      <x:c r="AA98" s="17" t="n">
        <x:v>1.1986918604651162</x:v>
      </x:c>
      <x:c r="AB98" s="15" t="n">
        <x:v>-0.6556394075870136</x:v>
      </x:c>
      <x:c r="AC98" s="13" t="b">
        <x:v>0</x:v>
      </x:c>
      <x:c r="AD98" s="15" t="n">
        <x:v>1.018612176863883</x:v>
      </x:c>
      <x:c r="AE98" s="16" t="n">
        <x:v>0.6636363636363637</x:v>
      </x:c>
      <x:c r="AF98" s="15" t="n">
        <x:v>0.1200000000000001</x:v>
      </x:c>
      <x:c r="AG98" s="12" t="n">
        <x:v>8</x:v>
      </x:c>
      <x:c r="AH98" s="12" t="n">
        <x:v>67</x:v>
      </x:c>
      <x:c r="AI98" s="17" t="n">
        <x:v>0.021674055295488937</x:v>
      </x:c>
      <x:c r="AJ98" s="16" t="n">
        <x:v>0.7913043478260869</x:v>
      </x:c>
      <x:c r="AK98" s="18" t="n">
        <x:v>46197</x:v>
      </x:c>
      <x:c r="AL98" s="18" t="n">
        <x:v>46197</x:v>
      </x:c>
      <x:c r="AM98" s="12" t="str">
        <x:v>2026-06-23 to 2026-06-24 to 2026-06-25</x:v>
      </x:c>
      <x:c r="AN98" s="12" t="str">
        <x:v>8-K Item 2.02 filing date</x:v>
      </x:c>
      <x:c r="AO98" s="12" t="str">
        <x:v>SUE + CAR3</x:v>
      </x:c>
      <x:c r="AP98" s="17" t="n">
        <x:v>0.040969292117240416</x:v>
      </x:c>
      <x:c r="AQ98" s="16" t="n">
        <x:v>0.4051724137931034</x:v>
      </x:c>
      <x:c r="AR98" s="17" t="n">
        <x:v>0.05231863961278438</x:v>
      </x:c>
      <x:c r="AS98" s="16" t="n">
        <x:v>0.53</x:v>
      </x:c>
      <x:c r="AT98" s="17" t="n">
        <x:v>0.10333062739657142</x:v>
      </x:c>
      <x:c r="AU98" s="16" t="n">
        <x:v>0.12931034482758622</x:v>
      </x:c>
      <x:c r="AV98" s="17" t="n">
        <x:v>0.14166944676421792</x:v>
      </x:c>
      <x:c r="AW98" s="16" t="n">
        <x:v>0.2</x:v>
      </x:c>
      <x:c r="AX98" s="17" t="n">
        <x:v>0.5952942762758713</x:v>
      </x:c>
      <x:c r="AY98" s="16" t="n">
        <x:v>0.017241379310344862</x:v>
      </x:c>
      <x:c r="AZ98" s="17" t="n">
        <x:v>0.017033309583184896</x:v>
      </x:c>
      <x:c r="BA98" s="16" t="n">
        <x:v>0.61</x:v>
      </x:c>
      <x:c r="BB98" s="17" t="n">
        <x:v>-0.06499716741713599</x:v>
      </x:c>
      <x:c r="BC98" s="16" t="n">
        <x:v>0.05172413793103448</x:v>
      </x:c>
      <x:c r="BD98" s="17" t="n">
        <x:v>0.03625833667246456</x:v>
      </x:c>
      <x:c r="BE98" s="17" t="n">
        <x:v>0.002615806822418051</x:v>
      </x:c>
      <x:c r="BF98" s="17" t="n">
        <x:v>0.0002761668047500665</x:v>
      </x:c>
      <x:c r="BG98" s="17" t="n">
        <x:v>0.002615806822418051</x:v>
      </x:c>
      <x:c r="BH98" s="12" t="str">
        <x:v>cash repurchases less issuance</x:v>
      </x:c>
      <x:c r="BI98" s="17" t="n">
        <x:v>-0.1038713109120186</x:v>
      </x:c>
      <x:c r="BJ98" s="19" t="n">
        <x:v>1448500000</x:v>
      </x:c>
      <x:c r="BK98" s="19" t="n">
        <x:v>104500000</x:v>
      </x:c>
      <x:c r="BL98" s="19" t="n">
        <x:v>0</x:v>
      </x:c>
      <x:c r="BM98" s="19" t="n">
        <x:v>6129900000</x:v>
      </x:c>
      <x:c r="BN98" s="19" t="n">
        <x:v>1636700000</x:v>
      </x:c>
      <x:c r="BO98" s="19" t="n">
        <x:v>2319600000</x:v>
      </x:c>
      <x:c r="BP98" s="19" t="n">
        <x:v>229500000</x:v>
      </x:c>
      <x:c r="BQ98" s="19" t="n">
        <x:v>2090100000</x:v>
      </x:c>
      <x:c r="BR98" s="19" t="n">
        <x:v>16564100000</x:v>
      </x:c>
      <x:c r="BS98" s="19" t="n">
        <x:v>10383100000</x:v>
      </x:c>
      <x:c r="BT98" s="19" t="n">
        <x:v>4128000000</x:v>
      </x:c>
      <x:c r="BU98" s="19" t="n">
        <x:v>1628600000</x:v>
      </x:c>
      <x:c r="BV98" s="19" t="n">
        <x:v>4948200000</x:v>
      </x:c>
      <x:c r="BW98" s="19" t="n">
        <x:v>798600000</x:v>
      </x:c>
      <x:c r="BX98" s="12" t="n">
        <x:v>358290881</x:v>
      </x:c>
      <x:c r="BY98" s="17" t="n">
        <x:v>-0.0002761668047500665</x:v>
      </x:c>
      <x:c r="BZ98" s="12" t="n">
        <x:v>5</x:v>
      </x:c>
      <x:c r="CA98" s="12" t="str">
        <x:v>OK</x:v>
      </x:c>
      <x:c r="CB98" s="20" t="str">
        <x:v>https://query1.finance.yahoo.com/v8/finance/chart/PAYX?period1=1704067200&amp;period2=1783728000&amp;interval=1d&amp;events=div%2Csplits</x:v>
      </x:c>
      <x:c r="CC98" s="20" t="str">
        <x:v>https://data.sec.gov/api/xbrl/companyfacts/CIK0000723531.json</x:v>
      </x:c>
      <x:c r="CD98" s="20" t="str">
        <x:v>https://data.sec.gov/submissions/CIK0000723531.json</x:v>
      </x:c>
      <x:c r="CE98" s="20" t="str">
        <x:v>https://api.nasdaq.com/api/screener/stocks?tableonly=true&amp;limit=25000&amp;download=true</x:v>
      </x:c>
    </x:row>
    <x:row r="99">
      <x:c r="A99" s="12" t="str">
        <x:v>ABBV</x:v>
      </x:c>
      <x:c r="B99" s="12" t="str">
        <x:v>AbbVie Inc.</x:v>
      </x:c>
      <x:c r="C99" s="12" t="str">
        <x:v>Long</x:v>
      </x:c>
      <x:c r="D99" s="14" t="n">
        <x:v>0.004693</x:v>
      </x:c>
      <x:c r="E99" s="15" t="n">
        <x:v>0.2537281714004462</x:v>
      </x:c>
      <x:c r="F99" s="15" t="n">
        <x:v>0.056519801830322416</x:v>
      </x:c>
      <x:c r="G99" s="12" t="str">
        <x:v>Low Beta</x:v>
      </x:c>
      <x:c r="H99" s="12" t="str">
        <x:v>Low Bad Beta</x:v>
      </x:c>
      <x:c r="I99" s="12" t="str">
        <x:v>Low Beta / Low Bad Beta</x:v>
      </x:c>
      <x:c r="J99" s="15" t="n">
        <x:v>1</x:v>
      </x:c>
      <x:c r="K99" s="18" t="n">
        <x:v>46213</x:v>
      </x:c>
      <x:c r="L99" s="15" t="n">
        <x:v>248.0800018310547</x:v>
      </x:c>
      <x:c r="M99" s="19" t="n">
        <x:v>437210551485</x:v>
      </x:c>
      <x:c r="N99" s="12" t="str">
        <x:v>Nasdaq screener</x:v>
      </x:c>
      <x:c r="O99" s="12" t="str">
        <x:v>Health Care</x:v>
      </x:c>
      <x:c r="P99" s="12" t="str">
        <x:v>Biotechnology: Pharmaceutical Preparations</x:v>
      </x:c>
      <x:c r="Q99" s="12" t="n">
        <x:v>2834</x:v>
      </x:c>
      <x:c r="R99" s="12" t="str">
        <x:v>Pharmaceutical Preparations</x:v>
      </x:c>
      <x:c r="S99" s="18" t="n">
        <x:v>46112</x:v>
      </x:c>
      <x:c r="T99" s="18" t="n">
        <x:v>46022</x:v>
      </x:c>
      <x:c r="U99" s="15" t="n">
        <x:v>-2.3072417588851586</x:v>
      </x:c>
      <x:c r="V99" s="16" t="n">
        <x:v>0.017241379310344824</x:v>
      </x:c>
      <x:c r="W99" s="17" t="n">
        <x:v>-1.1116207951070336</x:v>
      </x:c>
      <x:c r="X99" s="15" t="n">
        <x:v>-1.029601712582685</x:v>
      </x:c>
      <x:c r="Y99" s="17"/>
      <x:c r="Z99" s="15"/>
      <x:c r="AA99" s="17" t="n">
        <x:v>-19.725688073394494</x:v>
      </x:c>
      <x:c r="AB99" s="15" t="n">
        <x:v>-3.5848818051876323</x:v>
      </x:c>
      <x:c r="AC99" s="13" t="b">
        <x:v>0</x:v>
      </x:c>
      <x:c r="AD99" s="15" t="n">
        <x:v>-0.6187750346526432</x:v>
      </x:c>
      <x:c r="AE99" s="16" t="n">
        <x:v>0.11818181818181818</x:v>
      </x:c>
      <x:c r="AF99" s="15" t="n">
        <x:v>-0.32999999999999996</x:v>
      </x:c>
      <x:c r="AG99" s="12" t="n">
        <x:v>8</x:v>
      </x:c>
      <x:c r="AH99" s="12" t="n">
        <x:v>53</x:v>
      </x:c>
      <x:c r="AI99" s="17" t="n">
        <x:v>0.014301746304506646</x:v>
      </x:c>
      <x:c r="AJ99" s="16" t="n">
        <x:v>0.7652173913043478</x:v>
      </x:c>
      <x:c r="AK99" s="18" t="n">
        <x:v>46209</x:v>
      </x:c>
      <x:c r="AL99" s="18" t="n">
        <x:v>46209</x:v>
      </x:c>
      <x:c r="AM99" s="12" t="str">
        <x:v>2026-07-02 to 2026-07-06 to 2026-07-07</x:v>
      </x:c>
      <x:c r="AN99" s="12" t="str">
        <x:v>8-K Item 2.02 filing date</x:v>
      </x:c>
      <x:c r="AO99" s="12" t="str">
        <x:v>SUE + CAR3</x:v>
      </x:c>
      <x:c r="AP99" s="17" t="n">
        <x:v>0.008314071990379928</x:v>
      </x:c>
      <x:c r="AQ99" s="16" t="n">
        <x:v>0.0603448275862069</x:v>
      </x:c>
      <x:c r="AR99" s="17" t="n">
        <x:v>0.045698805603243735</x:v>
      </x:c>
      <x:c r="AS99" s="16" t="n">
        <x:v>0.42</x:v>
      </x:c>
      <x:c r="AT99" s="17" t="n">
        <x:v>-0.00747923395008043</x:v>
      </x:c>
      <x:c r="AU99" s="16" t="n">
        <x:v>0.06896551724137931</x:v>
      </x:c>
      <x:c r="AV99" s="17" t="n">
        <x:v>0.12652760254494627</x:v>
      </x:c>
      <x:c r="AW99" s="16" t="n">
        <x:v>0.16521739130434782</x:v>
      </x:c>
      <x:c r="AX99" s="17" t="n">
        <x:v>-0.008885699277158321</x:v>
      </x:c>
      <x:c r="AY99" s="16" t="n">
        <x:v>0.9051724137931034</x:v>
      </x:c>
      <x:c r="AZ99" s="17" t="n">
        <x:v>0.009244912139892465</x:v>
      </x:c>
      <x:c r="BA99" s="16" t="n">
        <x:v>0.76</x:v>
      </x:c>
      <x:c r="BB99" s="17" t="n">
        <x:v>0.03385782879603688</x:v>
      </x:c>
      <x:c r="BC99" s="16" t="n">
        <x:v>0.5086206896551724</x:v>
      </x:c>
      <x:c r="BD99" s="17" t="n">
        <x:v>0.026662211056907515</x:v>
      </x:c>
      <x:c r="BE99" s="17" t="n">
        <x:v>0.001848079826197244</x:v>
      </x:c>
      <x:c r="BF99" s="17" t="n">
        <x:v>0</x:v>
      </x:c>
      <x:c r="BG99" s="17" t="n">
        <x:v>0.001848079826197244</x:v>
      </x:c>
      <x:c r="BH99" s="12" t="str">
        <x:v>cash repurchases less issuance</x:v>
      </x:c>
      <x:c r="BI99" s="17" t="n">
        <x:v>0.005347537912932124</x:v>
      </x:c>
      <x:c r="BJ99" s="19" t="n">
        <x:v>11657000000</x:v>
      </x:c>
      <x:c r="BK99" s="19" t="n">
        <x:v>980000000</x:v>
      </x:c>
      <x:c r="BL99" s="19" t="n">
        <x:v>172000000</x:v>
      </x:c>
      <x:c r="BM99" s="19" t="n">
        <x:v>62819000000</x:v>
      </x:c>
      <x:c r="BN99" s="19" t="n">
        <x:v>3635000000</x:v>
      </x:c>
      <x:c r="BO99" s="19" t="n">
        <x:v>21224000000</x:v>
      </x:c>
      <x:c r="BP99" s="19" t="n">
        <x:v>1244000000</x:v>
      </x:c>
      <x:c r="BQ99" s="19" t="n">
        <x:v>19980000000</x:v>
      </x:c>
      <x:c r="BR99" s="19" t="n">
        <x:v>133960000000</x:v>
      </x:c>
      <x:c r="BS99" s="19" t="n">
        <x:v>135161000000</x:v>
      </x:c>
      <x:c r="BT99" s="19" t="n">
        <x:v>-3270000000</x:v>
      </x:c>
      <x:c r="BU99" s="19" t="n">
        <x:v>5229000000</x:v>
      </x:c>
      <x:c r="BV99" s="19" t="n">
        <x:v>64503000000</x:v>
      </x:c>
      <x:c r="BW99" s="19" t="n">
        <x:v>66841000000</x:v>
      </x:c>
      <x:c r="BX99" s="12" t="n">
        <x:v>1766792821</x:v>
      </x:c>
      <x:c r="BY99" s="17" t="n">
        <x:v>0</x:v>
      </x:c>
      <x:c r="BZ99" s="12" t="n">
        <x:v>5</x:v>
      </x:c>
      <x:c r="CA99" s="12" t="str">
        <x:v>OK</x:v>
      </x:c>
      <x:c r="CB99" s="20" t="str">
        <x:v>https://query1.finance.yahoo.com/v8/finance/chart/ABBV?period1=1704067200&amp;period2=1783728000&amp;interval=1d&amp;events=div%2Csplits</x:v>
      </x:c>
      <x:c r="CC99" s="20" t="str">
        <x:v>https://data.sec.gov/api/xbrl/companyfacts/CIK0001551152.json</x:v>
      </x:c>
      <x:c r="CD99" s="20" t="str">
        <x:v>https://data.sec.gov/submissions/CIK0001551152.json</x:v>
      </x:c>
      <x:c r="CE99" s="20" t="str">
        <x:v>https://api.nasdaq.com/api/screener/stocks?tableonly=true&amp;limit=25000&amp;download=true</x:v>
      </x:c>
    </x:row>
    <x:row r="100">
      <x:c r="A100" s="12" t="str">
        <x:v>ELS</x:v>
      </x:c>
      <x:c r="B100" s="12" t="str">
        <x:v>Equity LifeStyle Properties Inc. REIT</x:v>
      </x:c>
      <x:c r="C100" s="12" t="str">
        <x:v>Long</x:v>
      </x:c>
      <x:c r="D100" s="14" t="n">
        <x:v>0.004038</x:v>
      </x:c>
      <x:c r="E100" s="15" t="n">
        <x:v>0.41441737575670573</x:v>
      </x:c>
      <x:c r="F100" s="15" t="n">
        <x:v>0.11104285532020337</x:v>
      </x:c>
      <x:c r="G100" s="12" t="str">
        <x:v>Low Beta</x:v>
      </x:c>
      <x:c r="H100" s="12" t="str">
        <x:v>Low Bad Beta</x:v>
      </x:c>
      <x:c r="I100" s="12" t="str">
        <x:v>Low Beta / Low Bad Beta</x:v>
      </x:c>
      <x:c r="J100" s="15" t="n">
        <x:v>1</x:v>
      </x:c>
      <x:c r="K100" s="18" t="n">
        <x:v>46213</x:v>
      </x:c>
      <x:c r="L100" s="15" t="n">
        <x:v>63.470001220703125</x:v>
      </x:c>
      <x:c r="M100" s="19" t="n">
        <x:v>12470184658</x:v>
      </x:c>
      <x:c r="N100" s="12" t="str">
        <x:v>Nasdaq screener</x:v>
      </x:c>
      <x:c r="O100" s="12" t="str">
        <x:v>Real Estate</x:v>
      </x:c>
      <x:c r="P100" s="12" t="str">
        <x:v>Real Estate Investment Trusts</x:v>
      </x:c>
      <x:c r="Q100" s="12" t="n">
        <x:v>6798</x:v>
      </x:c>
      <x:c r="R100" s="12" t="str">
        <x:v>Real Estate Investment Trusts</x:v>
      </x:c>
      <x:c r="S100" s="18" t="n">
        <x:v>46112</x:v>
      </x:c>
      <x:c r="T100" s="18" t="n">
        <x:v>46022</x:v>
      </x:c>
      <x:c r="U100" s="15" t="n">
        <x:v>-0.6601484632842113</x:v>
      </x:c>
      <x:c r="V100" s="16" t="n">
        <x:v>0.1896551724137931</x:v>
      </x:c>
      <x:c r="W100" s="17" t="n">
        <x:v>0.22727591066319341</x:v>
      </x:c>
      <x:c r="X100" s="15" t="n">
        <x:v>0.12161542742049411</x:v>
      </x:c>
      <x:c r="Y100" s="17"/>
      <x:c r="Z100" s="15"/>
      <x:c r="AA100" s="17" t="n">
        <x:v>1.9050923118532122</x:v>
      </x:c>
      <x:c r="AB100" s="15" t="n">
        <x:v>-1.4419123539889167</x:v>
      </x:c>
      <x:c r="AC100" s="13" t="b">
        <x:v>1</x:v>
      </x:c>
      <x:c r="AD100" s="15" t="n">
        <x:v>-0.28867513459481003</x:v>
      </x:c>
      <x:c r="AE100" s="16" t="n">
        <x:v>0.18181818181818182</x:v>
      </x:c>
      <x:c r="AF100" s="15" t="n">
        <x:v>-0.009999999999999898</x:v>
      </x:c>
      <x:c r="AG100" s="12" t="n">
        <x:v>8</x:v>
      </x:c>
      <x:c r="AH100" s="12" t="n">
        <x:v>63</x:v>
      </x:c>
      <x:c r="AI100" s="17" t="n">
        <x:v>-0.037236938495010974</x:v>
      </x:c>
      <x:c r="AJ100" s="16" t="n">
        <x:v>0.3826086956521739</x:v>
      </x:c>
      <x:c r="AK100" s="18" t="n">
        <x:v>46134</x:v>
      </x:c>
      <x:c r="AL100" s="18" t="n">
        <x:v>46134</x:v>
      </x:c>
      <x:c r="AM100" s="12" t="str">
        <x:v>2026-04-21 to 2026-04-22 to 2026-04-23</x:v>
      </x:c>
      <x:c r="AN100" s="12" t="str">
        <x:v>8-K Item 2.02 filing date</x:v>
      </x:c>
      <x:c r="AO100" s="12" t="str">
        <x:v>SUE + CAR3</x:v>
      </x:c>
      <x:c r="AP100" s="17" t="n">
        <x:v>0.032009068906924926</x:v>
      </x:c>
      <x:c r="AQ100" s="16" t="n">
        <x:v>0.20689655172413793</x:v>
      </x:c>
      <x:c r="AR100" s="17" t="n">
        <x:v>0.035219205813303366</x:v>
      </x:c>
      <x:c r="AS100" s="16"/>
      <x:c r="AT100" s="17" t="n">
        <x:v>0.1408379304851189</x:v>
      </x:c>
      <x:c r="AU100" s="16" t="n">
        <x:v>0.1896551724137931</x:v>
      </x:c>
      <x:c r="AV100" s="17" t="n">
        <x:v>0.09747502921787872</x:v>
      </x:c>
      <x:c r="AW100" s="16"/>
      <x:c r="AX100" s="17" t="n">
        <x:v>0.01766687000899103</x:v>
      </x:c>
      <x:c r="AY100" s="16" t="n">
        <x:v>0.8103448275862069</x:v>
      </x:c>
      <x:c r="AZ100" s="17" t="n">
        <x:v>0.023316561386597982</x:v>
      </x:c>
      <x:c r="BA100" s="16"/>
      <x:c r="BB100" s="17" t="n">
        <x:v>0.031111247398498628</x:v>
      </x:c>
      <x:c r="BC100" s="16" t="n">
        <x:v>0.47413793103448276</x:v>
      </x:c>
      <x:c r="BD100" s="17" t="n">
        <x:v>0.031111247398498628</x:v>
      </x:c>
      <x:c r="BE100" s="17" t="n">
        <x:v>0</x:v>
      </x:c>
      <x:c r="BF100" s="17" t="n">
        <x:v>-0.017687503814154182</x:v>
      </x:c>
      <x:c r="BG100" s="17" t="n">
        <x:v>0</x:v>
      </x:c>
      <x:c r="BH100" s="12" t="str">
        <x:v>cash repurchases less issuance</x:v>
      </x:c>
      <x:c r="BI100" s="17"/>
      <x:c r="BJ100" s="19" t="n">
        <x:v>387963000</x:v>
      </x:c>
      <x:c r="BK100" s="19" t="n">
        <x:v>0</x:v>
      </x:c>
      <x:c r="BL100" s="19" t="n">
        <x:v>0</x:v>
      </x:c>
      <x:c r="BM100" s="19" t="n">
        <x:v>1541670000</x:v>
      </x:c>
      <x:c r="BN100" s="19" t="n">
        <x:v>399159000</x:v>
      </x:c>
      <x:c r="BO100" s="19" t="n">
        <x:v>571990000</x:v>
      </x:c>
      <x:c r="BP100" s="19" t="n">
        <x:v>132800000</x:v>
      </x:c>
      <x:c r="BQ100" s="19" t="n">
        <x:v>439190000</x:v>
      </x:c>
      <x:c r="BR100" s="19" t="n">
        <x:v>5745393000</x:v>
      </x:c>
      <x:c r="BS100" s="19" t="n">
        <x:v>5645652000</x:v>
      </x:c>
      <x:c r="BT100" s="19" t="n">
        <x:v>1756275000</x:v>
      </x:c>
      <x:c r="BU100" s="19"/>
      <x:c r="BV100" s="19" t="n">
        <x:v>3345866000</x:v>
      </x:c>
      <x:c r="BW100" s="19" t="n">
        <x:v>3204651000</x:v>
      </x:c>
      <x:c r="BX100" s="12" t="n">
        <x:v>193937553</x:v>
      </x:c>
      <x:c r="BY100" s="17" t="n">
        <x:v>0.017687503814154182</x:v>
      </x:c>
      <x:c r="BZ100" s="12" t="n">
        <x:v>5</x:v>
      </x:c>
      <x:c r="CA100" s="12" t="str">
        <x:v>OK</x:v>
      </x:c>
      <x:c r="CB100" s="20" t="str">
        <x:v>https://query1.finance.yahoo.com/v8/finance/chart/ELS?period1=1704067200&amp;period2=1783728000&amp;interval=1d&amp;events=div%2Csplits</x:v>
      </x:c>
      <x:c r="CC100" s="20" t="str">
        <x:v>https://data.sec.gov/api/xbrl/companyfacts/CIK0000895417.json</x:v>
      </x:c>
      <x:c r="CD100" s="20" t="str">
        <x:v>https://data.sec.gov/submissions/CIK0000895417.json</x:v>
      </x:c>
      <x:c r="CE100" s="20" t="str">
        <x:v>https://api.nasdaq.com/api/screener/stocks?tableonly=true&amp;limit=25000&amp;download=true</x:v>
      </x:c>
    </x:row>
    <x:row r="101">
      <x:c r="A101" s="12" t="str">
        <x:v>PM</x:v>
      </x:c>
      <x:c r="B101" s="12" t="str">
        <x:v>Philip Morris International Inc.</x:v>
      </x:c>
      <x:c r="C101" s="12" t="str">
        <x:v>Long</x:v>
      </x:c>
      <x:c r="D101" s="14" t="n">
        <x:v>0.003748</x:v>
      </x:c>
      <x:c r="E101" s="15" t="n">
        <x:v>0.2268078732793771</x:v>
      </x:c>
      <x:c r="F101" s="15" t="n">
        <x:v>-0.00866325718722727</x:v>
      </x:c>
      <x:c r="G101" s="12" t="str">
        <x:v>Low Beta</x:v>
      </x:c>
      <x:c r="H101" s="12" t="str">
        <x:v>Low Bad Beta</x:v>
      </x:c>
      <x:c r="I101" s="12" t="str">
        <x:v>Low Beta / Low Bad Beta</x:v>
      </x:c>
      <x:c r="J101" s="15" t="n">
        <x:v>1</x:v>
      </x:c>
      <x:c r="K101" s="18" t="n">
        <x:v>46213</x:v>
      </x:c>
      <x:c r="L101" s="15" t="n">
        <x:v>181.6199951171875</x:v>
      </x:c>
      <x:c r="M101" s="19" t="n">
        <x:v>278701492842</x:v>
      </x:c>
      <x:c r="N101" s="12" t="str">
        <x:v>Nasdaq screener</x:v>
      </x:c>
      <x:c r="O101" s="12" t="str">
        <x:v>Health Care</x:v>
      </x:c>
      <x:c r="P101" s="12" t="str">
        <x:v> Medicinal Chemicals and Botanical Products </x:v>
      </x:c>
      <x:c r="Q101" s="12" t="n">
        <x:v>2111</x:v>
      </x:c>
      <x:c r="R101" s="12" t="str">
        <x:v>Cigarettes</x:v>
      </x:c>
      <x:c r="S101" s="18" t="n">
        <x:v>46112</x:v>
      </x:c>
      <x:c r="T101" s="18" t="n">
        <x:v>46022</x:v>
      </x:c>
      <x:c r="U101" s="15" t="n">
        <x:v>-1.4922957290838446</x:v>
      </x:c>
      <x:c r="V101" s="16" t="n">
        <x:v>0.0603448275862069</x:v>
      </x:c>
      <x:c r="W101" s="17" t="n">
        <x:v>-1.1102661596958174</x:v>
      </x:c>
      <x:c r="X101" s="15" t="n">
        <x:v>-1.029601712582685</x:v>
      </x:c>
      <x:c r="Y101" s="17" t="n">
        <x:v>0.01858455054249479</x:v>
      </x:c>
      <x:c r="Z101" s="15" t="n">
        <x:v>0.13759633051878353</x:v>
      </x:c>
      <x:c r="AA101" s="17" t="n">
        <x:v>-0.01681008605163098</x:v>
      </x:c>
      <x:c r="AB101" s="15" t="n">
        <x:v>-3.5848818051876323</x:v>
      </x:c>
      <x:c r="AC101" s="13" t="b">
        <x:v>0</x:v>
      </x:c>
      <x:c r="AD101" s="15" t="n">
        <x:v>-0.16246391061675003</x:v>
      </x:c>
      <x:c r="AE101" s="16" t="n">
        <x:v>0.21818181818181817</x:v>
      </x:c>
      <x:c r="AF101" s="15" t="n">
        <x:v>-0.15999999999999992</x:v>
      </x:c>
      <x:c r="AG101" s="12" t="n">
        <x:v>8</x:v>
      </x:c>
      <x:c r="AH101" s="12" t="n">
        <x:v>68</x:v>
      </x:c>
      <x:c r="AI101" s="17" t="n">
        <x:v>0.07558190322896596</x:v>
      </x:c>
      <x:c r="AJ101" s="16" t="n">
        <x:v>0.9217391304347826</x:v>
      </x:c>
      <x:c r="AK101" s="18" t="n">
        <x:v>46134</x:v>
      </x:c>
      <x:c r="AL101" s="18" t="n">
        <x:v>46134</x:v>
      </x:c>
      <x:c r="AM101" s="12" t="str">
        <x:v>2026-04-21 to 2026-04-22 to 2026-04-23</x:v>
      </x:c>
      <x:c r="AN101" s="12" t="str">
        <x:v>8-K Item 2.02 filing date</x:v>
      </x:c>
      <x:c r="AO101" s="12" t="str">
        <x:v>SUE + CAR3</x:v>
      </x:c>
      <x:c r="AP101" s="17" t="n">
        <x:v>0.03981320619007408</x:v>
      </x:c>
      <x:c r="AQ101" s="16" t="n">
        <x:v>0.3448275862068966</x:v>
      </x:c>
      <x:c r="AR101" s="17" t="n">
        <x:v>0.038270336808158806</x:v>
      </x:c>
      <x:c r="AS101" s="16" t="n">
        <x:v>0.32</x:v>
      </x:c>
      <x:c r="AT101" s="17" t="n">
        <x:v>-0.03585915489037494</x:v>
      </x:c>
      <x:c r="AU101" s="16" t="n">
        <x:v>0.02586206896551724</x:v>
      </x:c>
      <x:c r="AV101" s="17" t="n">
        <x:v>0.15143569223798278</x:v>
      </x:c>
      <x:c r="AW101" s="16" t="n">
        <x:v>0.21739130434782608</x:v>
      </x:c>
      <x:c r="AX101" s="17" t="n">
        <x:v>0.11978829470413044</x:v>
      </x:c>
      <x:c r="AY101" s="16" t="n">
        <x:v>0.2068965517241379</x:v>
      </x:c>
      <x:c r="AZ101" s="17" t="n">
        <x:v>0.02318105811298857</x:v>
      </x:c>
      <x:c r="BA101" s="16" t="n">
        <x:v>0.53</x:v>
      </x:c>
      <x:c r="BB101" s="17" t="n">
        <x:v>0.030832271159995178</x:v>
      </x:c>
      <x:c r="BC101" s="16" t="n">
        <x:v>0.46551724137931033</x:v>
      </x:c>
      <x:c r="BD101" s="17" t="n">
        <x:v>0.03094350127822628</x:v>
      </x:c>
      <x:c r="BE101" s="17" t="n">
        <x:v>0</x:v>
      </x:c>
      <x:c r="BF101" s="17" t="n">
        <x:v>-0.0012853470437017567</x:v>
      </x:c>
      <x:c r="BG101" s="17" t="n">
        <x:v>0</x:v>
      </x:c>
      <x:c r="BH101" s="12" t="str">
        <x:v>cash repurchases less issuance</x:v>
      </x:c>
      <x:c r="BI101" s="17" t="n">
        <x:v>-0.00011123011823110097</x:v>
      </x:c>
      <x:c r="BJ101" s="19" t="n">
        <x:v>8624000000</x:v>
      </x:c>
      <x:c r="BK101" s="19" t="n">
        <x:v>0</x:v>
      </x:c>
      <x:c r="BL101" s="19" t="n">
        <x:v>0</x:v>
      </x:c>
      <x:c r="BM101" s="19" t="n">
        <x:v>41493000000</x:v>
      </x:c>
      <x:c r="BN101" s="19" t="n">
        <x:v>11096000000</x:v>
      </x:c>
      <x:c r="BO101" s="19" t="n">
        <x:v>12184000000</x:v>
      </x:c>
      <x:c r="BP101" s="19" t="n">
        <x:v>1518000000</x:v>
      </x:c>
      <x:c r="BQ101" s="19" t="n">
        <x:v>10666000000</x:v>
      </x:c>
      <x:c r="BR101" s="19" t="n">
        <x:v>69185000000</x:v>
      </x:c>
      <x:c r="BS101" s="19" t="n">
        <x:v>61784000000</x:v>
      </x:c>
      <x:c r="BT101" s="19" t="n">
        <x:v>-9994000000</x:v>
      </x:c>
      <x:c r="BU101" s="19" t="n">
        <x:v>4872000000</x:v>
      </x:c>
      <x:c r="BV101" s="19" t="n">
        <x:v>168000000</x:v>
      </x:c>
      <x:c r="BW101" s="19" t="n">
        <x:v>137000000</x:v>
      </x:c>
      <x:c r="BX101" s="12" t="n">
        <x:v>1558558846</x:v>
      </x:c>
      <x:c r="BY101" s="17" t="n">
        <x:v>0.0012853470437017567</x:v>
      </x:c>
      <x:c r="BZ101" s="12" t="n">
        <x:v>5</x:v>
      </x:c>
      <x:c r="CA101" s="12" t="str">
        <x:v>OK</x:v>
      </x:c>
      <x:c r="CB101" s="20" t="str">
        <x:v>https://query1.finance.yahoo.com/v8/finance/chart/PM?period1=1704067200&amp;period2=1783728000&amp;interval=1d&amp;events=div%2Csplits</x:v>
      </x:c>
      <x:c r="CC101" s="20" t="str">
        <x:v>https://data.sec.gov/api/xbrl/companyfacts/CIK0001413329.json</x:v>
      </x:c>
      <x:c r="CD101" s="20" t="str">
        <x:v>https://data.sec.gov/submissions/CIK0001413329.json</x:v>
      </x:c>
      <x:c r="CE101" s="20" t="str">
        <x:v>https://api.nasdaq.com/api/screener/stocks?tableonly=true&amp;limit=25000&amp;download=true</x:v>
      </x:c>
    </x:row>
    <x:row r="102">
      <x:c r="A102" s="12" t="str">
        <x:v>BRO</x:v>
      </x:c>
      <x:c r="B102" s="12" t="str">
        <x:v>Brown &amp; Brown Inc.</x:v>
      </x:c>
      <x:c r="C102" s="12" t="str">
        <x:v>Long</x:v>
      </x:c>
      <x:c r="D102" s="14" t="n">
        <x:v>0.004654</x:v>
      </x:c>
      <x:c r="E102" s="15" t="n">
        <x:v>0.24015465822252402</x:v>
      </x:c>
      <x:c r="F102" s="15" t="n">
        <x:v>-0.04593763894662992</x:v>
      </x:c>
      <x:c r="G102" s="12" t="str">
        <x:v>Low Beta</x:v>
      </x:c>
      <x:c r="H102" s="12" t="str">
        <x:v>Low Bad Beta</x:v>
      </x:c>
      <x:c r="I102" s="12" t="str">
        <x:v>Low Beta / Low Bad Beta</x:v>
      </x:c>
      <x:c r="J102" s="15" t="n">
        <x:v>1</x:v>
      </x:c>
      <x:c r="K102" s="18" t="n">
        <x:v>46213</x:v>
      </x:c>
      <x:c r="L102" s="15" t="n">
        <x:v>67.66000366210938</x:v>
      </x:c>
      <x:c r="M102" s="19" t="n">
        <x:v>23129800670</x:v>
      </x:c>
      <x:c r="N102" s="12" t="str">
        <x:v>Nasdaq screener</x:v>
      </x:c>
      <x:c r="O102" s="12" t="str">
        <x:v>Finance</x:v>
      </x:c>
      <x:c r="P102" s="12" t="str">
        <x:v>Specialty Insurers</x:v>
      </x:c>
      <x:c r="Q102" s="12" t="n">
        <x:v>6411</x:v>
      </x:c>
      <x:c r="R102" s="12" t="str">
        <x:v>Insurance Agents, Brokers &amp; Service</x:v>
      </x:c>
      <x:c r="S102" s="18" t="n">
        <x:v>46112</x:v>
      </x:c>
      <x:c r="T102" s="18" t="n">
        <x:v>46022</x:v>
      </x:c>
      <x:c r="U102" s="15" t="n">
        <x:v>-0.33184741358943004</x:v>
      </x:c>
      <x:c r="V102" s="16" t="n">
        <x:v>0.3103448275862069</x:v>
      </x:c>
      <x:c r="W102" s="17" t="n">
        <x:v>0.09130676847212281</x:v>
      </x:c>
      <x:c r="X102" s="15" t="n">
        <x:v>-0.6683150187566979</x:v>
      </x:c>
      <x:c r="Y102" s="17"/>
      <x:c r="Z102" s="15"/>
      <x:c r="AA102" s="17" t="n">
        <x:v>0.6055038574723615</x:v>
      </x:c>
      <x:c r="AB102" s="15" t="n">
        <x:v>0.0046201915778377395</x:v>
      </x:c>
      <x:c r="AC102" s="13" t="b">
        <x:v>1</x:v>
      </x:c>
      <x:c r="AD102" s="15" t="n">
        <x:v>0.656225836330903</x:v>
      </x:c>
      <x:c r="AE102" s="16" t="n">
        <x:v>0.5545454545454546</x:v>
      </x:c>
      <x:c r="AF102" s="15" t="n">
        <x:v>0.1100000000000001</x:v>
      </x:c>
      <x:c r="AG102" s="12" t="n">
        <x:v>8</x:v>
      </x:c>
      <x:c r="AH102" s="12" t="n">
        <x:v>63</x:v>
      </x:c>
      <x:c r="AI102" s="17" t="n">
        <x:v>-0.06856366149914495</x:v>
      </x:c>
      <x:c r="AJ102" s="16" t="n">
        <x:v>0.2</x:v>
      </x:c>
      <x:c r="AK102" s="18" t="n">
        <x:v>46139</x:v>
      </x:c>
      <x:c r="AL102" s="18" t="n">
        <x:v>46139</x:v>
      </x:c>
      <x:c r="AM102" s="12" t="str">
        <x:v>2026-04-24 to 2026-04-27 to 2026-04-28</x:v>
      </x:c>
      <x:c r="AN102" s="12" t="str">
        <x:v>8-K Item 2.02 filing date</x:v>
      </x:c>
      <x:c r="AO102" s="12" t="str">
        <x:v>SUE + CAR3</x:v>
      </x:c>
      <x:c r="AP102" s="17" t="n">
        <x:v>0.04963293961668196</x:v>
      </x:c>
      <x:c r="AQ102" s="16" t="n">
        <x:v>0.5344827586206896</x:v>
      </x:c>
      <x:c r="AR102" s="17" t="n">
        <x:v>0.0616953003771822</x:v>
      </x:c>
      <x:c r="AS102" s="16"/>
      <x:c r="AT102" s="17" t="n">
        <x:v>0.5435844510457686</x:v>
      </x:c>
      <x:c r="AU102" s="16" t="n">
        <x:v>0.7327586206896551</x:v>
      </x:c>
      <x:c r="AV102" s="17" t="n">
        <x:v>0.21571746895102098</x:v>
      </x:c>
      <x:c r="AW102" s="16"/>
      <x:c r="AX102" s="17" t="n">
        <x:v>0.7028730411083353</x:v>
      </x:c>
      <x:c r="AY102" s="16" t="n">
        <x:v>0.008620689655172376</x:v>
      </x:c>
      <x:c r="AZ102" s="17" t="n">
        <x:v>0.003025019431548432</x:v>
      </x:c>
      <x:c r="BA102" s="16"/>
      <x:c r="BB102" s="17" t="n">
        <x:v>0.010592395649901639</x:v>
      </x:c>
      <x:c r="BC102" s="16" t="n">
        <x:v>0.22413793103448276</x:v>
      </x:c>
      <x:c r="BD102" s="17" t="n">
        <x:v>0.008344213716044964</x:v>
      </x:c>
      <x:c r="BE102" s="17" t="n">
        <x:v>0.0022481819338566744</x:v>
      </x:c>
      <x:c r="BF102" s="17" t="n">
        <x:v>-0.102112676056338</x:v>
      </x:c>
      <x:c r="BG102" s="17" t="n">
        <x:v>0.0022481819338566744</x:v>
      </x:c>
      <x:c r="BH102" s="12" t="str">
        <x:v>cash repurchases less issuance</x:v>
      </x:c>
      <x:c r="BI102" s="17"/>
      <x:c r="BJ102" s="19" t="n">
        <x:v>193000000</x:v>
      </x:c>
      <x:c r="BK102" s="19" t="n">
        <x:v>100000000</x:v>
      </x:c>
      <x:c r="BL102" s="19" t="n">
        <x:v>48000000</x:v>
      </x:c>
      <x:c r="BM102" s="19" t="n">
        <x:v>6399000000</x:v>
      </x:c>
      <x:c r="BN102" s="19" t="n">
        <x:v>1148000000</x:v>
      </x:c>
      <x:c r="BO102" s="19" t="n">
        <x:v>1499000000</x:v>
      </x:c>
      <x:c r="BP102" s="19" t="n">
        <x:v>72000000</x:v>
      </x:c>
      <x:c r="BQ102" s="19" t="n">
        <x:v>1427000000</x:v>
      </x:c>
      <x:c r="BR102" s="19" t="n">
        <x:v>29991000000</x:v>
      </x:c>
      <x:c r="BS102" s="19" t="n">
        <x:v>17612000000</x:v>
      </x:c>
      <x:c r="BT102" s="19" t="n">
        <x:v>12573000000</x:v>
      </x:c>
      <x:c r="BU102" s="19" t="n">
        <x:v>1079000000</x:v>
      </x:c>
      <x:c r="BV102" s="19" t="n">
        <x:v>7613000000</x:v>
      </x:c>
      <x:c r="BW102" s="19" t="n">
        <x:v>3824000000</x:v>
      </x:c>
      <x:c r="BX102" s="12" t="n">
        <x:v>338947841</x:v>
      </x:c>
      <x:c r="BY102" s="17" t="n">
        <x:v>0.102112676056338</x:v>
      </x:c>
      <x:c r="BZ102" s="12" t="n">
        <x:v>5</x:v>
      </x:c>
      <x:c r="CA102" s="12" t="str">
        <x:v>OK</x:v>
      </x:c>
      <x:c r="CB102" s="20" t="str">
        <x:v>https://query1.finance.yahoo.com/v8/finance/chart/BRO?period1=1704067200&amp;period2=1783728000&amp;interval=1d&amp;events=div%2Csplits</x:v>
      </x:c>
      <x:c r="CC102" s="20" t="str">
        <x:v>https://data.sec.gov/api/xbrl/companyfacts/CIK0000079282.json</x:v>
      </x:c>
      <x:c r="CD102" s="20" t="str">
        <x:v>https://data.sec.gov/submissions/CIK0000079282.json</x:v>
      </x:c>
      <x:c r="CE102" s="20" t="str">
        <x:v>https://api.nasdaq.com/api/screener/stocks?tableonly=true&amp;limit=25000&amp;download=true</x:v>
      </x:c>
    </x:row>
    <x:row r="103">
      <x:c r="A103" s="12" t="str">
        <x:v>PCG</x:v>
      </x:c>
      <x:c r="B103" s="12" t="str">
        <x:v>PG&amp;E Corp.</x:v>
      </x:c>
      <x:c r="C103" s="12" t="str">
        <x:v>Short</x:v>
      </x:c>
      <x:c r="D103" s="14" t="n">
        <x:v>-0.00372</x:v>
      </x:c>
      <x:c r="E103" s="15" t="n">
        <x:v>-0.008231448743165441</x:v>
      </x:c>
      <x:c r="F103" s="15" t="n">
        <x:v>-0.15868214205289752</x:v>
      </x:c>
      <x:c r="G103" s="12" t="str">
        <x:v>Low Beta</x:v>
      </x:c>
      <x:c r="H103" s="12" t="str">
        <x:v>Low Bad Beta</x:v>
      </x:c>
      <x:c r="I103" s="12" t="str">
        <x:v>Low Beta / Low Bad Beta</x:v>
      </x:c>
      <x:c r="J103" s="15" t="n">
        <x:v>1</x:v>
      </x:c>
      <x:c r="K103" s="18" t="n">
        <x:v>46213</x:v>
      </x:c>
      <x:c r="L103" s="15" t="n">
        <x:v>17.170000076293945</x:v>
      </x:c>
      <x:c r="M103" s="19" t="n">
        <x:v>46778846991</x:v>
      </x:c>
      <x:c r="N103" s="12" t="str">
        <x:v>Nasdaq screener</x:v>
      </x:c>
      <x:c r="O103" s="12" t="str">
        <x:v>Utilities</x:v>
      </x:c>
      <x:c r="P103" s="12" t="str">
        <x:v>Power Generation</x:v>
      </x:c>
      <x:c r="Q103" s="12" t="n">
        <x:v>4931</x:v>
      </x:c>
      <x:c r="R103" s="12" t="str">
        <x:v>Electric &amp; Other Services Combined</x:v>
      </x:c>
      <x:c r="S103" s="18" t="n">
        <x:v>46112</x:v>
      </x:c>
      <x:c r="T103" s="18" t="n">
        <x:v>46022</x:v>
      </x:c>
      <x:c r="U103" s="15" t="n">
        <x:v>-0.9778874657184906</x:v>
      </x:c>
      <x:c r="V103" s="16" t="n">
        <x:v>0.1120689655172414</x:v>
      </x:c>
      <x:c r="W103" s="17" t="n">
        <x:v>0.09078057775046097</x:v>
      </x:c>
      <x:c r="X103" s="15" t="n">
        <x:v>-0.6713719923084802</x:v>
      </x:c>
      <x:c r="Y103" s="17"/>
      <x:c r="Z103" s="15"/>
      <x:c r="AA103" s="17" t="n">
        <x:v>1.763583282114321</x:v>
      </x:c>
      <x:c r="AB103" s="15" t="n">
        <x:v>-1.284402939128501</x:v>
      </x:c>
      <x:c r="AC103" s="13" t="b">
        <x:v>0</x:v>
      </x:c>
      <x:c r="AD103" s="15" t="n">
        <x:v>1.226692542862568</x:v>
      </x:c>
      <x:c r="AE103" s="16" t="n">
        <x:v>0.7272727272727273</x:v>
      </x:c>
      <x:c r="AF103" s="15" t="n">
        <x:v>0.10999999999999999</x:v>
      </x:c>
      <x:c r="AG103" s="12" t="n">
        <x:v>8</x:v>
      </x:c>
      <x:c r="AH103" s="12" t="n">
        <x:v>68</x:v>
      </x:c>
      <x:c r="AI103" s="17" t="n">
        <x:v>-0.03402952464147102</x:v>
      </x:c>
      <x:c r="AJ103" s="16" t="n">
        <x:v>0.4</x:v>
      </x:c>
      <x:c r="AK103" s="18" t="n">
        <x:v>46135</x:v>
      </x:c>
      <x:c r="AL103" s="18" t="n">
        <x:v>46135</x:v>
      </x:c>
      <x:c r="AM103" s="12" t="str">
        <x:v>2026-04-22 to 2026-04-23 to 2026-04-24</x:v>
      </x:c>
      <x:c r="AN103" s="12" t="str">
        <x:v>8-K Item 2.02 filing date</x:v>
      </x:c>
      <x:c r="AO103" s="12" t="str">
        <x:v>SUE + CAR3</x:v>
      </x:c>
      <x:c r="AP103" s="17" t="n">
        <x:v>0.06314820030874925</x:v>
      </x:c>
      <x:c r="AQ103" s="16" t="n">
        <x:v>0.6810344827586207</x:v>
      </x:c>
      <x:c r="AR103" s="17" t="n">
        <x:v>-0.08999794289093918</x:v>
      </x:c>
      <x:c r="AS103" s="16" t="n">
        <x:v>0.01</x:v>
      </x:c>
      <x:c r="AT103" s="17" t="n">
        <x:v>0.6956135538411309</x:v>
      </x:c>
      <x:c r="AU103" s="16" t="n">
        <x:v>0.8706896551724138</x:v>
      </x:c>
      <x:c r="AV103" s="17" t="n">
        <x:v>0.24970796600935857</x:v>
      </x:c>
      <x:c r="AW103" s="16" t="n">
        <x:v>0.41739130434782606</x:v>
      </x:c>
      <x:c r="AX103" s="17" t="n">
        <x:v>0.05948675744426146</x:v>
      </x:c>
      <x:c r="AY103" s="16" t="n">
        <x:v>0.5689655172413793</x:v>
      </x:c>
      <x:c r="AZ103" s="17" t="n">
        <x:v>0.09087771686810452</x:v>
      </x:c>
      <x:c r="BA103" s="16" t="n">
        <x:v>0.10999999999999999</x:v>
      </x:c>
      <x:c r="BB103" s="17" t="n">
        <x:v>-0.07977964913752614</x:v>
      </x:c>
      <x:c r="BC103" s="16" t="n">
        <x:v>0.034482758620689655</x:v>
      </x:c>
      <x:c r="BD103" s="17" t="n">
        <x:v>0.0018384377882709666</x:v>
      </x:c>
      <x:c r="BE103" s="17" t="n">
        <x:v>0</x:v>
      </x:c>
      <x:c r="BF103" s="17" t="n">
        <x:v>-0.02561714019562178</x:v>
      </x:c>
      <x:c r="BG103" s="17" t="n">
        <x:v>0</x:v>
      </x:c>
      <x:c r="BH103" s="12" t="str">
        <x:v>cash repurchases less issuance</x:v>
      </x:c>
      <x:c r="BI103" s="17" t="n">
        <x:v>-0.0816180869257971</x:v>
      </x:c>
      <x:c r="BJ103" s="19" t="n">
        <x:v>86000000</x:v>
      </x:c>
      <x:c r="BK103" s="19" t="n">
        <x:v>0</x:v>
      </x:c>
      <x:c r="BL103" s="19" t="n">
        <x:v>0</x:v>
      </x:c>
      <x:c r="BM103" s="19" t="n">
        <x:v>25833000000</x:v>
      </x:c>
      <x:c r="BN103" s="19" t="n">
        <x:v>2954000000</x:v>
      </x:c>
      <x:c r="BO103" s="19" t="n">
        <x:v>8298000000</x:v>
      </x:c>
      <x:c r="BP103" s="19" t="n">
        <x:v>12508000000</x:v>
      </x:c>
      <x:c r="BQ103" s="19" t="n">
        <x:v>-4210000000</x:v>
      </x:c>
      <x:c r="BR103" s="19" t="n">
        <x:v>141611000000</x:v>
      </x:c>
      <x:c r="BS103" s="19" t="n">
        <x:v>133660000000</x:v>
      </x:c>
      <x:c r="BT103" s="19" t="n">
        <x:v>32540000000</x:v>
      </x:c>
      <x:c r="BU103" s="19" t="n">
        <x:v>713000000</x:v>
      </x:c>
      <x:c r="BV103" s="19" t="n">
        <x:v>57387000000</x:v>
      </x:c>
      <x:c r="BW103" s="19" t="n">
        <x:v>53569000000</x:v>
      </x:c>
      <x:c r="BX103" s="12" t="n">
        <x:v>2679968318</x:v>
      </x:c>
      <x:c r="BY103" s="17" t="n">
        <x:v>0.02561714019562178</x:v>
      </x:c>
      <x:c r="BZ103" s="12" t="n">
        <x:v>5</x:v>
      </x:c>
      <x:c r="CA103" s="12" t="str">
        <x:v>OK</x:v>
      </x:c>
      <x:c r="CB103" s="20" t="str">
        <x:v>https://query1.finance.yahoo.com/v8/finance/chart/PCG?period1=1704067200&amp;period2=1783728000&amp;interval=1d&amp;events=div%2Csplits</x:v>
      </x:c>
      <x:c r="CC103" s="20" t="str">
        <x:v>https://data.sec.gov/api/xbrl/companyfacts/CIK0001004980.json</x:v>
      </x:c>
      <x:c r="CD103" s="20" t="str">
        <x:v>https://data.sec.gov/submissions/CIK0001004980.json</x:v>
      </x:c>
      <x:c r="CE103" s="20" t="str">
        <x:v>https://api.nasdaq.com/api/screener/stocks?tableonly=true&amp;limit=25000&amp;download=true</x:v>
      </x:c>
    </x:row>
    <x:row r="104">
      <x:c r="A104" s="12" t="str">
        <x:v>AWK</x:v>
      </x:c>
      <x:c r="B104" s="12" t="str">
        <x:v>American Water Works Co. Inc.</x:v>
      </x:c>
      <x:c r="C104" s="12" t="str">
        <x:v>Long</x:v>
      </x:c>
      <x:c r="D104" s="14" t="n">
        <x:v>0.00427</x:v>
      </x:c>
      <x:c r="E104" s="15" t="n">
        <x:v>0.12930054815164585</x:v>
      </x:c>
      <x:c r="F104" s="15" t="n">
        <x:v>-0.022299314587094863</x:v>
      </x:c>
      <x:c r="G104" s="12" t="str">
        <x:v>Low Beta</x:v>
      </x:c>
      <x:c r="H104" s="12" t="str">
        <x:v>Low Bad Beta</x:v>
      </x:c>
      <x:c r="I104" s="12" t="str">
        <x:v>Low Beta / Low Bad Beta</x:v>
      </x:c>
      <x:c r="J104" s="15" t="n">
        <x:v>1</x:v>
      </x:c>
      <x:c r="K104" s="18" t="n">
        <x:v>46213</x:v>
      </x:c>
      <x:c r="L104" s="15" t="n">
        <x:v>130.69000244140625</x:v>
      </x:c>
      <x:c r="M104" s="19" t="n">
        <x:v>25632150153</x:v>
      </x:c>
      <x:c r="N104" s="12" t="str">
        <x:v>Nasdaq screener</x:v>
      </x:c>
      <x:c r="O104" s="12" t="str">
        <x:v>Utilities</x:v>
      </x:c>
      <x:c r="P104" s="12" t="str">
        <x:v>Water Supply</x:v>
      </x:c>
      <x:c r="Q104" s="12" t="n">
        <x:v>4941</x:v>
      </x:c>
      <x:c r="R104" s="12" t="str">
        <x:v>Water Supply</x:v>
      </x:c>
      <x:c r="S104" s="18" t="n">
        <x:v>46112</x:v>
      </x:c>
      <x:c r="T104" s="18" t="n">
        <x:v>46022</x:v>
      </x:c>
      <x:c r="U104" s="15" t="n">
        <x:v>-0.046257783847819145</x:v>
      </x:c>
      <x:c r="V104" s="16" t="n">
        <x:v>0.4482758620689655</x:v>
      </x:c>
      <x:c r="W104" s="17" t="n">
        <x:v>0.1016886592230322</x:v>
      </x:c>
      <x:c r="X104" s="15" t="n">
        <x:v>-0.6080000718439321</x:v>
      </x:c>
      <x:c r="Y104" s="17"/>
      <x:c r="Z104" s="15"/>
      <x:c r="AA104" s="17" t="n">
        <x:v>0.14653501891667436</x:v>
      </x:c>
      <x:c r="AB104" s="15" t="n">
        <x:v>0.5154845041482938</x:v>
      </x:c>
      <x:c r="AC104" s="13" t="b">
        <x:v>0</x:v>
      </x:c>
      <x:c r="AD104" s="15" t="n">
        <x:v>-0.39283710065919397</x:v>
      </x:c>
      <x:c r="AE104" s="16" t="n">
        <x:v>0.14545454545454545</x:v>
      </x:c>
      <x:c r="AF104" s="15" t="n">
        <x:v>-0.050000000000000044</x:v>
      </x:c>
      <x:c r="AG104" s="12" t="n">
        <x:v>8</x:v>
      </x:c>
      <x:c r="AH104" s="12" t="n">
        <x:v>64</x:v>
      </x:c>
      <x:c r="AI104" s="17" t="n">
        <x:v>-0.03154457275119604</x:v>
      </x:c>
      <x:c r="AJ104" s="16" t="n">
        <x:v>0.4260869565217391</x:v>
      </x:c>
      <x:c r="AK104" s="18" t="n">
        <x:v>46141</x:v>
      </x:c>
      <x:c r="AL104" s="18" t="n">
        <x:v>46141</x:v>
      </x:c>
      <x:c r="AM104" s="12" t="str">
        <x:v>2026-04-28 to 2026-04-29 to 2026-04-30</x:v>
      </x:c>
      <x:c r="AN104" s="12" t="str">
        <x:v>8-K Item 2.02 filing date</x:v>
      </x:c>
      <x:c r="AO104" s="12" t="str">
        <x:v>SUE + CAR3</x:v>
      </x:c>
      <x:c r="AP104" s="17" t="n">
        <x:v>0.04299288172947213</x:v>
      </x:c>
      <x:c r="AQ104" s="16" t="n">
        <x:v>0.43103448275862066</x:v>
      </x:c>
      <x:c r="AR104" s="17" t="n">
        <x:v>-0.04697225916722726</x:v>
      </x:c>
      <x:c r="AS104" s="16" t="n">
        <x:v>0.05</x:v>
      </x:c>
      <x:c r="AT104" s="17" t="n">
        <x:v>0.4227893460093371</x:v>
      </x:c>
      <x:c r="AU104" s="16" t="n">
        <x:v>0.5862068965517241</x:v>
      </x:c>
      <x:c r="AV104" s="17" t="n">
        <x:v>0.19154086127737838</x:v>
      </x:c>
      <x:c r="AW104" s="16" t="n">
        <x:v>0.30434782608695654</x:v>
      </x:c>
      <x:c r="AX104" s="17" t="n">
        <x:v>0.0795613767895218</x:v>
      </x:c>
      <x:c r="AY104" s="16" t="n">
        <x:v>0.3793103448275862</x:v>
      </x:c>
      <x:c r="AZ104" s="17" t="n">
        <x:v>0.0948265760487462</x:v>
      </x:c>
      <x:c r="BA104" s="16" t="n">
        <x:v>0.07999999999999996</x:v>
      </x:c>
      <x:c r="BB104" s="17" t="n">
        <x:v>-0.0029650263261704925</x:v>
      </x:c>
      <x:c r="BC104" s="16" t="n">
        <x:v>0.14655172413793102</x:v>
      </x:c>
      <x:c r="BD104" s="17" t="n">
        <x:v>0.02469554821665686</x:v>
      </x:c>
      <x:c r="BE104" s="17" t="n">
        <x:v>0</x:v>
      </x:c>
      <x:c r="BF104" s="17" t="n">
        <x:v>0</x:v>
      </x:c>
      <x:c r="BG104" s="17" t="n">
        <x:v>0</x:v>
      </x:c>
      <x:c r="BH104" s="12" t="str">
        <x:v>cash repurchases less issuance</x:v>
      </x:c>
      <x:c r="BI104" s="17" t="n">
        <x:v>-0.027660574542827353</x:v>
      </x:c>
      <x:c r="BJ104" s="19" t="n">
        <x:v>633000000</x:v>
      </x:c>
      <x:c r="BK104" s="19" t="n">
        <x:v>0</x:v>
      </x:c>
      <x:c r="BL104" s="19" t="n">
        <x:v>0</x:v>
      </x:c>
      <x:c r="BM104" s="19" t="n">
        <x:v>5195000000</x:v>
      </x:c>
      <x:c r="BN104" s="19" t="n">
        <x:v>1102000000</x:v>
      </x:c>
      <x:c r="BO104" s="19" t="n">
        <x:v>2033000000</x:v>
      </x:c>
      <x:c r="BP104" s="19" t="n">
        <x:v>3237000000</x:v>
      </x:c>
      <x:c r="BQ104" s="19" t="n">
        <x:v>-1204000000</x:v>
      </x:c>
      <x:c r="BR104" s="19" t="n">
        <x:v>35442000000</x:v>
      </x:c>
      <x:c r="BS104" s="19" t="n">
        <x:v>32830000000</x:v>
      </x:c>
      <x:c r="BT104" s="19" t="n">
        <x:v>10837000000</x:v>
      </x:c>
      <x:c r="BU104" s="19" t="n">
        <x:v>98000000</x:v>
      </x:c>
      <x:c r="BV104" s="19" t="n">
        <x:v>1588000000</x:v>
      </x:c>
      <x:c r="BW104" s="19" t="n">
        <x:v>879000000</x:v>
      </x:c>
      <x:c r="BX104" s="12" t="n">
        <x:v>195280521</x:v>
      </x:c>
      <x:c r="BY104" s="17" t="n">
        <x:v>0</x:v>
      </x:c>
      <x:c r="BZ104" s="12" t="n">
        <x:v>5</x:v>
      </x:c>
      <x:c r="CA104" s="12" t="str">
        <x:v>OK</x:v>
      </x:c>
      <x:c r="CB104" s="20" t="str">
        <x:v>https://query1.finance.yahoo.com/v8/finance/chart/AWK?period1=1704067200&amp;period2=1783728000&amp;interval=1d&amp;events=div%2Csplits</x:v>
      </x:c>
      <x:c r="CC104" s="20" t="str">
        <x:v>https://data.sec.gov/api/xbrl/companyfacts/CIK0001410636.json</x:v>
      </x:c>
      <x:c r="CD104" s="20" t="str">
        <x:v>https://data.sec.gov/submissions/CIK0001410636.json</x:v>
      </x:c>
      <x:c r="CE104" s="20" t="str">
        <x:v>https://api.nasdaq.com/api/screener/stocks?tableonly=true&amp;limit=25000&amp;download=true</x:v>
      </x:c>
    </x:row>
    <x:row r="105">
      <x:c r="A105" s="12" t="str">
        <x:v>JNJ</x:v>
      </x:c>
      <x:c r="B105" s="12" t="str">
        <x:v>Johnson &amp; Johnson</x:v>
      </x:c>
      <x:c r="C105" s="12" t="str">
        <x:v>Long</x:v>
      </x:c>
      <x:c r="D105" s="14" t="n">
        <x:v>0.004419</x:v>
      </x:c>
      <x:c r="E105" s="15" t="n">
        <x:v>0.2849472630684089</x:v>
      </x:c>
      <x:c r="F105" s="15" t="n">
        <x:v>0.023565713829494992</x:v>
      </x:c>
      <x:c r="G105" s="12" t="str">
        <x:v>Low Beta</x:v>
      </x:c>
      <x:c r="H105" s="12" t="str">
        <x:v>Low Bad Beta</x:v>
      </x:c>
      <x:c r="I105" s="12" t="str">
        <x:v>Low Beta / Low Bad Beta</x:v>
      </x:c>
      <x:c r="J105" s="15" t="n">
        <x:v>1</x:v>
      </x:c>
      <x:c r="K105" s="18" t="n">
        <x:v>46213</x:v>
      </x:c>
      <x:c r="L105" s="15" t="n">
        <x:v>256.9800109863281</x:v>
      </x:c>
      <x:c r="M105" s="19" t="n">
        <x:v>604512361842</x:v>
      </x:c>
      <x:c r="N105" s="12" t="str">
        <x:v>Nasdaq screener</x:v>
      </x:c>
      <x:c r="O105" s="12" t="str">
        <x:v>Health Care</x:v>
      </x:c>
      <x:c r="P105" s="12" t="str">
        <x:v>Biotechnology: Pharmaceutical Preparations</x:v>
      </x:c>
      <x:c r="Q105" s="12" t="n">
        <x:v>2834</x:v>
      </x:c>
      <x:c r="R105" s="12" t="str">
        <x:v>Pharmaceutical Preparations</x:v>
      </x:c>
      <x:c r="S105" s="18" t="n">
        <x:v>46110</x:v>
      </x:c>
      <x:c r="T105" s="18" t="n">
        <x:v>46019</x:v>
      </x:c>
      <x:c r="U105" s="15" t="n">
        <x:v>-0.16593653021417012</x:v>
      </x:c>
      <x:c r="V105" s="16" t="n">
        <x:v>0.3793103448275862</x:v>
      </x:c>
      <x:c r="W105" s="17" t="n">
        <x:v>0.2580202099480035</x:v>
      </x:c>
      <x:c r="X105" s="15" t="n">
        <x:v>0.3002284396091528</x:v>
      </x:c>
      <x:c r="Y105" s="17" t="n">
        <x:v>0.12384462476997948</x:v>
      </x:c>
      <x:c r="Z105" s="15" t="n">
        <x:v>-0.9110005180905238</x:v>
      </x:c>
      <x:c r="AA105" s="17" t="n">
        <x:v>0.5081673697635632</x:v>
      </x:c>
      <x:c r="AB105" s="15" t="n">
        <x:v>0.11296248783886065</x:v>
      </x:c>
      <x:c r="AC105" s="13" t="b">
        <x:v>0</x:v>
      </x:c>
      <x:c r="AD105" s="15" t="n">
        <x:v>-0.6449848685877266</x:v>
      </x:c>
      <x:c r="AE105" s="16" t="n">
        <x:v>0.10909090909090909</x:v>
      </x:c>
      <x:c r="AF105" s="15" t="n">
        <x:v>-2.4000000000000004</x:v>
      </x:c>
      <x:c r="AG105" s="12" t="n">
        <x:v>8</x:v>
      </x:c>
      <x:c r="AH105" s="12" t="n">
        <x:v>68</x:v>
      </x:c>
      <x:c r="AI105" s="17" t="n">
        <x:v>-0.02917451631625978</x:v>
      </x:c>
      <x:c r="AJ105" s="16" t="n">
        <x:v>0.45217391304347826</x:v>
      </x:c>
      <x:c r="AK105" s="18" t="n">
        <x:v>46126</x:v>
      </x:c>
      <x:c r="AL105" s="18" t="n">
        <x:v>46126</x:v>
      </x:c>
      <x:c r="AM105" s="12" t="str">
        <x:v>2026-04-13 to 2026-04-14 to 2026-04-15</x:v>
      </x:c>
      <x:c r="AN105" s="12" t="str">
        <x:v>8-K Item 2.02 filing date</x:v>
      </x:c>
      <x:c r="AO105" s="12" t="str">
        <x:v>SUE + CAR3</x:v>
      </x:c>
      <x:c r="AP105" s="17" t="n">
        <x:v>0.03480491273311492</x:v>
      </x:c>
      <x:c r="AQ105" s="16" t="n">
        <x:v>0.25</x:v>
      </x:c>
      <x:c r="AR105" s="17" t="n">
        <x:v>0.029418753234111965</x:v>
      </x:c>
      <x:c r="AS105" s="16" t="n">
        <x:v>0.22</x:v>
      </x:c>
      <x:c r="AT105" s="17" t="n">
        <x:v>0.1348921960032853</x:v>
      </x:c>
      <x:c r="AU105" s="16" t="n">
        <x:v>0.1724137931034483</x:v>
      </x:c>
      <x:c r="AV105" s="17" t="n">
        <x:v>0.1538735795357957</x:v>
      </x:c>
      <x:c r="AW105" s="16" t="n">
        <x:v>0.22608695652173913</x:v>
      </x:c>
      <x:c r="AX105" s="17" t="n">
        <x:v>0.10608315195664719</x:v>
      </x:c>
      <x:c r="AY105" s="16" t="n">
        <x:v>0.26724137931034486</x:v>
      </x:c>
      <x:c r="AZ105" s="17" t="n">
        <x:v>0.026816832492341437</x:v>
      </x:c>
      <x:c r="BA105" s="16" t="n">
        <x:v>0.48</x:v>
      </x:c>
      <x:c r="BB105" s="17" t="n">
        <x:v>0.013316518417375243</x:v>
      </x:c>
      <x:c r="BC105" s="16" t="n">
        <x:v>0.25862068965517243</x:v>
      </x:c>
      <x:c r="BD105" s="17" t="n">
        <x:v>0.02048097074851216</x:v>
      </x:c>
      <x:c r="BE105" s="17" t="n">
        <x:v>0.007786441265911213</x:v>
      </x:c>
      <x:c r="BF105" s="17" t="n">
        <x:v>0</x:v>
      </x:c>
      <x:c r="BG105" s="17" t="n">
        <x:v>0.007786441265911213</x:v>
      </x:c>
      <x:c r="BH105" s="12" t="str">
        <x:v>cash repurchases less issuance</x:v>
      </x:c>
      <x:c r="BI105" s="17" t="n">
        <x:v>-0.01495089359704813</x:v>
      </x:c>
      <x:c r="BJ105" s="19" t="n">
        <x:v>12381000000</x:v>
      </x:c>
      <x:c r="BK105" s="19" t="n">
        <x:v>5953000000</x:v>
      </x:c>
      <x:c r="BL105" s="19" t="n">
        <x:v>1246000000</x:v>
      </x:c>
      <x:c r="BM105" s="19" t="n">
        <x:v>96362000000</x:v>
      </x:c>
      <x:c r="BN105" s="19" t="n">
        <x:v>21040000000</x:v>
      </x:c>
      <x:c r="BO105" s="19" t="n">
        <x:v>22870000000</x:v>
      </x:c>
      <x:c r="BP105" s="19" t="n">
        <x:v>5086000000</x:v>
      </x:c>
      <x:c r="BQ105" s="19" t="n">
        <x:v>17784000000</x:v>
      </x:c>
      <x:c r="BR105" s="19" t="n">
        <x:v>199210000000</x:v>
      </x:c>
      <x:c r="BS105" s="19" t="n">
        <x:v>180104000000</x:v>
      </x:c>
      <x:c r="BT105" s="19" t="n">
        <x:v>81544000000</x:v>
      </x:c>
      <x:c r="BU105" s="19" t="n">
        <x:v>19709000000</x:v>
      </x:c>
      <x:c r="BV105" s="19" t="n">
        <x:v>41438000000</x:v>
      </x:c>
      <x:c r="BW105" s="19" t="n">
        <x:v>32400000000</x:v>
      </x:c>
      <x:c r="BX105" s="12" t="n">
        <x:v>2407216971</x:v>
      </x:c>
      <x:c r="BY105" s="17" t="n">
        <x:v>0</x:v>
      </x:c>
      <x:c r="BZ105" s="12" t="n">
        <x:v>5</x:v>
      </x:c>
      <x:c r="CA105" s="12" t="str">
        <x:v>OK</x:v>
      </x:c>
      <x:c r="CB105" s="20" t="str">
        <x:v>https://query1.finance.yahoo.com/v8/finance/chart/JNJ?period1=1704067200&amp;period2=1783728000&amp;interval=1d&amp;events=div%2Csplits</x:v>
      </x:c>
      <x:c r="CC105" s="20" t="str">
        <x:v>https://data.sec.gov/api/xbrl/companyfacts/CIK0000200406.json</x:v>
      </x:c>
      <x:c r="CD105" s="20" t="str">
        <x:v>https://data.sec.gov/submissions/CIK0000200406.json</x:v>
      </x:c>
      <x:c r="CE105" s="20" t="str">
        <x:v>https://api.nasdaq.com/api/screener/stocks?tableonly=true&amp;limit=25000&amp;download=true</x:v>
      </x:c>
    </x:row>
    <x:row r="106">
      <x:c r="A106" s="12" t="str">
        <x:v>CNP</x:v>
      </x:c>
      <x:c r="B106" s="12" t="str">
        <x:v>Centerpoint Energy Inc.</x:v>
      </x:c>
      <x:c r="C106" s="12" t="str">
        <x:v>Long</x:v>
      </x:c>
      <x:c r="D106" s="14" t="n">
        <x:v>0.004118</x:v>
      </x:c>
      <x:c r="E106" s="15" t="n">
        <x:v>0.13702310324257344</x:v>
      </x:c>
      <x:c r="F106" s="15" t="n">
        <x:v>0.11335135977874447</x:v>
      </x:c>
      <x:c r="G106" s="12" t="str">
        <x:v>Low Beta</x:v>
      </x:c>
      <x:c r="H106" s="12" t="str">
        <x:v>Low Bad Beta</x:v>
      </x:c>
      <x:c r="I106" s="12" t="str">
        <x:v>Low Beta / Low Bad Beta</x:v>
      </x:c>
      <x:c r="J106" s="15" t="n">
        <x:v>1</x:v>
      </x:c>
      <x:c r="K106" s="18" t="n">
        <x:v>46213</x:v>
      </x:c>
      <x:c r="L106" s="15" t="n">
        <x:v>43.540000915527344</x:v>
      </x:c>
      <x:c r="M106" s="19" t="n">
        <x:v>28371330348</x:v>
      </x:c>
      <x:c r="N106" s="12" t="str">
        <x:v>Nasdaq screener</x:v>
      </x:c>
      <x:c r="O106" s="12" t="str">
        <x:v>Utilities</x:v>
      </x:c>
      <x:c r="P106" s="12" t="str">
        <x:v>Electric Utilities: Central</x:v>
      </x:c>
      <x:c r="Q106" s="12" t="n">
        <x:v>4911</x:v>
      </x:c>
      <x:c r="R106" s="12" t="str">
        <x:v>Electric Services</x:v>
      </x:c>
      <x:c r="S106" s="18" t="n">
        <x:v>46112</x:v>
      </x:c>
      <x:c r="T106" s="18" t="n">
        <x:v>46022</x:v>
      </x:c>
      <x:c r="U106" s="15" t="n">
        <x:v>-1.0073928677530672</x:v>
      </x:c>
      <x:c r="V106" s="16" t="n">
        <x:v>0.10344827586206895</x:v>
      </x:c>
      <x:c r="W106" s="17" t="n">
        <x:v>0.09602797453599929</x:v>
      </x:c>
      <x:c r="X106" s="15" t="n">
        <x:v>-0.640886557030495</x:v>
      </x:c>
      <x:c r="Y106" s="17"/>
      <x:c r="Z106" s="15"/>
      <x:c r="AA106" s="17" t="n">
        <x:v>1.843988164619385</x:v>
      </x:c>
      <x:c r="AB106" s="15" t="n">
        <x:v>-1.3738991784756394</x:v>
      </x:c>
      <x:c r="AC106" s="13" t="b">
        <x:v>0</x:v>
      </x:c>
      <x:c r="AD106" s="15" t="n">
        <x:v>0.26909811055347105</x:v>
      </x:c>
      <x:c r="AE106" s="16" t="n">
        <x:v>0.44545454545454544</x:v>
      </x:c>
      <x:c r="AF106" s="15" t="n">
        <x:v>0.02999999999999997</x:v>
      </x:c>
      <x:c r="AG106" s="12" t="n">
        <x:v>8</x:v>
      </x:c>
      <x:c r="AH106" s="12" t="n">
        <x:v>68</x:v>
      </x:c>
      <x:c r="AI106" s="17" t="n">
        <x:v>-0.006459754663839634</x:v>
      </x:c>
      <x:c r="AJ106" s="16" t="n">
        <x:v>0.5826086956521739</x:v>
      </x:c>
      <x:c r="AK106" s="18" t="n">
        <x:v>46135</x:v>
      </x:c>
      <x:c r="AL106" s="18" t="n">
        <x:v>46135</x:v>
      </x:c>
      <x:c r="AM106" s="12" t="str">
        <x:v>2026-04-22 to 2026-04-23 to 2026-04-24</x:v>
      </x:c>
      <x:c r="AN106" s="12" t="str">
        <x:v>8-K Item 2.02 filing date</x:v>
      </x:c>
      <x:c r="AO106" s="12" t="str">
        <x:v>SUE + CAR3</x:v>
      </x:c>
      <x:c r="AP106" s="17" t="n">
        <x:v>0.03774937540338142</x:v>
      </x:c>
      <x:c r="AQ106" s="16" t="n">
        <x:v>0.31896551724137934</x:v>
      </x:c>
      <x:c r="AR106" s="17" t="n">
        <x:v>-0.0941795808383148</x:v>
      </x:c>
      <x:c r="AS106" s="16" t="n">
        <x:v>0</x:v>
      </x:c>
      <x:c r="AT106" s="17" t="n">
        <x:v>0.39310810819226233</x:v>
      </x:c>
      <x:c r="AU106" s="16" t="n">
        <x:v>0.5689655172413793</x:v>
      </x:c>
      <x:c r="AV106" s="17" t="n">
        <x:v>0.19133186351257803</x:v>
      </x:c>
      <x:c r="AW106" s="16" t="n">
        <x:v>0.2956521739130435</x:v>
      </x:c>
      <x:c r="AX106" s="17" t="n">
        <x:v>0.06319685615061221</x:v>
      </x:c>
      <x:c r="AY106" s="16" t="n">
        <x:v>0.5</x:v>
      </x:c>
      <x:c r="AZ106" s="17" t="n">
        <x:v>0.11140395561560099</x:v>
      </x:c>
      <x:c r="BA106" s="16" t="n">
        <x:v>0.020000000000000018</x:v>
      </x:c>
      <x:c r="BB106" s="17" t="n">
        <x:v>0.01427497389203499</x:v>
      </x:c>
      <x:c r="BC106" s="16" t="n">
        <x:v>0.2672413793103448</x:v>
      </x:c>
      <x:c r="BD106" s="17" t="n">
        <x:v>0.020231691392661937</x:v>
      </x:c>
      <x:c r="BE106" s="17" t="n">
        <x:v>0</x:v>
      </x:c>
      <x:c r="BF106" s="17" t="n">
        <x:v>-0.017873526904990777</x:v>
      </x:c>
      <x:c r="BG106" s="17" t="n">
        <x:v>0</x:v>
      </x:c>
      <x:c r="BH106" s="12" t="str">
        <x:v>cash repurchases less issuance</x:v>
      </x:c>
      <x:c r="BI106" s="17" t="n">
        <x:v>-0.005956717500626946</x:v>
      </x:c>
      <x:c r="BJ106" s="19" t="n">
        <x:v>574000000</x:v>
      </x:c>
      <x:c r="BK106" s="19" t="n">
        <x:v>0</x:v>
      </x:c>
      <x:c r="BL106" s="19" t="n">
        <x:v>0</x:v>
      </x:c>
      <x:c r="BM106" s="19" t="n">
        <x:v>9356000000</x:v>
      </x:c>
      <x:c r="BN106" s="19" t="n">
        <x:v>1071000000</x:v>
      </x:c>
      <x:c r="BO106" s="19" t="n">
        <x:v>2358000000</x:v>
      </x:c>
      <x:c r="BP106" s="19" t="n">
        <x:v>5030000000</x:v>
      </x:c>
      <x:c r="BQ106" s="19" t="n">
        <x:v>-2672000000</x:v>
      </x:c>
      <x:c r="BR106" s="19" t="n">
        <x:v>46534000000</x:v>
      </x:c>
      <x:c r="BS106" s="19" t="n">
        <x:v>43768000000</x:v>
      </x:c>
      <x:c r="BT106" s="19" t="n">
        <x:v>11153000000</x:v>
      </x:c>
      <x:c r="BU106" s="19" t="n">
        <x:v>38000000</x:v>
      </x:c>
      <x:c r="BV106" s="19" t="n">
        <x:v>20566000000</x:v>
      </x:c>
      <x:c r="BW106" s="19" t="n">
        <x:v>20397000000</x:v>
      </x:c>
      <x:c r="BX106" s="12" t="n">
        <x:v>654169480</x:v>
      </x:c>
      <x:c r="BY106" s="17" t="n">
        <x:v>0.017873526904990777</x:v>
      </x:c>
      <x:c r="BZ106" s="12" t="n">
        <x:v>5</x:v>
      </x:c>
      <x:c r="CA106" s="12" t="str">
        <x:v>OK</x:v>
      </x:c>
      <x:c r="CB106" s="20" t="str">
        <x:v>https://query1.finance.yahoo.com/v8/finance/chart/CNP?period1=1704067200&amp;period2=1783728000&amp;interval=1d&amp;events=div%2Csplits</x:v>
      </x:c>
      <x:c r="CC106" s="20" t="str">
        <x:v>https://data.sec.gov/api/xbrl/companyfacts/CIK0001130310.json</x:v>
      </x:c>
      <x:c r="CD106" s="20" t="str">
        <x:v>https://data.sec.gov/submissions/CIK0001130310.json</x:v>
      </x:c>
      <x:c r="CE106" s="20" t="str">
        <x:v>https://api.nasdaq.com/api/screener/stocks?tableonly=true&amp;limit=25000&amp;download=true</x:v>
      </x:c>
    </x:row>
    <x:row r="107">
      <x:c r="A107" s="12" t="str">
        <x:v>CE</x:v>
      </x:c>
      <x:c r="B107" s="12" t="str">
        <x:v>Celanese Corp.</x:v>
      </x:c>
      <x:c r="C107" s="12" t="str">
        <x:v>Long</x:v>
      </x:c>
      <x:c r="D107" s="14" t="n">
        <x:v>0.00355</x:v>
      </x:c>
      <x:c r="E107" s="15" t="n">
        <x:v>-0.03803466978720145</x:v>
      </x:c>
      <x:c r="F107" s="15" t="n">
        <x:v>-0.3821796284199904</x:v>
      </x:c>
      <x:c r="G107" s="12" t="str">
        <x:v>Low Beta</x:v>
      </x:c>
      <x:c r="H107" s="12" t="str">
        <x:v>Low Bad Beta</x:v>
      </x:c>
      <x:c r="I107" s="12" t="str">
        <x:v>Low Beta / Low Bad Beta</x:v>
      </x:c>
      <x:c r="J107" s="15" t="n">
        <x:v>1</x:v>
      </x:c>
      <x:c r="K107" s="18" t="n">
        <x:v>46213</x:v>
      </x:c>
      <x:c r="L107" s="15" t="n">
        <x:v>46.91999816894531</x:v>
      </x:c>
      <x:c r="M107" s="19" t="n">
        <x:v>5178637944</x:v>
      </x:c>
      <x:c r="N107" s="12" t="str">
        <x:v>Nasdaq screener</x:v>
      </x:c>
      <x:c r="O107" s="12" t="str">
        <x:v>Industrials</x:v>
      </x:c>
      <x:c r="P107" s="12" t="str">
        <x:v>Major Chemicals</x:v>
      </x:c>
      <x:c r="Q107" s="12" t="n">
        <x:v>2820</x:v>
      </x:c>
      <x:c r="R107" s="12" t="str">
        <x:v>Plastic Material, Synth Resin/Rubber, Cellulos (No Glass)</x:v>
      </x:c>
      <x:c r="S107" s="18" t="n">
        <x:v>46112</x:v>
      </x:c>
      <x:c r="T107" s="18" t="n">
        <x:v>46022</x:v>
      </x:c>
      <x:c r="U107" s="15" t="n">
        <x:v>-1.9093004529684947</x:v>
      </x:c>
      <x:c r="V107" s="16" t="n">
        <x:v>0.04310344827586207</x:v>
      </x:c>
      <x:c r="W107" s="17" t="n">
        <x:v>-0.2704371449740677</x:v>
      </x:c>
      <x:c r="X107" s="15" t="n">
        <x:v>-1.029601712582685</x:v>
      </x:c>
      <x:c r="Y107" s="17"/>
      <x:c r="Z107" s="15"/>
      <x:c r="AA107" s="17" t="n">
        <x:v>3.1153371202766116</x:v>
      </x:c>
      <x:c r="AB107" s="15" t="n">
        <x:v>-2.788999193354304</x:v>
      </x:c>
      <x:c r="AC107" s="13" t="b">
        <x:v>0</x:v>
      </x:c>
      <x:c r="AD107" s="15" t="n">
        <x:v>0.04868672010884699</x:v>
      </x:c>
      <x:c r="AE107" s="16" t="n">
        <x:v>0.3181818181818182</x:v>
      </x:c>
      <x:c r="AF107" s="15" t="n">
        <x:v>0.5900000000000001</x:v>
      </x:c>
      <x:c r="AG107" s="12" t="n">
        <x:v>8</x:v>
      </x:c>
      <x:c r="AH107" s="12" t="n">
        <x:v>68</x:v>
      </x:c>
      <x:c r="AI107" s="17" t="n">
        <x:v>-0.12159190663885777</x:v>
      </x:c>
      <x:c r="AJ107" s="16" t="n">
        <x:v>0.0782608695652174</x:v>
      </x:c>
      <x:c r="AK107" s="18" t="n">
        <x:v>46147</x:v>
      </x:c>
      <x:c r="AL107" s="18" t="n">
        <x:v>46147</x:v>
      </x:c>
      <x:c r="AM107" s="12" t="str">
        <x:v>2026-05-04 to 2026-05-05 to 2026-05-06</x:v>
      </x:c>
      <x:c r="AN107" s="12" t="str">
        <x:v>8-K Item 2.02 filing date</x:v>
      </x:c>
      <x:c r="AO107" s="12" t="str">
        <x:v>SUE + CAR3</x:v>
      </x:c>
      <x:c r="AP107" s="17" t="n">
        <x:v>-0.21144555997946785</x:v>
      </x:c>
      <x:c r="AQ107" s="16" t="n">
        <x:v>0</x:v>
      </x:c>
      <x:c r="AR107" s="17" t="n">
        <x:v>0.16954264991960982</x:v>
      </x:c>
      <x:c r="AS107" s="16" t="n">
        <x:v>0.95</x:v>
      </x:c>
      <x:c r="AT107" s="17" t="n">
        <x:v>0.7818658195039866</x:v>
      </x:c>
      <x:c r="AU107" s="16" t="n">
        <x:v>0.9137931034482759</x:v>
      </x:c>
      <x:c r="AV107" s="17" t="n">
        <x:v>0.5334790731916665</x:v>
      </x:c>
      <x:c r="AW107" s="16" t="n">
        <x:v>0.7043478260869566</x:v>
      </x:c>
      <x:c r="AX107" s="17" t="n">
        <x:v>-0.05004816533847101</x:v>
      </x:c>
      <x:c r="AY107" s="16" t="n">
        <x:v>0.9741379310344828</x:v>
      </x:c>
      <x:c r="AZ107" s="17" t="n">
        <x:v>0.013787528349763097</x:v>
      </x:c>
      <x:c r="BA107" s="16" t="n">
        <x:v>0.6799999999999999</x:v>
      </x:c>
      <x:c r="BB107" s="17" t="n">
        <x:v>-0.014482572601333414</x:v>
      </x:c>
      <x:c r="BC107" s="16" t="n">
        <x:v>0.13793103448275862</x:v>
      </x:c>
      <x:c r="BD107" s="17" t="n">
        <x:v>0.002510312584231125</x:v>
      </x:c>
      <x:c r="BE107" s="17" t="n">
        <x:v>-0.00019310096801777884</x:v>
      </x:c>
      <x:c r="BF107" s="17" t="n">
        <x:v>-0.0023475348097918847</x:v>
      </x:c>
      <x:c r="BG107" s="17" t="n">
        <x:v>-0.00019310096801777884</x:v>
      </x:c>
      <x:c r="BH107" s="12" t="str">
        <x:v>cash repurchases less issuance</x:v>
      </x:c>
      <x:c r="BI107" s="17" t="n">
        <x:v>-0.01679978421754676</x:v>
      </x:c>
      <x:c r="BJ107" s="19" t="n">
        <x:v>13000000</x:v>
      </x:c>
      <x:c r="BK107" s="19" t="n">
        <x:v>0</x:v>
      </x:c>
      <x:c r="BL107" s="19" t="n">
        <x:v>1000000</x:v>
      </x:c>
      <x:c r="BM107" s="19" t="n">
        <x:v>9492000000</x:v>
      </x:c>
      <x:c r="BN107" s="19" t="n">
        <x:v>-1095000000</x:v>
      </x:c>
      <x:c r="BO107" s="19" t="n">
        <x:v>1185000000</x:v>
      </x:c>
      <x:c r="BP107" s="19" t="n">
        <x:v>307000000</x:v>
      </x:c>
      <x:c r="BQ107" s="19" t="n">
        <x:v>878000000</x:v>
      </x:c>
      <x:c r="BR107" s="19" t="n">
        <x:v>21695000000</x:v>
      </x:c>
      <x:c r="BS107" s="19" t="n">
        <x:v>22838000000</x:v>
      </x:c>
      <x:c r="BT107" s="19" t="n">
        <x:v>4049000000</x:v>
      </x:c>
      <x:c r="BU107" s="19"/>
      <x:c r="BV107" s="19" t="n">
        <x:v>12614000000</x:v>
      </x:c>
      <x:c r="BW107" s="19" t="n">
        <x:v>12527000000</x:v>
      </x:c>
      <x:c r="BX107" s="12" t="n">
        <x:v>109662539</x:v>
      </x:c>
      <x:c r="BY107" s="17" t="n">
        <x:v>0.0023475348097918847</x:v>
      </x:c>
      <x:c r="BZ107" s="12" t="n">
        <x:v>5</x:v>
      </x:c>
      <x:c r="CA107" s="12" t="str">
        <x:v>OK</x:v>
      </x:c>
      <x:c r="CB107" s="20" t="str">
        <x:v>https://query1.finance.yahoo.com/v8/finance/chart/CE?period1=1704067200&amp;period2=1783728000&amp;interval=1d&amp;events=div%2Csplits</x:v>
      </x:c>
      <x:c r="CC107" s="20" t="str">
        <x:v>https://data.sec.gov/api/xbrl/companyfacts/CIK0001306830.json</x:v>
      </x:c>
      <x:c r="CD107" s="20" t="str">
        <x:v>https://data.sec.gov/submissions/CIK0001306830.json</x:v>
      </x:c>
      <x:c r="CE107" s="20" t="str">
        <x:v>https://api.nasdaq.com/api/screener/stocks?tableonly=true&amp;limit=25000&amp;download=true</x:v>
      </x:c>
    </x:row>
    <x:row r="108">
      <x:c r="A108" s="12" t="str">
        <x:v>DUK</x:v>
      </x:c>
      <x:c r="B108" s="12" t="str">
        <x:v>Duke Energy Corp.</x:v>
      </x:c>
      <x:c r="C108" s="12" t="str">
        <x:v>Long</x:v>
      </x:c>
      <x:c r="D108" s="14" t="n">
        <x:v>0.0041</x:v>
      </x:c>
      <x:c r="E108" s="15" t="n">
        <x:v>0.06386806150342139</x:v>
      </x:c>
      <x:c r="F108" s="15" t="n">
        <x:v>-0.01146342389453718</x:v>
      </x:c>
      <x:c r="G108" s="12" t="str">
        <x:v>Low Beta</x:v>
      </x:c>
      <x:c r="H108" s="12" t="str">
        <x:v>Low Bad Beta</x:v>
      </x:c>
      <x:c r="I108" s="12" t="str">
        <x:v>Low Beta / Low Bad Beta</x:v>
      </x:c>
      <x:c r="J108" s="15" t="n">
        <x:v>1</x:v>
      </x:c>
      <x:c r="K108" s="18" t="n">
        <x:v>46213</x:v>
      </x:c>
      <x:c r="L108" s="15" t="n">
        <x:v>125.4800033569336</x:v>
      </x:c>
      <x:c r="M108" s="19" t="n">
        <x:v>97956264666</x:v>
      </x:c>
      <x:c r="N108" s="12" t="str">
        <x:v>Nasdaq screener</x:v>
      </x:c>
      <x:c r="O108" s="12" t="str">
        <x:v>Utilities</x:v>
      </x:c>
      <x:c r="P108" s="12" t="str">
        <x:v>Power Generation</x:v>
      </x:c>
      <x:c r="Q108" s="12" t="n">
        <x:v>4931</x:v>
      </x:c>
      <x:c r="R108" s="12" t="str">
        <x:v>Electric &amp; Other Services Combined</x:v>
      </x:c>
      <x:c r="S108" s="18" t="n">
        <x:v>46112</x:v>
      </x:c>
      <x:c r="T108" s="18" t="n">
        <x:v>46022</x:v>
      </x:c>
      <x:c r="U108" s="15" t="n">
        <x:v>-0.9083831318722817</x:v>
      </x:c>
      <x:c r="V108" s="16" t="n">
        <x:v>0.1206896551724138</x:v>
      </x:c>
      <x:c r="W108" s="17" t="n">
        <x:v>0.09912812005709656</x:v>
      </x:c>
      <x:c r="X108" s="15" t="n">
        <x:v>-0.622875857725992</x:v>
      </x:c>
      <x:c r="Y108" s="17"/>
      <x:c r="Z108" s="15"/>
      <x:c r="AA108" s="17" t="n">
        <x:v>1.6822653447012075</x:v>
      </x:c>
      <x:c r="AB108" s="15" t="n">
        <x:v>-1.1938904060185713</x:v>
      </x:c>
      <x:c r="AC108" s="13" t="b">
        <x:v>0</x:v>
      </x:c>
      <x:c r="AD108" s="15" t="n">
        <x:v>0.44352393019700775</x:v>
      </x:c>
      <x:c r="AE108" s="16" t="n">
        <x:v>0.509090909090909</x:v>
      </x:c>
      <x:c r="AF108" s="15" t="n">
        <x:v>0.20999999999999996</x:v>
      </x:c>
      <x:c r="AG108" s="12" t="n">
        <x:v>8</x:v>
      </x:c>
      <x:c r="AH108" s="12" t="n">
        <x:v>66</x:v>
      </x:c>
      <x:c r="AI108" s="17" t="n">
        <x:v>-0.04237037342722516</x:v>
      </x:c>
      <x:c r="AJ108" s="16" t="n">
        <x:v>0.3217391304347826</x:v>
      </x:c>
      <x:c r="AK108" s="18" t="n">
        <x:v>46147</x:v>
      </x:c>
      <x:c r="AL108" s="18" t="n">
        <x:v>46147</x:v>
      </x:c>
      <x:c r="AM108" s="12" t="str">
        <x:v>2026-05-04 to 2026-05-05 to 2026-05-06</x:v>
      </x:c>
      <x:c r="AN108" s="12" t="str">
        <x:v>8-K Item 2.02 filing date</x:v>
      </x:c>
      <x:c r="AO108" s="12" t="str">
        <x:v>SUE + CAR3</x:v>
      </x:c>
      <x:c r="AP108" s="17" t="n">
        <x:v>0.05246218827884435</x:v>
      </x:c>
      <x:c r="AQ108" s="16" t="n">
        <x:v>0.5948275862068966</x:v>
      </x:c>
      <x:c r="AR108" s="17" t="n">
        <x:v>-0.033678295219285365</x:v>
      </x:c>
      <x:c r="AS108" s="16" t="n">
        <x:v>0.08</x:v>
      </x:c>
      <x:c r="AT108" s="17" t="n">
        <x:v>0.5292361869530743</x:v>
      </x:c>
      <x:c r="AU108" s="16" t="n">
        <x:v>0.7068965517241379</x:v>
      </x:c>
      <x:c r="AV108" s="17" t="n">
        <x:v>0.12298614801700247</x:v>
      </x:c>
      <x:c r="AW108" s="16" t="n">
        <x:v>0.1565217391304348</x:v>
      </x:c>
      <x:c r="AX108" s="17" t="n">
        <x:v>0.05040704507279581</x:v>
      </x:c>
      <x:c r="AY108" s="16" t="n">
        <x:v>0.6551724137931034</x:v>
      </x:c>
      <x:c r="AZ108" s="17" t="n">
        <x:v>0.07832935073636604</x:v>
      </x:c>
      <x:c r="BA108" s="16" t="n">
        <x:v>0.18000000000000005</x:v>
      </x:c>
      <x:c r="BB108" s="17" t="n">
        <x:v>-0.017752820668789707</x:v>
      </x:c>
      <x:c r="BC108" s="16" t="n">
        <x:v>0.1206896551724138</x:v>
      </x:c>
      <x:c r="BD108" s="17" t="n">
        <x:v>0.033688503856817736</x:v>
      </x:c>
      <x:c r="BE108" s="17" t="n">
        <x:v>0.015149618098035613</x:v>
      </x:c>
      <x:c r="BF108" s="17" t="n">
        <x:v>-0.006476683937823857</x:v>
      </x:c>
      <x:c r="BG108" s="17" t="n">
        <x:v>0.015149618098035613</x:v>
      </x:c>
      <x:c r="BH108" s="12" t="str">
        <x:v>cash repurchases less issuance</x:v>
      </x:c>
      <x:c r="BI108" s="17" t="n">
        <x:v>-0.06659094262364305</x:v>
      </x:c>
      <x:c r="BJ108" s="19" t="n">
        <x:v>3300000000</x:v>
      </x:c>
      <x:c r="BK108" s="19" t="n">
        <x:v>1500000000</x:v>
      </x:c>
      <x:c r="BL108" s="19" t="n">
        <x:v>16000000</x:v>
      </x:c>
      <x:c r="BM108" s="19" t="n">
        <x:v>22743000000</x:v>
      </x:c>
      <x:c r="BN108" s="19" t="n">
        <x:v>5139000000</x:v>
      </x:c>
      <x:c r="BO108" s="19" t="n">
        <x:v>11665000000</x:v>
      </x:c>
      <x:c r="BP108" s="19" t="n">
        <x:v>14964000000</x:v>
      </x:c>
      <x:c r="BQ108" s="19" t="n">
        <x:v>-3299000000</x:v>
      </x:c>
      <x:c r="BR108" s="19" t="n">
        <x:v>195736000000</x:v>
      </x:c>
      <x:c r="BS108" s="19" t="n">
        <x:v>186343000000</x:v>
      </x:c>
      <x:c r="BT108" s="19" t="n">
        <x:v>51842000000</x:v>
      </x:c>
      <x:c r="BU108" s="19" t="n">
        <x:v>245000000</x:v>
      </x:c>
      <x:c r="BV108" s="19" t="n">
        <x:v>87212000000</x:v>
      </x:c>
      <x:c r="BW108" s="19" t="n">
        <x:v>80689000000</x:v>
      </x:c>
      <x:c r="BX108" s="12" t="n">
        <x:v>779596217</x:v>
      </x:c>
      <x:c r="BY108" s="17" t="n">
        <x:v>0.006476683937823857</x:v>
      </x:c>
      <x:c r="BZ108" s="12" t="n">
        <x:v>5</x:v>
      </x:c>
      <x:c r="CA108" s="12" t="str">
        <x:v>OK</x:v>
      </x:c>
      <x:c r="CB108" s="20" t="str">
        <x:v>https://query1.finance.yahoo.com/v8/finance/chart/DUK?period1=1704067200&amp;period2=1783728000&amp;interval=1d&amp;events=div%2Csplits</x:v>
      </x:c>
      <x:c r="CC108" s="20" t="str">
        <x:v>https://data.sec.gov/api/xbrl/companyfacts/CIK0001326160.json</x:v>
      </x:c>
      <x:c r="CD108" s="20" t="str">
        <x:v>https://data.sec.gov/submissions/CIK0001326160.json</x:v>
      </x:c>
      <x:c r="CE108" s="20" t="str">
        <x:v>https://api.nasdaq.com/api/screener/stocks?tableonly=true&amp;limit=25000&amp;download=true</x:v>
      </x:c>
    </x:row>
    <x:row r="109">
      <x:c r="A109" s="12" t="str">
        <x:v>EIX</x:v>
      </x:c>
      <x:c r="B109" s="12" t="str">
        <x:v>Edison International</x:v>
      </x:c>
      <x:c r="C109" s="12" t="str">
        <x:v>Short</x:v>
      </x:c>
      <x:c r="D109" s="14" t="n">
        <x:v>-0.00375</x:v>
      </x:c>
      <x:c r="E109" s="15" t="n">
        <x:v>0.24531301035200592</x:v>
      </x:c>
      <x:c r="F109" s="15" t="n">
        <x:v>-0.06045813110505138</x:v>
      </x:c>
      <x:c r="G109" s="12" t="str">
        <x:v>Low Beta</x:v>
      </x:c>
      <x:c r="H109" s="12" t="str">
        <x:v>Low Bad Beta</x:v>
      </x:c>
      <x:c r="I109" s="12" t="str">
        <x:v>Low Beta / Low Bad Beta</x:v>
      </x:c>
      <x:c r="J109" s="15" t="n">
        <x:v>1</x:v>
      </x:c>
      <x:c r="K109" s="18" t="n">
        <x:v>46213</x:v>
      </x:c>
      <x:c r="L109" s="15" t="n">
        <x:v>75.19999694824219</x:v>
      </x:c>
      <x:c r="M109" s="19" t="n">
        <x:v>29544478790</x:v>
      </x:c>
      <x:c r="N109" s="12" t="str">
        <x:v>Nasdaq screener</x:v>
      </x:c>
      <x:c r="O109" s="12" t="str">
        <x:v>Utilities</x:v>
      </x:c>
      <x:c r="P109" s="12" t="str">
        <x:v>Electric Utilities: Central</x:v>
      </x:c>
      <x:c r="Q109" s="12" t="n">
        <x:v>4911</x:v>
      </x:c>
      <x:c r="R109" s="12" t="str">
        <x:v>Electric Services</x:v>
      </x:c>
      <x:c r="S109" s="18" t="n">
        <x:v>46112</x:v>
      </x:c>
      <x:c r="T109" s="18" t="n">
        <x:v>46022</x:v>
      </x:c>
      <x:c r="U109" s="15" t="n">
        <x:v>-0.6230504954854673</x:v>
      </x:c>
      <x:c r="V109" s="16" t="n">
        <x:v>0.2068965517241379</x:v>
      </x:c>
      <x:c r="W109" s="17" t="n">
        <x:v>0.20217304738608566</x:v>
      </x:c>
      <x:c r="X109" s="15" t="n">
        <x:v>-0.024222927291969655</x:v>
      </x:c>
      <x:c r="Y109" s="17" t="n">
        <x:v>0.04419698783441441</x:v>
      </x:c>
      <x:c r="Z109" s="15" t="n">
        <x:v>-0.1175537938433528</x:v>
      </x:c>
      <x:c r="AA109" s="17" t="n">
        <x:v>2.1615564025257408</x:v>
      </x:c>
      <x:c r="AB109" s="15" t="n">
        <x:v>-1.7273747653210794</x:v>
      </x:c>
      <x:c r="AC109" s="13" t="b">
        <x:v>0</x:v>
      </x:c>
      <x:c r="AD109" s="15" t="n">
        <x:v>-1.123129885660584</x:v>
      </x:c>
      <x:c r="AE109" s="16" t="n">
        <x:v>0.09090909090909091</x:v>
      </x:c>
      <x:c r="AF109" s="15" t="n">
        <x:v>-2.35</x:v>
      </x:c>
      <x:c r="AG109" s="12" t="n">
        <x:v>8</x:v>
      </x:c>
      <x:c r="AH109" s="12" t="n">
        <x:v>68</x:v>
      </x:c>
      <x:c r="AI109" s="17" t="n">
        <x:v>-0.00817507412781815</x:v>
      </x:c>
      <x:c r="AJ109" s="16" t="n">
        <x:v>0.5739130434782609</x:v>
      </x:c>
      <x:c r="AK109" s="18" t="n">
        <x:v>46140</x:v>
      </x:c>
      <x:c r="AL109" s="18" t="n">
        <x:v>46140</x:v>
      </x:c>
      <x:c r="AM109" s="12" t="str">
        <x:v>2026-04-27 to 2026-04-28 to 2026-04-29</x:v>
      </x:c>
      <x:c r="AN109" s="12" t="str">
        <x:v>8-K Item 2.02 filing date</x:v>
      </x:c>
      <x:c r="AO109" s="12" t="str">
        <x:v>SUE + CAR3</x:v>
      </x:c>
      <x:c r="AP109" s="17" t="n">
        <x:v>0.12029320352075164</x:v>
      </x:c>
      <x:c r="AQ109" s="16" t="n">
        <x:v>0.9051724137931034</x:v>
      </x:c>
      <x:c r="AR109" s="17" t="n">
        <x:v>-0.021763795684818038</x:v>
      </x:c>
      <x:c r="AS109" s="16" t="n">
        <x:v>0.12</x:v>
      </x:c>
      <x:c r="AT109" s="17" t="n">
        <x:v>0.5950011887144887</x:v>
      </x:c>
      <x:c r="AU109" s="16" t="n">
        <x:v>0.7931034482758621</x:v>
      </x:c>
      <x:c r="AV109" s="17" t="n">
        <x:v>0.29100173143893215</x:v>
      </x:c>
      <x:c r="AW109" s="16" t="n">
        <x:v>0.5130434782608696</x:v>
      </x:c>
      <x:c r="AX109" s="17" t="n">
        <x:v>0.09870412133817874</x:v>
      </x:c>
      <x:c r="AY109" s="16" t="n">
        <x:v>0.2931034482758621</x:v>
      </x:c>
      <x:c r="AZ109" s="17" t="n">
        <x:v>0.07400684836168259</x:v>
      </x:c>
      <x:c r="BA109" s="16" t="n">
        <x:v>0.20999999999999996</x:v>
      </x:c>
      <x:c r="BB109" s="17" t="n">
        <x:v>-0.03821356971719994</x:v>
      </x:c>
      <x:c r="BC109" s="16" t="n">
        <x:v>0.07758620689655173</x:v>
      </x:c>
      <x:c r="BD109" s="17" t="n">
        <x:v>0.04312142410957726</x:v>
      </x:c>
      <x:c r="BE109" s="17" t="n">
        <x:v>0.0004061672600588125</x:v>
      </x:c>
      <x:c r="BF109" s="17" t="n">
        <x:v>0.005154639175257714</x:v>
      </x:c>
      <x:c r="BG109" s="17" t="n">
        <x:v>0.0004061672600588125</x:v>
      </x:c>
      <x:c r="BH109" s="12" t="str">
        <x:v>cash repurchases less issuance</x:v>
      </x:c>
      <x:c r="BI109" s="17" t="n">
        <x:v>-0.08174116108683602</x:v>
      </x:c>
      <x:c r="BJ109" s="19" t="n">
        <x:v>1274000000</x:v>
      </x:c>
      <x:c r="BK109" s="19" t="n">
        <x:v>32000000</x:v>
      </x:c>
      <x:c r="BL109" s="19" t="n">
        <x:v>20000000</x:v>
      </x:c>
      <x:c r="BM109" s="19" t="n">
        <x:v>19609000000</x:v>
      </x:c>
      <x:c r="BN109" s="19" t="n">
        <x:v>3554000000</x:v>
      </x:c>
      <x:c r="BO109" s="19" t="n">
        <x:v>6003000000</x:v>
      </x:c>
      <x:c r="BP109" s="19" t="n">
        <x:v>6646000000</x:v>
      </x:c>
      <x:c r="BQ109" s="19" t="n">
        <x:v>-643000000</x:v>
      </x:c>
      <x:c r="BR109" s="19" t="n">
        <x:v>94026000000</x:v>
      </x:c>
      <x:c r="BS109" s="19" t="n">
        <x:v>85579000000</x:v>
      </x:c>
      <x:c r="BT109" s="19" t="n">
        <x:v>17579000000</x:v>
      </x:c>
      <x:c r="BU109" s="19" t="n">
        <x:v>158000000</x:v>
      </x:c>
      <x:c r="BV109" s="19" t="n">
        <x:v>37998000000</x:v>
      </x:c>
      <x:c r="BW109" s="19" t="n">
        <x:v>35583000000</x:v>
      </x:c>
      <x:c r="BX109" s="12" t="n">
        <x:v>384793941</x:v>
      </x:c>
      <x:c r="BY109" s="17" t="n">
        <x:v>-0.005154639175257714</x:v>
      </x:c>
      <x:c r="BZ109" s="12" t="n">
        <x:v>5</x:v>
      </x:c>
      <x:c r="CA109" s="12" t="str">
        <x:v>OK</x:v>
      </x:c>
      <x:c r="CB109" s="20" t="str">
        <x:v>https://query1.finance.yahoo.com/v8/finance/chart/EIX?period1=1704067200&amp;period2=1783728000&amp;interval=1d&amp;events=div%2Csplits</x:v>
      </x:c>
      <x:c r="CC109" s="20" t="str">
        <x:v>https://data.sec.gov/api/xbrl/companyfacts/CIK0000827052.json</x:v>
      </x:c>
      <x:c r="CD109" s="20" t="str">
        <x:v>https://data.sec.gov/submissions/CIK0000827052.json</x:v>
      </x:c>
      <x:c r="CE109" s="20" t="str">
        <x:v>https://api.nasdaq.com/api/screener/stocks?tableonly=true&amp;limit=25000&amp;download=true</x:v>
      </x:c>
    </x:row>
    <x:row r="110">
      <x:c r="A110" s="12" t="str">
        <x:v>WTRG</x:v>
      </x:c>
      <x:c r="B110" s="12" t="str">
        <x:v>Essential Utilities Inc.</x:v>
      </x:c>
      <x:c r="C110" s="12" t="str">
        <x:v>Long</x:v>
      </x:c>
      <x:c r="D110" s="14" t="n">
        <x:v>0.004179</x:v>
      </x:c>
      <x:c r="E110" s="15" t="n">
        <x:v>0.17660457119115475</x:v>
      </x:c>
      <x:c r="F110" s="15" t="n">
        <x:v>0.029320476213381512</x:v>
      </x:c>
      <x:c r="G110" s="12" t="str">
        <x:v>Low Beta</x:v>
      </x:c>
      <x:c r="H110" s="12" t="str">
        <x:v>Low Bad Beta</x:v>
      </x:c>
      <x:c r="I110" s="12" t="str">
        <x:v>Low Beta / Low Bad Beta</x:v>
      </x:c>
      <x:c r="J110" s="15" t="n">
        <x:v>1</x:v>
      </x:c>
      <x:c r="K110" s="18" t="n">
        <x:v>46213</x:v>
      </x:c>
      <x:c r="L110" s="15" t="n">
        <x:v>38.58000183105469</x:v>
      </x:c>
      <x:c r="M110" s="19" t="n">
        <x:v>10939724154</x:v>
      </x:c>
      <x:c r="N110" s="12" t="str">
        <x:v>Nasdaq screener</x:v>
      </x:c>
      <x:c r="O110" s="12" t="str">
        <x:v>Utilities</x:v>
      </x:c>
      <x:c r="P110" s="12" t="str">
        <x:v>Water Supply</x:v>
      </x:c>
      <x:c r="Q110" s="12" t="n">
        <x:v>4941</x:v>
      </x:c>
      <x:c r="R110" s="12" t="str">
        <x:v>Water Supply</x:v>
      </x:c>
      <x:c r="S110" s="18" t="n">
        <x:v>46112</x:v>
      </x:c>
      <x:c r="T110" s="18" t="n">
        <x:v>46022</x:v>
      </x:c>
      <x:c r="U110" s="15" t="n">
        <x:v>-0.6841325469234678</x:v>
      </x:c>
      <x:c r="V110" s="16" t="n">
        <x:v>0.1810344827586207</x:v>
      </x:c>
      <x:c r="W110" s="17" t="n">
        <x:v>0.08122137422391044</x:v>
      </x:c>
      <x:c r="X110" s="15" t="n">
        <x:v>-0.7269074306082632</x:v>
      </x:c>
      <x:c r="Y110" s="17"/>
      <x:c r="Z110" s="15"/>
      <x:c r="AA110" s="17" t="n">
        <x:v>1.185860908185193</x:v>
      </x:c>
      <x:c r="AB110" s="15" t="n">
        <x:v>-0.6413576632386725</x:v>
      </x:c>
      <x:c r="AC110" s="13" t="b">
        <x:v>0</x:v>
      </x:c>
      <x:c r="AD110" s="15" t="n">
        <x:v>-1.6131118123875607</x:v>
      </x:c>
      <x:c r="AE110" s="16" t="n">
        <x:v>0.06363636363636363</x:v>
      </x:c>
      <x:c r="AF110" s="15" t="n">
        <x:v>-0.24</x:v>
      </x:c>
      <x:c r="AG110" s="12" t="n">
        <x:v>8</x:v>
      </x:c>
      <x:c r="AH110" s="12" t="n">
        <x:v>63</x:v>
      </x:c>
      <x:c r="AI110" s="17" t="n">
        <x:v>-0.016971946666313298</x:v>
      </x:c>
      <x:c r="AJ110" s="16" t="n">
        <x:v>0.5130434782608696</x:v>
      </x:c>
      <x:c r="AK110" s="18" t="n">
        <x:v>46149</x:v>
      </x:c>
      <x:c r="AL110" s="18" t="n">
        <x:v>46149</x:v>
      </x:c>
      <x:c r="AM110" s="12" t="str">
        <x:v>2026-05-06 to 2026-05-07 to 2026-05-08</x:v>
      </x:c>
      <x:c r="AN110" s="12" t="str">
        <x:v>8-K Item 2.02 filing date</x:v>
      </x:c>
      <x:c r="AO110" s="12" t="str">
        <x:v>SUE + CAR3</x:v>
      </x:c>
      <x:c r="AP110" s="17" t="n">
        <x:v>0.05091280110535043</x:v>
      </x:c>
      <x:c r="AQ110" s="16" t="n">
        <x:v>0.5517241379310345</x:v>
      </x:c>
      <x:c r="AR110" s="17" t="n">
        <x:v>0.04393255197611814</x:v>
      </x:c>
      <x:c r="AS110" s="16" t="n">
        <x:v>0.38</x:v>
      </x:c>
      <x:c r="AT110" s="17" t="n">
        <x:v>0.6268399370465516</x:v>
      </x:c>
      <x:c r="AU110" s="16" t="n">
        <x:v>0.8275862068965517</x:v>
      </x:c>
      <x:c r="AV110" s="17" t="n">
        <x:v>0.13409448418820832</x:v>
      </x:c>
      <x:c r="AW110" s="16" t="n">
        <x:v>0.17391304347826086</x:v>
      </x:c>
      <x:c r="AX110" s="17" t="n">
        <x:v>0.07978735148159766</x:v>
      </x:c>
      <x:c r="AY110" s="16" t="n">
        <x:v>0.3706896551724138</x:v>
      </x:c>
      <x:c r="AZ110" s="17" t="n">
        <x:v>0.026445372177229236</x:v>
      </x:c>
      <x:c r="BA110" s="16" t="n">
        <x:v>0.49</x:v>
      </x:c>
      <x:c r="BB110" s="17" t="n">
        <x:v>-0.022455045167677275</x:v>
      </x:c>
      <x:c r="BC110" s="16" t="n">
        <x:v>0.11206896551724138</x:v>
      </x:c>
      <x:c r="BD110" s="17" t="n">
        <x:v>0.03417097129120172</x:v>
      </x:c>
      <x:c r="BE110" s="17" t="n">
        <x:v>0.00012139245755245393</x:v>
      </x:c>
      <x:c r="BF110" s="17" t="n">
        <x:v>-0.022585735056719347</x:v>
      </x:c>
      <x:c r="BG110" s="17" t="n">
        <x:v>0.00012139245755245393</x:v>
      </x:c>
      <x:c r="BH110" s="12" t="str">
        <x:v>cash repurchases less issuance</x:v>
      </x:c>
      <x:c r="BI110" s="17" t="n">
        <x:v>-0.056747408916431444</x:v>
      </x:c>
      <x:c r="BJ110" s="19" t="n">
        <x:v>373821000</x:v>
      </x:c>
      <x:c r="BK110" s="19" t="n">
        <x:v>2284000</x:v>
      </x:c>
      <x:c r="BL110" s="19" t="n">
        <x:v>956000</x:v>
      </x:c>
      <x:c r="BM110" s="19" t="n">
        <x:v>2552748000</x:v>
      </x:c>
      <x:c r="BN110" s="19" t="n">
        <x:v>556972000</x:v>
      </x:c>
      <x:c r="BO110" s="19" t="n">
        <x:v>976347000</x:v>
      </x:c>
      <x:c r="BP110" s="19" t="n">
        <x:v>495737000</x:v>
      </x:c>
      <x:c r="BQ110" s="19" t="n">
        <x:v>480610000</x:v>
      </x:c>
      <x:c r="BR110" s="19" t="n">
        <x:v>19464845000</x:v>
      </x:c>
      <x:c r="BS110" s="19" t="n">
        <x:v>18026554000</x:v>
      </x:c>
      <x:c r="BT110" s="19" t="n">
        <x:v>6857456000</x:v>
      </x:c>
      <x:c r="BU110" s="19" t="n">
        <x:v>34778000</x:v>
      </x:c>
      <x:c r="BV110" s="19" t="n">
        <x:v>8131989000</x:v>
      </x:c>
      <x:c r="BW110" s="19" t="n">
        <x:v>7511188000</x:v>
      </x:c>
      <x:c r="BX110" s="12" t="n">
        <x:v>283632983</x:v>
      </x:c>
      <x:c r="BY110" s="17" t="n">
        <x:v>0.022585735056719347</x:v>
      </x:c>
      <x:c r="BZ110" s="12" t="n">
        <x:v>5</x:v>
      </x:c>
      <x:c r="CA110" s="12" t="str">
        <x:v>OK</x:v>
      </x:c>
      <x:c r="CB110" s="20" t="str">
        <x:v>https://query1.finance.yahoo.com/v8/finance/chart/WTRG?period1=1704067200&amp;period2=1783728000&amp;interval=1d&amp;events=div%2Csplits</x:v>
      </x:c>
      <x:c r="CC110" s="20" t="str">
        <x:v>https://data.sec.gov/api/xbrl/companyfacts/CIK0000078128.json</x:v>
      </x:c>
      <x:c r="CD110" s="20" t="str">
        <x:v>https://data.sec.gov/submissions/CIK0000078128.json</x:v>
      </x:c>
      <x:c r="CE110" s="20" t="str">
        <x:v>https://api.nasdaq.com/api/screener/stocks?tableonly=true&amp;limit=25000&amp;download=true</x:v>
      </x:c>
    </x:row>
    <x:row r="111">
      <x:c r="A111" s="12" t="str">
        <x:v>MCD</x:v>
      </x:c>
      <x:c r="B111" s="12" t="str">
        <x:v>McDonald's Corp.</x:v>
      </x:c>
      <x:c r="C111" s="12" t="str">
        <x:v>Long</x:v>
      </x:c>
      <x:c r="D111" s="14" t="n">
        <x:v>0.003778</x:v>
      </x:c>
      <x:c r="E111" s="15" t="n">
        <x:v>0.139461704505625</x:v>
      </x:c>
      <x:c r="F111" s="15" t="n">
        <x:v>0.03974482844154049</x:v>
      </x:c>
      <x:c r="G111" s="12" t="str">
        <x:v>Low Beta</x:v>
      </x:c>
      <x:c r="H111" s="12" t="str">
        <x:v>Low Bad Beta</x:v>
      </x:c>
      <x:c r="I111" s="12" t="str">
        <x:v>Low Beta / Low Bad Beta</x:v>
      </x:c>
      <x:c r="J111" s="15" t="n">
        <x:v>1</x:v>
      </x:c>
      <x:c r="K111" s="18" t="n">
        <x:v>46213</x:v>
      </x:c>
      <x:c r="L111" s="15" t="n">
        <x:v>274.6000061035156</x:v>
      </x:c>
      <x:c r="M111" s="19" t="n">
        <x:v>190436885388</x:v>
      </x:c>
      <x:c r="N111" s="12" t="str">
        <x:v>Nasdaq screener</x:v>
      </x:c>
      <x:c r="O111" s="12" t="str">
        <x:v>Consumer Discretionary</x:v>
      </x:c>
      <x:c r="P111" s="12" t="str">
        <x:v>Restaurants</x:v>
      </x:c>
      <x:c r="Q111" s="12" t="n">
        <x:v>5812</x:v>
      </x:c>
      <x:c r="R111" s="12" t="str">
        <x:v>Retail-Eating  Places</x:v>
      </x:c>
      <x:c r="S111" s="18" t="n">
        <x:v>46112</x:v>
      </x:c>
      <x:c r="T111" s="18" t="n">
        <x:v>46022</x:v>
      </x:c>
      <x:c r="U111" s="15" t="n">
        <x:v>-2.3072417588851586</x:v>
      </x:c>
      <x:c r="V111" s="16" t="n">
        <x:v>0.017241379310344824</x:v>
      </x:c>
      <x:c r="W111" s="17" t="n">
        <x:v>-4.845337800111669</x:v>
      </x:c>
      <x:c r="X111" s="15" t="n">
        <x:v>-1.029601712582685</x:v>
      </x:c>
      <x:c r="Y111" s="17"/>
      <x:c r="Z111" s="15"/>
      <x:c r="AA111" s="17" t="n">
        <x:v>-22.318816303740928</x:v>
      </x:c>
      <x:c r="AB111" s="15" t="n">
        <x:v>-3.5848818051876323</x:v>
      </x:c>
      <x:c r="AC111" s="13" t="b">
        <x:v>0</x:v>
      </x:c>
      <x:c r="AD111" s="15" t="n">
        <x:v>0.8427292439896904</x:v>
      </x:c>
      <x:c r="AE111" s="16" t="n">
        <x:v>0.6363636363636364</x:v>
      </x:c>
      <x:c r="AF111" s="15" t="n">
        <x:v>0.18000000000000016</x:v>
      </x:c>
      <x:c r="AG111" s="12" t="n">
        <x:v>8</x:v>
      </x:c>
      <x:c r="AH111" s="12" t="n">
        <x:v>68</x:v>
      </x:c>
      <x:c r="AI111" s="17" t="n">
        <x:v>-0.049649709206094905</x:v>
      </x:c>
      <x:c r="AJ111" s="16" t="n">
        <x:v>0.2608695652173913</x:v>
      </x:c>
      <x:c r="AK111" s="18" t="n">
        <x:v>46149</x:v>
      </x:c>
      <x:c r="AL111" s="18" t="n">
        <x:v>46149</x:v>
      </x:c>
      <x:c r="AM111" s="12" t="str">
        <x:v>2026-05-06 to 2026-05-07 to 2026-05-08</x:v>
      </x:c>
      <x:c r="AN111" s="12" t="str">
        <x:v>8-K Item 2.02 filing date</x:v>
      </x:c>
      <x:c r="AO111" s="12" t="str">
        <x:v>SUE + CAR3</x:v>
      </x:c>
      <x:c r="AP111" s="17" t="n">
        <x:v>0.045568903221239236</x:v>
      </x:c>
      <x:c r="AQ111" s="16" t="n">
        <x:v>0.46551724137931033</x:v>
      </x:c>
      <x:c r="AR111" s="17" t="n">
        <x:v>0.03696237724986206</x:v>
      </x:c>
      <x:c r="AS111" s="16" t="n">
        <x:v>0.31</x:v>
      </x:c>
      <x:c r="AT111" s="17" t="n">
        <x:v>-0.009404690674030821</x:v>
      </x:c>
      <x:c r="AU111" s="16" t="n">
        <x:v>0.0603448275862069</x:v>
      </x:c>
      <x:c r="AV111" s="17" t="n">
        <x:v>0.11952400189380108</x:v>
      </x:c>
      <x:c r="AW111" s="16" t="n">
        <x:v>0.14782608695652175</x:v>
      </x:c>
      <x:c r="AX111" s="17" t="n">
        <x:v>0.07852198180566128</x:v>
      </x:c>
      <x:c r="AY111" s="16" t="n">
        <x:v>0.4051724137931034</x:v>
      </x:c>
      <x:c r="AZ111" s="17" t="n">
        <x:v>0.06096061797605866</x:v>
      </x:c>
      <x:c r="BA111" s="16" t="n">
        <x:v>0.27</x:v>
      </x:c>
      <x:c r="BB111" s="17" t="n">
        <x:v>0.02802503301356923</x:v>
      </x:c>
      <x:c r="BC111" s="16" t="n">
        <x:v>0.43103448275862066</x:v>
      </x:c>
      <x:c r="BD111" s="17" t="n">
        <x:v>0.026859292461009297</x:v>
      </x:c>
      <x:c r="BE111" s="17" t="n">
        <x:v>0.009299669002629025</x:v>
      </x:c>
      <x:c r="BF111" s="17" t="n">
        <x:v>0.007618783765064419</x:v>
      </x:c>
      <x:c r="BG111" s="17" t="n">
        <x:v>0.009299669002629025</x:v>
      </x:c>
      <x:c r="BH111" s="12" t="str">
        <x:v>cash repurchases less issuance</x:v>
      </x:c>
      <x:c r="BI111" s="17" t="n">
        <x:v>-0.008133928450069092</x:v>
      </x:c>
      <x:c r="BJ111" s="19" t="n">
        <x:v>5115000000</x:v>
      </x:c>
      <x:c r="BK111" s="19" t="n">
        <x:v>2056000000</x:v>
      </x:c>
      <x:c r="BL111" s="19" t="n">
        <x:v>285000000</x:v>
      </x:c>
      <x:c r="BM111" s="19" t="n">
        <x:v>27447000000</x:v>
      </x:c>
      <x:c r="BN111" s="19" t="n">
        <x:v>8678000000</x:v>
      </x:c>
      <x:c r="BO111" s="19" t="n">
        <x:v>10535000000</x:v>
      </x:c>
      <x:c r="BP111" s="19" t="n">
        <x:v>3496000000</x:v>
      </x:c>
      <x:c r="BQ111" s="19" t="n">
        <x:v>7039000000</x:v>
      </x:c>
      <x:c r="BR111" s="19" t="n">
        <x:v>59515000000</x:v>
      </x:c>
      <x:c r="BS111" s="19" t="n">
        <x:v>55182000000</x:v>
      </x:c>
      <x:c r="BT111" s="19" t="n">
        <x:v>-1791000000</x:v>
      </x:c>
      <x:c r="BU111" s="19" t="n">
        <x:v>774000000</x:v>
      </x:c>
      <x:c r="BV111" s="19" t="n">
        <x:v>39973000000</x:v>
      </x:c>
      <x:c r="BW111" s="19" t="n">
        <x:v>38424000000</x:v>
      </x:c>
      <x:c r="BX111" s="12" t="n">
        <x:v>710505859</x:v>
      </x:c>
      <x:c r="BY111" s="17" t="n">
        <x:v>-0.007618783765064419</x:v>
      </x:c>
      <x:c r="BZ111" s="12" t="n">
        <x:v>5</x:v>
      </x:c>
      <x:c r="CA111" s="12" t="str">
        <x:v>OK</x:v>
      </x:c>
      <x:c r="CB111" s="20" t="str">
        <x:v>https://query1.finance.yahoo.com/v8/finance/chart/MCD?period1=1704067200&amp;period2=1783728000&amp;interval=1d&amp;events=div%2Csplits</x:v>
      </x:c>
      <x:c r="CC111" s="20" t="str">
        <x:v>https://data.sec.gov/api/xbrl/companyfacts/CIK0000063908.json</x:v>
      </x:c>
      <x:c r="CD111" s="20" t="str">
        <x:v>https://data.sec.gov/submissions/CIK0000063908.json</x:v>
      </x:c>
      <x:c r="CE111" s="20" t="str">
        <x:v>https://api.nasdaq.com/api/screener/stocks?tableonly=true&amp;limit=25000&amp;download=true</x:v>
      </x:c>
    </x:row>
    <x:row r="112">
      <x:c r="A112" s="12" t="str">
        <x:v>CMS</x:v>
      </x:c>
      <x:c r="B112" s="12" t="str">
        <x:v>CMS Energy Corp.</x:v>
      </x:c>
      <x:c r="C112" s="12" t="str">
        <x:v>Long</x:v>
      </x:c>
      <x:c r="D112" s="14" t="n">
        <x:v>0.004149</x:v>
      </x:c>
      <x:c r="E112" s="15" t="n">
        <x:v>0.09774596917094862</x:v>
      </x:c>
      <x:c r="F112" s="15" t="n">
        <x:v>-0.01220974383182669</x:v>
      </x:c>
      <x:c r="G112" s="12" t="str">
        <x:v>Low Beta</x:v>
      </x:c>
      <x:c r="H112" s="12" t="str">
        <x:v>Low Bad Beta</x:v>
      </x:c>
      <x:c r="I112" s="12" t="str">
        <x:v>Low Beta / Low Bad Beta</x:v>
      </x:c>
      <x:c r="J112" s="15" t="n">
        <x:v>1</x:v>
      </x:c>
      <x:c r="K112" s="18" t="n">
        <x:v>46213</x:v>
      </x:c>
      <x:c r="L112" s="15" t="n">
        <x:v>75.4000015258789</x:v>
      </x:c>
      <x:c r="M112" s="19" t="n">
        <x:v>23101007838</x:v>
      </x:c>
      <x:c r="N112" s="12" t="str">
        <x:v>Nasdaq screener</x:v>
      </x:c>
      <x:c r="O112" s="12" t="str">
        <x:v>Utilities</x:v>
      </x:c>
      <x:c r="P112" s="12" t="str">
        <x:v>Power Generation</x:v>
      </x:c>
      <x:c r="Q112" s="12" t="n">
        <x:v>4931</x:v>
      </x:c>
      <x:c r="R112" s="12" t="str">
        <x:v>Electric &amp; Other Services Combined</x:v>
      </x:c>
      <x:c r="S112" s="18" t="n">
        <x:v>46112</x:v>
      </x:c>
      <x:c r="T112" s="18" t="n">
        <x:v>46022</x:v>
      </x:c>
      <x:c r="U112" s="15" t="n">
        <x:v>-1.0500417246536835</x:v>
      </x:c>
      <x:c r="V112" s="16" t="n">
        <x:v>0.09482758620689655</x:v>
      </x:c>
      <x:c r="W112" s="17" t="n">
        <x:v>0.12106299212598425</x:v>
      </x:c>
      <x:c r="X112" s="15" t="n">
        <x:v>-0.49544236067658587</x:v>
      </x:c>
      <x:c r="Y112" s="17"/>
      <x:c r="Z112" s="15"/>
      <x:c r="AA112" s="17" t="n">
        <x:v>2.0512904636920384</x:v>
      </x:c>
      <x:c r="AB112" s="15" t="n">
        <x:v>-1.6046410886307811</x:v>
      </x:c>
      <x:c r="AC112" s="13" t="b">
        <x:v>0</x:v>
      </x:c>
      <x:c r="AD112" s="15" t="n">
        <x:v>0.8018405475172774</x:v>
      </x:c>
      <x:c r="AE112" s="16" t="n">
        <x:v>0.6181818181818182</x:v>
      </x:c>
      <x:c r="AF112" s="15" t="n">
        <x:v>0.09000000000000008</x:v>
      </x:c>
      <x:c r="AG112" s="12" t="n">
        <x:v>8</x:v>
      </x:c>
      <x:c r="AH112" s="12" t="n">
        <x:v>64</x:v>
      </x:c>
      <x:c r="AI112" s="17" t="n">
        <x:v>-0.01504416250342877</x:v>
      </x:c>
      <x:c r="AJ112" s="16" t="n">
        <x:v>0.5217391304347826</x:v>
      </x:c>
      <x:c r="AK112" s="18" t="n">
        <x:v>46140</x:v>
      </x:c>
      <x:c r="AL112" s="18" t="n">
        <x:v>46140</x:v>
      </x:c>
      <x:c r="AM112" s="12" t="str">
        <x:v>2026-04-27 to 2026-04-28 to 2026-04-29</x:v>
      </x:c>
      <x:c r="AN112" s="12" t="str">
        <x:v>8-K Item 2.02 filing date</x:v>
      </x:c>
      <x:c r="AO112" s="12" t="str">
        <x:v>SUE + CAR3</x:v>
      </x:c>
      <x:c r="AP112" s="17" t="n">
        <x:v>0.04791998720415308</x:v>
      </x:c>
      <x:c r="AQ112" s="16" t="n">
        <x:v>0.49137931034482757</x:v>
      </x:c>
      <x:c r="AR112" s="17" t="n">
        <x:v>-0.08003979795887899</x:v>
      </x:c>
      <x:c r="AS112" s="16" t="n">
        <x:v>0.02</x:v>
      </x:c>
      <x:c r="AT112" s="17" t="n">
        <x:v>0.3958268861741425</x:v>
      </x:c>
      <x:c r="AU112" s="16" t="n">
        <x:v>0.5775862068965517</x:v>
      </x:c>
      <x:c r="AV112" s="17" t="n">
        <x:v>0.20755032463228992</x:v>
      </x:c>
      <x:c r="AW112" s="16" t="n">
        <x:v>0.3391304347826087</x:v>
      </x:c>
      <x:c r="AX112" s="17" t="n">
        <x:v>0.11194320712694883</x:v>
      </x:c>
      <x:c r="AY112" s="16" t="n">
        <x:v>0.23275862068965514</x:v>
      </x:c>
      <x:c r="AZ112" s="17" t="n">
        <x:v>0.09989322576818128</x:v>
      </x:c>
      <x:c r="BA112" s="16" t="n">
        <x:v>0.050000000000000044</x:v>
      </x:c>
      <x:c r="BB112" s="17" t="n">
        <x:v>-0.10172716344151739</x:v>
      </x:c>
      <x:c r="BC112" s="16" t="n">
        <x:v>0.017241379310344827</x:v>
      </x:c>
      <x:c r="BD112" s="17" t="n">
        <x:v>0.023635332442156803</x:v>
      </x:c>
      <x:c r="BE112" s="17" t="n">
        <x:v>-0.022726281194381543</x:v>
      </x:c>
      <x:c r="BF112" s="17" t="n">
        <x:v>-0.009051290646999721</x:v>
      </x:c>
      <x:c r="BG112" s="17" t="n">
        <x:v>-0.022726281194381543</x:v>
      </x:c>
      <x:c r="BH112" s="12" t="str">
        <x:v>cash repurchases less issuance</x:v>
      </x:c>
      <x:c r="BI112" s="17" t="n">
        <x:v>-0.10263621468929264</x:v>
      </x:c>
      <x:c r="BJ112" s="19" t="n">
        <x:v>546000000</x:v>
      </x:c>
      <x:c r="BK112" s="19" t="n">
        <x:v>0</x:v>
      </x:c>
      <x:c r="BL112" s="19" t="n">
        <x:v>525000000</x:v>
      </x:c>
      <x:c r="BM112" s="19" t="n">
        <x:v>8582000000</x:v>
      </x:c>
      <x:c r="BN112" s="19" t="n">
        <x:v>1107000000</x:v>
      </x:c>
      <x:c r="BO112" s="19" t="n">
        <x:v>1940000000</x:v>
      </x:c>
      <x:c r="BP112" s="19" t="n">
        <x:v>3789000000</x:v>
      </x:c>
      <x:c r="BQ112" s="19" t="n">
        <x:v>-1849000000</x:v>
      </x:c>
      <x:c r="BR112" s="19" t="n">
        <x:v>39941000000</x:v>
      </x:c>
      <x:c r="BS112" s="19" t="n">
        <x:v>35920000000</x:v>
      </x:c>
      <x:c r="BT112" s="19" t="n">
        <x:v>9144000000</x:v>
      </x:c>
      <x:c r="BU112" s="19" t="n">
        <x:v>509000000</x:v>
      </x:c>
      <x:c r="BV112" s="19" t="n">
        <x:v>18757000000</x:v>
      </x:c>
      <x:c r="BW112" s="19" t="n">
        <x:v>16386000000</x:v>
      </x:c>
      <x:c r="BX112" s="12" t="n">
        <x:v>308919602</x:v>
      </x:c>
      <x:c r="BY112" s="17" t="n">
        <x:v>0.009051290646999721</x:v>
      </x:c>
      <x:c r="BZ112" s="12" t="n">
        <x:v>5</x:v>
      </x:c>
      <x:c r="CA112" s="12" t="str">
        <x:v>OK</x:v>
      </x:c>
      <x:c r="CB112" s="20" t="str">
        <x:v>https://query1.finance.yahoo.com/v8/finance/chart/CMS?period1=1704067200&amp;period2=1783728000&amp;interval=1d&amp;events=div%2Csplits</x:v>
      </x:c>
      <x:c r="CC112" s="20" t="str">
        <x:v>https://data.sec.gov/api/xbrl/companyfacts/CIK0000811156.json</x:v>
      </x:c>
      <x:c r="CD112" s="20" t="str">
        <x:v>https://data.sec.gov/submissions/CIK0000811156.json</x:v>
      </x:c>
      <x:c r="CE112" s="20" t="str">
        <x:v>https://api.nasdaq.com/api/screener/stocks?tableonly=true&amp;limit=25000&amp;download=true</x:v>
      </x:c>
    </x:row>
    <x:row r="113">
      <x:c r="A113" s="12" t="str">
        <x:v>ORLY</x:v>
      </x:c>
      <x:c r="B113" s="12" t="str">
        <x:v>O'Reilly Automotive Inc.</x:v>
      </x:c>
      <x:c r="C113" s="12" t="str">
        <x:v>Long</x:v>
      </x:c>
      <x:c r="D113" s="14" t="n">
        <x:v>0.003709</x:v>
      </x:c>
      <x:c r="E113" s="15" t="n">
        <x:v>0.2904296316301084</x:v>
      </x:c>
      <x:c r="F113" s="15" t="n">
        <x:v>0.08213233961401643</x:v>
      </x:c>
      <x:c r="G113" s="12" t="str">
        <x:v>Low Beta</x:v>
      </x:c>
      <x:c r="H113" s="12" t="str">
        <x:v>Low Bad Beta</x:v>
      </x:c>
      <x:c r="I113" s="12" t="str">
        <x:v>Low Beta / Low Bad Beta</x:v>
      </x:c>
      <x:c r="J113" s="15" t="n">
        <x:v>1</x:v>
      </x:c>
      <x:c r="K113" s="18" t="n">
        <x:v>46213</x:v>
      </x:c>
      <x:c r="L113" s="15" t="n">
        <x:v>86.27999877929688</x:v>
      </x:c>
      <x:c r="M113" s="19" t="n">
        <x:v>69019535355</x:v>
      </x:c>
      <x:c r="N113" s="12" t="str">
        <x:v>Nasdaq screener</x:v>
      </x:c>
      <x:c r="O113" s="12" t="str">
        <x:v>Consumer Discretionary</x:v>
      </x:c>
      <x:c r="P113" s="12" t="str">
        <x:v>Auto &amp; Home Supply Stores</x:v>
      </x:c>
      <x:c r="Q113" s="12" t="n">
        <x:v>5531</x:v>
      </x:c>
      <x:c r="R113" s="12" t="str">
        <x:v>Retail-Auto &amp; Home Supply Stores</x:v>
      </x:c>
      <x:c r="S113" s="18" t="n">
        <x:v>46112</x:v>
      </x:c>
      <x:c r="T113" s="18" t="n">
        <x:v>46022</x:v>
      </x:c>
      <x:c r="U113" s="15" t="n">
        <x:v>-2.3072417588851586</x:v>
      </x:c>
      <x:c r="V113" s="16" t="n">
        <x:v>0.017241379310344824</x:v>
      </x:c>
      <x:c r="W113" s="17" t="n">
        <x:v>-3.4111458409750677</x:v>
      </x:c>
      <x:c r="X113" s="15" t="n">
        <x:v>-1.029601712582685</x:v>
      </x:c>
      <x:c r="Y113" s="17"/>
      <x:c r="Z113" s="15"/>
      <x:c r="AA113" s="17" t="n">
        <x:v>-7.882214234062398</x:v>
      </x:c>
      <x:c r="AB113" s="15" t="n">
        <x:v>-3.5848818051876323</x:v>
      </x:c>
      <x:c r="AC113" s="13" t="b">
        <x:v>0</x:v>
      </x:c>
      <x:c r="AD113" s="15" t="n">
        <x:v>-1.6430665702632727</x:v>
      </x:c>
      <x:c r="AE113" s="16" t="n">
        <x:v>0.05454545454545454</x:v>
      </x:c>
      <x:c r="AF113" s="15" t="n">
        <x:v>-8.68</x:v>
      </x:c>
      <x:c r="AG113" s="12" t="n">
        <x:v>8</x:v>
      </x:c>
      <x:c r="AH113" s="12" t="n">
        <x:v>64</x:v>
      </x:c>
      <x:c r="AI113" s="17" t="n">
        <x:v>0.07630032734755587</x:v>
      </x:c>
      <x:c r="AJ113" s="16" t="n">
        <x:v>0.9304347826086956</x:v>
      </x:c>
      <x:c r="AK113" s="18" t="n">
        <x:v>46141</x:v>
      </x:c>
      <x:c r="AL113" s="18" t="n">
        <x:v>46141</x:v>
      </x:c>
      <x:c r="AM113" s="12" t="str">
        <x:v>2026-04-28 to 2026-04-29 to 2026-04-30</x:v>
      </x:c>
      <x:c r="AN113" s="12" t="str">
        <x:v>8-K Item 2.02 filing date</x:v>
      </x:c>
      <x:c r="AO113" s="12" t="str">
        <x:v>SUE + CAR3</x:v>
      </x:c>
      <x:c r="AP113" s="17" t="n">
        <x:v>0.03772707229347299</x:v>
      </x:c>
      <x:c r="AQ113" s="16" t="n">
        <x:v>0.3103448275862069</x:v>
      </x:c>
      <x:c r="AR113" s="17" t="n">
        <x:v>0.02772367258281436</x:v>
      </x:c>
      <x:c r="AS113" s="16" t="n">
        <x:v>0.21</x:v>
      </x:c>
      <x:c r="AT113" s="17" t="n">
        <x:v>-0.011059941161204881</x:v>
      </x:c>
      <x:c r="AU113" s="16" t="n">
        <x:v>0.05172413793103448</x:v>
      </x:c>
      <x:c r="AV113" s="17" t="n">
        <x:v>0.24325178072466355</x:v>
      </x:c>
      <x:c r="AW113" s="16" t="n">
        <x:v>0.40869565217391307</x:v>
      </x:c>
      <x:c r="AX113" s="17" t="n">
        <x:v>0.11041631514875938</x:v>
      </x:c>
      <x:c r="AY113" s="16" t="n">
        <x:v>0.24137931034482762</x:v>
      </x:c>
      <x:c r="AZ113" s="17" t="n">
        <x:v>0.07166653187831482</x:v>
      </x:c>
      <x:c r="BA113" s="16" t="n">
        <x:v>0.21999999999999997</x:v>
      </x:c>
      <x:c r="BB113" s="17" t="n">
        <x:v>0.023196186293711687</x:v>
      </x:c>
      <x:c r="BC113" s="16" t="n">
        <x:v>0.3706896551724138</x:v>
      </x:c>
      <x:c r="BD113" s="17" t="n">
        <x:v>0</x:v>
      </x:c>
      <x:c r="BE113" s="17" t="n">
        <x:v>0.03038215179534803</x:v>
      </x:c>
      <x:c r="BF113" s="17" t="n">
        <x:v>0.0279965749535529</x:v>
      </x:c>
      <x:c r="BG113" s="17" t="n">
        <x:v>0.03038215179534803</x:v>
      </x:c>
      <x:c r="BH113" s="12" t="str">
        <x:v>cash repurchases less issuance</x:v>
      </x:c>
      <x:c r="BI113" s="17" t="n">
        <x:v>-0.007185965501636344</x:v>
      </x:c>
      <x:c r="BJ113" s="19" t="n">
        <x:v>0</x:v>
      </x:c>
      <x:c r="BK113" s="19" t="n">
        <x:v>2096962000</x:v>
      </x:c>
      <x:c r="BL113" s="19" t="n">
        <x:v>0</x:v>
      </x:c>
      <x:c r="BM113" s="19" t="n">
        <x:v>18205607000</x:v>
      </x:c>
      <x:c r="BN113" s="19" t="n">
        <x:v>2603905000</x:v>
      </x:c>
      <x:c r="BO113" s="19" t="n">
        <x:v>3039786000</x:v>
      </x:c>
      <x:c r="BP113" s="19" t="n">
        <x:v>1126311000</x:v>
      </x:c>
      <x:c r="BQ113" s="19" t="n">
        <x:v>1913475000</x:v>
      </x:c>
      <x:c r="BR113" s="19" t="n">
        <x:v>16538253000</x:v>
      </x:c>
      <x:c r="BS113" s="19" t="n">
        <x:v>14893741000</x:v>
      </x:c>
      <x:c r="BT113" s="19" t="n">
        <x:v>-763352000</x:v>
      </x:c>
      <x:c r="BU113" s="19" t="n">
        <x:v>193793000</x:v>
      </x:c>
      <x:c r="BV113" s="19" t="n">
        <x:v>6016904000</x:v>
      </x:c>
      <x:c r="BW113" s="19" t="n">
        <x:v>5520932000</x:v>
      </x:c>
      <x:c r="BX113" s="12" t="n">
        <x:v>828715079</x:v>
      </x:c>
      <x:c r="BY113" s="17" t="n">
        <x:v>-0.0279965749535529</x:v>
      </x:c>
      <x:c r="BZ113" s="12" t="n">
        <x:v>5</x:v>
      </x:c>
      <x:c r="CA113" s="12" t="str">
        <x:v>OK</x:v>
      </x:c>
      <x:c r="CB113" s="20" t="str">
        <x:v>https://query1.finance.yahoo.com/v8/finance/chart/ORLY?period1=1704067200&amp;period2=1783728000&amp;interval=1d&amp;events=div%2Csplits</x:v>
      </x:c>
      <x:c r="CC113" s="20" t="str">
        <x:v>https://data.sec.gov/api/xbrl/companyfacts/CIK0000898173.json</x:v>
      </x:c>
      <x:c r="CD113" s="20" t="str">
        <x:v>https://data.sec.gov/submissions/CIK0000898173.json</x:v>
      </x:c>
      <x:c r="CE113" s="20" t="str">
        <x:v>https://api.nasdaq.com/api/screener/stocks?tableonly=true&amp;limit=25000&amp;download=true</x:v>
      </x:c>
    </x:row>
    <x:row r="114">
      <x:c r="A114" s="12" t="str">
        <x:v>EXC</x:v>
      </x:c>
      <x:c r="B114" s="12" t="str">
        <x:v>Exelon Corp.</x:v>
      </x:c>
      <x:c r="C114" s="12" t="str">
        <x:v>Long</x:v>
      </x:c>
      <x:c r="D114" s="14" t="n">
        <x:v>0.004104</x:v>
      </x:c>
      <x:c r="E114" s="15" t="n">
        <x:v>-0.12161401577010789</x:v>
      </x:c>
      <x:c r="F114" s="15" t="n">
        <x:v>-0.015744465797022388</x:v>
      </x:c>
      <x:c r="G114" s="12" t="str">
        <x:v>Low Beta</x:v>
      </x:c>
      <x:c r="H114" s="12" t="str">
        <x:v>Low Bad Beta</x:v>
      </x:c>
      <x:c r="I114" s="12" t="str">
        <x:v>Low Beta / Low Bad Beta</x:v>
      </x:c>
      <x:c r="J114" s="15" t="n">
        <x:v>1</x:v>
      </x:c>
      <x:c r="K114" s="18" t="n">
        <x:v>46213</x:v>
      </x:c>
      <x:c r="L114" s="15" t="n">
        <x:v>46.79999923706055</x:v>
      </x:c>
      <x:c r="M114" s="19" t="n">
        <x:v>47630339010</x:v>
      </x:c>
      <x:c r="N114" s="12" t="str">
        <x:v>Nasdaq screener</x:v>
      </x:c>
      <x:c r="O114" s="12" t="str">
        <x:v>Utilities</x:v>
      </x:c>
      <x:c r="P114" s="12" t="str">
        <x:v>Power Generation</x:v>
      </x:c>
      <x:c r="Q114" s="12" t="n">
        <x:v>4931</x:v>
      </x:c>
      <x:c r="R114" s="12" t="str">
        <x:v>Electric &amp; Other Services Combined</x:v>
      </x:c>
      <x:c r="S114" s="18" t="n">
        <x:v>46112</x:v>
      </x:c>
      <x:c r="T114" s="18" t="n">
        <x:v>46022</x:v>
      </x:c>
      <x:c r="U114" s="15" t="n">
        <x:v>-0.7042587005757264</x:v>
      </x:c>
      <x:c r="V114" s="16" t="n">
        <x:v>0.1724137931034483</x:v>
      </x:c>
      <x:c r="W114" s="17" t="n">
        <x:v>0.09649975692756442</x:v>
      </x:c>
      <x:c r="X114" s="15" t="n">
        <x:v>-0.6381456757609502</x:v>
      </x:c>
      <x:c r="Y114" s="17" t="n">
        <x:v>0.056767430043591825</x:v>
      </x:c>
      <x:c r="Z114" s="15" t="n">
        <x:v>-0.2427800601452537</x:v>
      </x:c>
      <x:c r="AA114" s="17" t="n">
        <x:v>1.7163691923050213</x:v>
      </x:c>
      <x:c r="AB114" s="15" t="n">
        <x:v>-1.2318503658209754</x:v>
      </x:c>
      <x:c r="AC114" s="13" t="b">
        <x:v>0</x:v>
      </x:c>
      <x:c r="AD114" s="15" t="n">
        <x:v>0.4296943054687749</x:v>
      </x:c>
      <x:c r="AE114" s="16" t="n">
        <x:v>0.5</x:v>
      </x:c>
      <x:c r="AF114" s="15" t="n">
        <x:v>0.20000000000000007</x:v>
      </x:c>
      <x:c r="AG114" s="12" t="n">
        <x:v>8</x:v>
      </x:c>
      <x:c r="AH114" s="12" t="n">
        <x:v>50</x:v>
      </x:c>
      <x:c r="AI114" s="17" t="n">
        <x:v>-0.0654518506835351</x:v>
      </x:c>
      <x:c r="AJ114" s="16" t="n">
        <x:v>0.20869565217391303</x:v>
      </x:c>
      <x:c r="AK114" s="18" t="n">
        <x:v>46148</x:v>
      </x:c>
      <x:c r="AL114" s="18" t="n">
        <x:v>46148</x:v>
      </x:c>
      <x:c r="AM114" s="12" t="str">
        <x:v>2026-05-05 to 2026-05-06 to 2026-05-07</x:v>
      </x:c>
      <x:c r="AN114" s="12" t="str">
        <x:v>8-K Item 2.02 filing date</x:v>
      </x:c>
      <x:c r="AO114" s="12" t="str">
        <x:v>SUE + CAR3</x:v>
      </x:c>
      <x:c r="AP114" s="17" t="n">
        <x:v>0.05834516524051085</x:v>
      </x:c>
      <x:c r="AQ114" s="16" t="n">
        <x:v>0.6551724137931034</x:v>
      </x:c>
      <x:c r="AR114" s="17" t="n">
        <x:v>-0.04541223188745051</x:v>
      </x:c>
      <x:c r="AS114" s="16" t="n">
        <x:v>0.06</x:v>
      </x:c>
      <x:c r="AT114" s="17" t="n">
        <x:v>0.6046146342555708</x:v>
      </x:c>
      <x:c r="AU114" s="16" t="n">
        <x:v>0.8103448275862069</x:v>
      </x:c>
      <x:c r="AV114" s="17" t="n">
        <x:v>0.2570299575273156</x:v>
      </x:c>
      <x:c r="AW114" s="16" t="n">
        <x:v>0.4260869565217391</x:v>
      </x:c>
      <x:c r="AX114" s="17" t="n">
        <x:v>0.08151488161508191</x:v>
      </x:c>
      <x:c r="AY114" s="16" t="n">
        <x:v>0.35344827586206895</x:v>
      </x:c>
      <x:c r="AZ114" s="17" t="n">
        <x:v>0.07970439573174537</x:v>
      </x:c>
      <x:c r="BA114" s="16" t="n">
        <x:v>0.16000000000000003</x:v>
      </x:c>
      <x:c r="BB114" s="17" t="n">
        <x:v>-0.0804949131097944</x:v>
      </x:c>
      <x:c r="BC114" s="16" t="n">
        <x:v>0.02586206896551724</x:v>
      </x:c>
      <x:c r="BD114" s="17" t="n">
        <x:v>0.03394895005178339</x:v>
      </x:c>
      <x:c r="BE114" s="17" t="n">
        <x:v>-0.01450755997883879</x:v>
      </x:c>
      <x:c r="BF114" s="17" t="n">
        <x:v>-0.008973080757726848</x:v>
      </x:c>
      <x:c r="BG114" s="17" t="n">
        <x:v>-0.01450755997883879</x:v>
      </x:c>
      <x:c r="BH114" s="12" t="str">
        <x:v>cash repurchases less issuance</x:v>
      </x:c>
      <x:c r="BI114" s="17" t="n">
        <x:v>-0.099936303182739</x:v>
      </x:c>
      <x:c r="BJ114" s="19" t="n">
        <x:v>1617000000</x:v>
      </x:c>
      <x:c r="BK114" s="19" t="n">
        <x:v>0</x:v>
      </x:c>
      <x:c r="BL114" s="19" t="n">
        <x:v>691000000</x:v>
      </x:c>
      <x:c r="BM114" s="19" t="n">
        <x:v>24786000000</x:v>
      </x:c>
      <x:c r="BN114" s="19" t="n">
        <x:v>2779000000</x:v>
      </x:c>
      <x:c r="BO114" s="19" t="n">
        <x:v>6778000000</x:v>
      </x:c>
      <x:c r="BP114" s="19" t="n">
        <x:v>8941000000</x:v>
      </x:c>
      <x:c r="BQ114" s="19" t="n">
        <x:v>-2163000000</x:v>
      </x:c>
      <x:c r="BR114" s="19" t="n">
        <x:v>116570000000</x:v>
      </x:c>
      <x:c r="BS114" s="19" t="n">
        <x:v>107784000000</x:v>
      </x:c>
      <x:c r="BT114" s="19" t="n">
        <x:v>28798000000</x:v>
      </x:c>
      <x:c r="BU114" s="19" t="n">
        <x:v>626000000</x:v>
      </x:c>
      <x:c r="BV114" s="19" t="n">
        <x:v>49428000000</x:v>
      </x:c>
      <x:c r="BW114" s="19" t="n">
        <x:v>44668000000</x:v>
      </x:c>
      <x:c r="BX114" s="12" t="n">
        <x:v>1023208142</x:v>
      </x:c>
      <x:c r="BY114" s="17" t="n">
        <x:v>0.008973080757726848</x:v>
      </x:c>
      <x:c r="BZ114" s="12" t="n">
        <x:v>5</x:v>
      </x:c>
      <x:c r="CA114" s="12" t="str">
        <x:v>OK</x:v>
      </x:c>
      <x:c r="CB114" s="20" t="str">
        <x:v>https://query1.finance.yahoo.com/v8/finance/chart/EXC?period1=1704067200&amp;period2=1783728000&amp;interval=1d&amp;events=div%2Csplits</x:v>
      </x:c>
      <x:c r="CC114" s="20" t="str">
        <x:v>https://data.sec.gov/api/xbrl/companyfacts/CIK0001109357.json</x:v>
      </x:c>
      <x:c r="CD114" s="20" t="str">
        <x:v>https://data.sec.gov/submissions/CIK0001109357.json</x:v>
      </x:c>
      <x:c r="CE114" s="20" t="str">
        <x:v>https://api.nasdaq.com/api/screener/stocks?tableonly=true&amp;limit=25000&amp;download=true</x:v>
      </x:c>
    </x:row>
    <x:row r="115">
      <x:c r="A115" s="12" t="str">
        <x:v>AZO</x:v>
      </x:c>
      <x:c r="B115" s="12" t="str">
        <x:v>AutoZone Inc.</x:v>
      </x:c>
      <x:c r="C115" s="12" t="str">
        <x:v>Long</x:v>
      </x:c>
      <x:c r="D115" s="14" t="n">
        <x:v>0.003934</x:v>
      </x:c>
      <x:c r="E115" s="15" t="n">
        <x:v>0.19784165815018134</x:v>
      </x:c>
      <x:c r="F115" s="15" t="n">
        <x:v>0.022321904345368772</x:v>
      </x:c>
      <x:c r="G115" s="12" t="str">
        <x:v>Low Beta</x:v>
      </x:c>
      <x:c r="H115" s="12" t="str">
        <x:v>Low Bad Beta</x:v>
      </x:c>
      <x:c r="I115" s="12" t="str">
        <x:v>Low Beta / Low Bad Beta</x:v>
      </x:c>
      <x:c r="J115" s="15" t="n">
        <x:v>1</x:v>
      </x:c>
      <x:c r="K115" s="18" t="n">
        <x:v>46213</x:v>
      </x:c>
      <x:c r="L115" s="15" t="n">
        <x:v>3072.639892578125</x:v>
      </x:c>
      <x:c r="M115" s="19" t="n">
        <x:v>48221833599</x:v>
      </x:c>
      <x:c r="N115" s="12" t="str">
        <x:v>Nasdaq screener</x:v>
      </x:c>
      <x:c r="O115" s="12" t="str">
        <x:v>Consumer Discretionary</x:v>
      </x:c>
      <x:c r="P115" s="12" t="str">
        <x:v>Auto &amp; Home Supply Stores</x:v>
      </x:c>
      <x:c r="Q115" s="12" t="n">
        <x:v>5531</x:v>
      </x:c>
      <x:c r="R115" s="12" t="str">
        <x:v>Retail-Auto &amp; Home Supply Stores</x:v>
      </x:c>
      <x:c r="S115" s="18" t="n">
        <x:v>46151</x:v>
      </x:c>
      <x:c r="T115" s="18" t="n">
        <x:v>45899</x:v>
      </x:c>
      <x:c r="U115" s="15" t="n">
        <x:v>-2.3072417588851586</x:v>
      </x:c>
      <x:c r="V115" s="16" t="n">
        <x:v>0.017241379310344824</x:v>
      </x:c>
      <x:c r="W115" s="17" t="n">
        <x:v>-0.7258045762061065</x:v>
      </x:c>
      <x:c r="X115" s="15" t="n">
        <x:v>-1.029601712582685</x:v>
      </x:c>
      <x:c r="Y115" s="17"/>
      <x:c r="Z115" s="15"/>
      <x:c r="AA115" s="17" t="n">
        <x:v>-2.5773193611716323</x:v>
      </x:c>
      <x:c r="AB115" s="15" t="n">
        <x:v>-3.5848818051876323</x:v>
      </x:c>
      <x:c r="AC115" s="13" t="b">
        <x:v>0</x:v>
      </x:c>
      <x:c r="AD115" s="15" t="n">
        <x:v>1.0047352170895942</x:v>
      </x:c>
      <x:c r="AE115" s="16" t="n">
        <x:v>0.6545454545454545</x:v>
      </x:c>
      <x:c r="AF115" s="15" t="n">
        <x:v>2.6200000000000045</x:v>
      </x:c>
      <x:c r="AG115" s="12" t="n">
        <x:v>8</x:v>
      </x:c>
      <x:c r="AH115" s="12" t="n">
        <x:v>67</x:v>
      </x:c>
      <x:c r="AI115" s="17" t="n">
        <x:v>-0.13425012837587735</x:v>
      </x:c>
      <x:c r="AJ115" s="16" t="n">
        <x:v>0.034782608695652174</x:v>
      </x:c>
      <x:c r="AK115" s="18" t="n">
        <x:v>46168</x:v>
      </x:c>
      <x:c r="AL115" s="18" t="n">
        <x:v>46168</x:v>
      </x:c>
      <x:c r="AM115" s="12" t="str">
        <x:v>2026-05-22 to 2026-05-26 to 2026-05-27</x:v>
      </x:c>
      <x:c r="AN115" s="12" t="str">
        <x:v>8-K Item 2.02 filing date</x:v>
      </x:c>
      <x:c r="AO115" s="12" t="str">
        <x:v>SUE + CAR3</x:v>
      </x:c>
      <x:c r="AP115" s="17" t="n">
        <x:v>0.05139008235579391</x:v>
      </x:c>
      <x:c r="AQ115" s="16" t="n">
        <x:v>0.5689655172413793</x:v>
      </x:c>
      <x:c r="AR115" s="17" t="n">
        <x:v>0.033868931936131705</x:v>
      </x:c>
      <x:c r="AS115" s="16" t="n">
        <x:v>0.26</x:v>
      </x:c>
      <x:c r="AT115" s="17" t="n">
        <x:v>-0.07080429641876589</x:v>
      </x:c>
      <x:c r="AU115" s="16" t="n">
        <x:v>0.017241379310344827</x:v>
      </x:c>
      <x:c r="AV115" s="17" t="n">
        <x:v>0.3521845368286545</x:v>
      </x:c>
      <x:c r="AW115" s="16" t="n">
        <x:v>0.591304347826087</x:v>
      </x:c>
      <x:c r="AX115" s="17" t="n">
        <x:v>0.12684663230739512</x:v>
      </x:c>
      <x:c r="AY115" s="16" t="n">
        <x:v>0.1724137931034483</x:v>
      </x:c>
      <x:c r="AZ115" s="17" t="n">
        <x:v>0.07878711465624172</x:v>
      </x:c>
      <x:c r="BA115" s="16" t="n">
        <x:v>0.17000000000000004</x:v>
      </x:c>
      <x:c r="BB115" s="17" t="n">
        <x:v>0.037385388846710825</x:v>
      </x:c>
      <x:c r="BC115" s="16" t="n">
        <x:v>0.5517241379310345</x:v>
      </x:c>
      <x:c r="BD115" s="17" t="n">
        <x:v>0</x:v>
      </x:c>
      <x:c r="BE115" s="17" t="n">
        <x:v>0.0327276231991462</x:v>
      </x:c>
      <x:c r="BF115" s="17" t="n">
        <x:v>0.03134303207324607</x:v>
      </x:c>
      <x:c r="BG115" s="17" t="n">
        <x:v>0.0327276231991462</x:v>
      </x:c>
      <x:c r="BH115" s="12" t="str">
        <x:v>cash repurchases less issuance</x:v>
      </x:c>
      <x:c r="BI115" s="17" t="n">
        <x:v>0.004657765647564629</x:v>
      </x:c>
      <x:c r="BJ115" s="19" t="n">
        <x:v>0</x:v>
      </x:c>
      <x:c r="BK115" s="19" t="n">
        <x:v>1578186000</x:v>
      </x:c>
      <x:c r="BL115" s="19" t="n">
        <x:v>0</x:v>
      </x:c>
      <x:c r="BM115" s="19" t="n">
        <x:v>19986404000</x:v>
      </x:c>
      <x:c r="BN115" s="19" t="n">
        <x:v>2478124000</x:v>
      </x:c>
      <x:c r="BO115" s="19" t="n">
        <x:v>3072342000</x:v>
      </x:c>
      <x:c r="BP115" s="19" t="n">
        <x:v>1439120000</x:v>
      </x:c>
      <x:c r="BQ115" s="19" t="n">
        <x:v>1633222000</x:v>
      </x:c>
      <x:c r="BR115" s="19" t="n">
        <x:v>19355324000</x:v>
      </x:c>
      <x:c r="BS115" s="19" t="n">
        <x:v>17176538000</x:v>
      </x:c>
      <x:c r="BT115" s="19" t="n">
        <x:v>-3414313000</x:v>
      </x:c>
      <x:c r="BU115" s="19" t="n">
        <x:v>271803000</x:v>
      </x:c>
      <x:c r="BV115" s="19" t="n">
        <x:v>8799775000</x:v>
      </x:c>
      <x:c r="BW115" s="19" t="n">
        <x:v>9024381000</x:v>
      </x:c>
      <x:c r="BX115" s="12" t="n">
        <x:v>16325355</x:v>
      </x:c>
      <x:c r="BY115" s="17" t="n">
        <x:v>-0.03134303207324607</x:v>
      </x:c>
      <x:c r="BZ115" s="12" t="n">
        <x:v>5</x:v>
      </x:c>
      <x:c r="CA115" s="12" t="str">
        <x:v>OK</x:v>
      </x:c>
      <x:c r="CB115" s="20" t="str">
        <x:v>https://query1.finance.yahoo.com/v8/finance/chart/AZO?period1=1704067200&amp;period2=1783728000&amp;interval=1d&amp;events=div%2Csplits</x:v>
      </x:c>
      <x:c r="CC115" s="20" t="str">
        <x:v>https://data.sec.gov/api/xbrl/companyfacts/CIK0000866787.json</x:v>
      </x:c>
      <x:c r="CD115" s="20" t="str">
        <x:v>https://data.sec.gov/submissions/CIK0000866787.json</x:v>
      </x:c>
      <x:c r="CE115" s="20" t="str">
        <x:v>https://api.nasdaq.com/api/screener/stocks?tableonly=true&amp;limit=25000&amp;download=true</x:v>
      </x:c>
    </x:row>
    <x:row r="116">
      <x:c r="A116" s="12" t="str">
        <x:v>MTDR</x:v>
      </x:c>
      <x:c r="B116" s="12" t="str">
        <x:v>Matador Resources Co.</x:v>
      </x:c>
      <x:c r="C116" s="12" t="str">
        <x:v>Long</x:v>
      </x:c>
      <x:c r="D116" s="14" t="n">
        <x:v>0.003708</x:v>
      </x:c>
      <x:c r="E116" s="15" t="n">
        <x:v>0.16776063390899118</x:v>
      </x:c>
      <x:c r="F116" s="15" t="n">
        <x:v>-0.17671103983116512</x:v>
      </x:c>
      <x:c r="G116" s="12" t="str">
        <x:v>Low Beta</x:v>
      </x:c>
      <x:c r="H116" s="12" t="str">
        <x:v>Low Bad Beta</x:v>
      </x:c>
      <x:c r="I116" s="12" t="str">
        <x:v>Low Beta / Low Bad Beta</x:v>
      </x:c>
      <x:c r="J116" s="15" t="n">
        <x:v>1</x:v>
      </x:c>
      <x:c r="K116" s="18" t="n">
        <x:v>46213</x:v>
      </x:c>
      <x:c r="L116" s="15" t="n">
        <x:v>51.34000015258789</x:v>
      </x:c>
      <x:c r="M116" s="19" t="n">
        <x:v>6446712655</x:v>
      </x:c>
      <x:c r="N116" s="12" t="str">
        <x:v>Nasdaq screener</x:v>
      </x:c>
      <x:c r="O116" s="12" t="str">
        <x:v>Energy</x:v>
      </x:c>
      <x:c r="P116" s="12" t="str">
        <x:v>Oil &amp; Gas Production</x:v>
      </x:c>
      <x:c r="Q116" s="12" t="n">
        <x:v>1311</x:v>
      </x:c>
      <x:c r="R116" s="12" t="str">
        <x:v>Crude Petroleum &amp; Natural Gas</x:v>
      </x:c>
      <x:c r="S116" s="18" t="n">
        <x:v>46112</x:v>
      </x:c>
      <x:c r="T116" s="18" t="n">
        <x:v>46022</x:v>
      </x:c>
      <x:c r="U116" s="15" t="n">
        <x:v>-0.3466221332724419</x:v>
      </x:c>
      <x:c r="V116" s="16" t="n">
        <x:v>0.29310344827586204</x:v>
      </x:c>
      <x:c r="W116" s="17" t="n">
        <x:v>0.08541038478892626</x:v>
      </x:c>
      <x:c r="X116" s="15" t="n">
        <x:v>-0.7025708279693065</x:v>
      </x:c>
      <x:c r="Y116" s="17"/>
      <x:c r="Z116" s="15"/>
      <x:c r="AA116" s="17" t="n">
        <x:v>0.6012755779680994</x:v>
      </x:c>
      <x:c r="AB116" s="15" t="n">
        <x:v>0.009326561424422675</x:v>
      </x:c>
      <x:c r="AC116" s="13" t="b">
        <x:v>0</x:v>
      </x:c>
      <x:c r="AD116" s="15" t="n">
        <x:v>-2.711973615199206</x:v>
      </x:c>
      <x:c r="AE116" s="16" t="n">
        <x:v>0.00909090909090909</x:v>
      </x:c>
      <x:c r="AF116" s="15" t="n">
        <x:v>-2.21</x:v>
      </x:c>
      <x:c r="AG116" s="12" t="n">
        <x:v>8</x:v>
      </x:c>
      <x:c r="AH116" s="12" t="n">
        <x:v>47</x:v>
      </x:c>
      <x:c r="AI116" s="17" t="n">
        <x:v>-0.15157342289731424</x:v>
      </x:c>
      <x:c r="AJ116" s="16" t="n">
        <x:v>0.017391304347826087</x:v>
      </x:c>
      <x:c r="AK116" s="18" t="n">
        <x:v>46148</x:v>
      </x:c>
      <x:c r="AL116" s="18" t="n">
        <x:v>46148</x:v>
      </x:c>
      <x:c r="AM116" s="12" t="str">
        <x:v>2026-05-05 to 2026-05-06 to 2026-05-07</x:v>
      </x:c>
      <x:c r="AN116" s="12" t="str">
        <x:v>8-K Item 2.02 filing date</x:v>
      </x:c>
      <x:c r="AO116" s="12" t="str">
        <x:v>SUE + CAR3</x:v>
      </x:c>
      <x:c r="AP116" s="17" t="n">
        <x:v>0.07496285717421974</x:v>
      </x:c>
      <x:c r="AQ116" s="16" t="n">
        <x:v>0.7672413793103449</x:v>
      </x:c>
      <x:c r="AR116" s="17" t="n">
        <x:v>0.01079697571847182</x:v>
      </x:c>
      <x:c r="AS116" s="16" t="n">
        <x:v>0.14</x:v>
      </x:c>
      <x:c r="AT116" s="17" t="n">
        <x:v>0.8776784855784766</x:v>
      </x:c>
      <x:c r="AU116" s="16" t="n">
        <x:v>0.9568965517241379</x:v>
      </x:c>
      <x:c r="AV116" s="17" t="n">
        <x:v>0.3652763269175783</x:v>
      </x:c>
      <x:c r="AW116" s="16" t="n">
        <x:v>0.6173913043478261</x:v>
      </x:c>
      <x:c r="AX116" s="17" t="n">
        <x:v>0.0793042724271249</x:v>
      </x:c>
      <x:c r="AY116" s="16" t="n">
        <x:v>0.3879310344827587</x:v>
      </x:c>
      <x:c r="AZ116" s="17" t="n">
        <x:v>0.1859941443249179</x:v>
      </x:c>
      <x:c r="BA116" s="16" t="n">
        <x:v>0</x:v>
      </x:c>
      <x:c r="BB116" s="17" t="n">
        <x:v>0.0220656647213323</x:v>
      </x:c>
      <x:c r="BC116" s="16" t="n">
        <x:v>0.35344827586206895</x:v>
      </x:c>
      <x:c r="BD116" s="17" t="n">
        <x:v>0.02529909563651864</x:v>
      </x:c>
      <x:c r="BE116" s="17" t="n">
        <x:v>0.008663175014739352</x:v>
      </x:c>
      <x:c r="BF116" s="17" t="n">
        <x:v>-0.004110383958219055</x:v>
      </x:c>
      <x:c r="BG116" s="17" t="n">
        <x:v>0.008663175014739352</x:v>
      </x:c>
      <x:c r="BH116" s="12" t="str">
        <x:v>cash repurchases less issuance</x:v>
      </x:c>
      <x:c r="BI116" s="17" t="n">
        <x:v>-0.011896605929925691</x:v>
      </x:c>
      <x:c r="BJ116" s="19" t="n">
        <x:v>163096000</x:v>
      </x:c>
      <x:c r="BK116" s="19" t="n">
        <x:v>55849000</x:v>
      </x:c>
      <x:c r="BL116" s="19" t="n">
        <x:v>0</x:v>
      </x:c>
      <x:c r="BM116" s="19" t="n">
        <x:v>3591945000</x:v>
      </x:c>
      <x:c r="BN116" s="19" t="n">
        <x:v>483264000</x:v>
      </x:c>
      <x:c r="BO116" s="19" t="n">
        <x:v>2167682000</x:v>
      </x:c>
      <x:c r="BP116" s="19" t="n">
        <x:v>2098077000</x:v>
      </x:c>
      <x:c r="BQ116" s="19" t="n">
        <x:v>69605000</x:v>
      </x:c>
      <x:c r="BR116" s="19" t="n">
        <x:v>11710569000</x:v>
      </x:c>
      <x:c r="BS116" s="19" t="n">
        <x:v>10850109000</x:v>
      </x:c>
      <x:c r="BT116" s="19" t="n">
        <x:v>5658141000</x:v>
      </x:c>
      <x:c r="BU116" s="19" t="n">
        <x:v>15314000</x:v>
      </x:c>
      <x:c r="BV116" s="19" t="n">
        <x:v>3402102000</x:v>
      </x:c>
      <x:c r="BW116" s="19" t="n">
        <x:v>3325408000</x:v>
      </x:c>
      <x:c r="BX116" s="12" t="n">
        <x:v>124178227</x:v>
      </x:c>
      <x:c r="BY116" s="17" t="n">
        <x:v>0.004110383958219055</x:v>
      </x:c>
      <x:c r="BZ116" s="12" t="n">
        <x:v>5</x:v>
      </x:c>
      <x:c r="CA116" s="12" t="str">
        <x:v>OK</x:v>
      </x:c>
      <x:c r="CB116" s="20" t="str">
        <x:v>https://query1.finance.yahoo.com/v8/finance/chart/MTDR?period1=1704067200&amp;period2=1783728000&amp;interval=1d&amp;events=div%2Csplits</x:v>
      </x:c>
      <x:c r="CC116" s="20" t="str">
        <x:v>https://data.sec.gov/api/xbrl/companyfacts/CIK0001520006.json</x:v>
      </x:c>
      <x:c r="CD116" s="20" t="str">
        <x:v>https://data.sec.gov/submissions/CIK0001520006.json</x:v>
      </x:c>
      <x:c r="CE116" s="20" t="str">
        <x:v>https://api.nasdaq.com/api/screener/stocks?tableonly=true&amp;limit=25000&amp;download=true</x:v>
      </x:c>
    </x:row>
    <x:row r="117">
      <x:c r="A117" s="12" t="str">
        <x:v>VNOM</x:v>
      </x:c>
      <x:c r="B117" s="12" t="str">
        <x:v>Viper Energy Inc.</x:v>
      </x:c>
      <x:c r="C117" s="12" t="str">
        <x:v>Short</x:v>
      </x:c>
      <x:c r="D117" s="14" t="n">
        <x:v>-0.00318</x:v>
      </x:c>
      <x:c r="E117" s="15" t="n">
        <x:v>0.28369742322390556</x:v>
      </x:c>
      <x:c r="F117" s="15" t="n">
        <x:v>-0.059240328586682926</x:v>
      </x:c>
      <x:c r="G117" s="12" t="str">
        <x:v>Low Beta</x:v>
      </x:c>
      <x:c r="H117" s="12" t="str">
        <x:v>Low Bad Beta</x:v>
      </x:c>
      <x:c r="I117" s="12" t="str">
        <x:v>Low Beta / Low Bad Beta</x:v>
      </x:c>
      <x:c r="J117" s="15" t="n">
        <x:v>1</x:v>
      </x:c>
      <x:c r="K117" s="18" t="n">
        <x:v>46213</x:v>
      </x:c>
      <x:c r="L117" s="15" t="n">
        <x:v>42.029998779296875</x:v>
      </x:c>
      <x:c r="M117" s="19" t="n">
        <x:v>15300986082</x:v>
      </x:c>
      <x:c r="N117" s="12" t="str">
        <x:v>Nasdaq screener</x:v>
      </x:c>
      <x:c r="O117" s="12" t="str">
        <x:v>Energy</x:v>
      </x:c>
      <x:c r="P117" s="12" t="str">
        <x:v>Oil &amp; Gas Production</x:v>
      </x:c>
      <x:c r="Q117" s="12" t="n">
        <x:v>1311</x:v>
      </x:c>
      <x:c r="R117" s="12" t="str">
        <x:v>Crude Petroleum &amp; Natural Gas</x:v>
      </x:c>
      <x:c r="S117" s="18" t="n">
        <x:v>46112</x:v>
      </x:c>
      <x:c r="T117" s="18" t="n">
        <x:v>46022</x:v>
      </x:c>
      <x:c r="U117" s="15" t="n">
        <x:v>-1.2033748517309932</x:v>
      </x:c>
      <x:c r="V117" s="16" t="n">
        <x:v>0.07758620689655173</x:v>
      </x:c>
      <x:c r="W117" s="17" t="n">
        <x:v>-0.015287769784172662</x:v>
      </x:c>
      <x:c r="X117" s="15" t="n">
        <x:v>-1.029601712582685</x:v>
      </x:c>
      <x:c r="Y117" s="17" t="n">
        <x:v>0.8537767756482525</x:v>
      </x:c>
      <x:c r="Z117" s="15" t="n">
        <x:v>-2.7120853210725495</x:v>
      </x:c>
      <x:c r="AA117" s="17" t="n">
        <x:v>0.4914568345323741</x:v>
      </x:c>
      <x:c r="AB117" s="15" t="n">
        <x:v>0.1315624784622547</x:v>
      </x:c>
      <x:c r="AC117" s="13" t="b">
        <x:v>0</x:v>
      </x:c>
      <x:c r="AD117" s="15"/>
      <x:c r="AE117" s="16"/>
      <x:c r="AF117" s="15"/>
      <x:c r="AG117" s="12" t="n">
        <x:v>0</x:v>
      </x:c>
      <x:c r="AH117" s="12" t="n">
        <x:v>3</x:v>
      </x:c>
      <x:c r="AI117" s="17" t="n">
        <x:v>0.004387927523227586</x:v>
      </x:c>
      <x:c r="AJ117" s="16" t="n">
        <x:v>0.6521739130434783</x:v>
      </x:c>
      <x:c r="AK117" s="18" t="n">
        <x:v>46146</x:v>
      </x:c>
      <x:c r="AL117" s="18" t="n">
        <x:v>46146</x:v>
      </x:c>
      <x:c r="AM117" s="12" t="str">
        <x:v>2026-05-01 to 2026-05-04 to 2026-05-05</x:v>
      </x:c>
      <x:c r="AN117" s="12" t="str">
        <x:v>8-K Item 2.02 filing date</x:v>
      </x:c>
      <x:c r="AO117" s="12" t="str">
        <x:v>CAR3 only</x:v>
      </x:c>
      <x:c r="AP117" s="17" t="n">
        <x:v>-0.004444158019331502</x:v>
      </x:c>
      <x:c r="AQ117" s="16" t="n">
        <x:v>0.02586206896551724</x:v>
      </x:c>
      <x:c r="AR117" s="17"/>
      <x:c r="AS117" s="16"/>
      <x:c r="AT117" s="17" t="n">
        <x:v>0.2907002186762724</x:v>
      </x:c>
      <x:c r="AU117" s="16" t="n">
        <x:v>0.4482758620689655</x:v>
      </x:c>
      <x:c r="AV117" s="17" t="n">
        <x:v>0.07702878974972506</x:v>
      </x:c>
      <x:c r="AW117" s="16" t="n">
        <x:v>0.06086956521739131</x:v>
      </x:c>
      <x:c r="AX117" s="17" t="n">
        <x:v>1.4997040836456894</x:v>
      </x:c>
      <x:c r="AY117" s="16" t="n">
        <x:v>0</x:v>
      </x:c>
      <x:c r="AZ117" s="17"/>
      <x:c r="BA117" s="16"/>
      <x:c r="BB117" s="17" t="n">
        <x:v>-0.13116801683526946</x:v>
      </x:c>
      <x:c r="BC117" s="16" t="n">
        <x:v>0</x:v>
      </x:c>
      <x:c r="BD117" s="17" t="n">
        <x:v>0.02143652691677548</x:v>
      </x:c>
      <x:c r="BE117" s="17" t="n">
        <x:v>-0.08051768646788839</x:v>
      </x:c>
      <x:c r="BF117" s="17" t="n">
        <x:v>-0.5173742707490525</x:v>
      </x:c>
      <x:c r="BG117" s="17" t="n">
        <x:v>-0.08051768646788839</x:v>
      </x:c>
      <x:c r="BH117" s="12" t="str">
        <x:v>cash repurchases less issuance</x:v>
      </x:c>
      <x:c r="BI117" s="17" t="n">
        <x:v>-0.07208685728415656</x:v>
      </x:c>
      <x:c r="BJ117" s="19" t="n">
        <x:v>328000000</x:v>
      </x:c>
      <x:c r="BK117" s="19" t="n">
        <x:v>0</x:v>
      </x:c>
      <x:c r="BL117" s="19" t="n">
        <x:v>1232000000</x:v>
      </x:c>
      <x:c r="BM117" s="19" t="n">
        <x:v>1346000000</x:v>
      </x:c>
      <x:c r="BN117" s="19" t="n">
        <x:v>-68000000</x:v>
      </x:c>
      <x:c r="BO117" s="19" t="n">
        <x:v>1053000000</x:v>
      </x:c>
      <x:c r="BP117" s="19"/>
      <x:c r="BQ117" s="19"/>
      <x:c r="BR117" s="19" t="n">
        <x:v>12671000000</x:v>
      </x:c>
      <x:c r="BS117" s="19" t="n">
        <x:v>5069000000</x:v>
      </x:c>
      <x:c r="BT117" s="19" t="n">
        <x:v>4448000000</x:v>
      </x:c>
      <x:c r="BU117" s="19" t="n">
        <x:v>13000000</x:v>
      </x:c>
      <x:c r="BV117" s="19" t="n">
        <x:v>2186000000</x:v>
      </x:c>
      <x:c r="BW117" s="19" t="n">
        <x:v>1083000000</x:v>
      </x:c>
      <x:c r="BX117" s="12"/>
      <x:c r="BY117" s="17" t="n">
        <x:v>0.5173742707490525</x:v>
      </x:c>
      <x:c r="BZ117" s="12" t="n">
        <x:v>5</x:v>
      </x:c>
      <x:c r="CA117" s="12" t="str">
        <x:v>OK</x:v>
      </x:c>
      <x:c r="CB117" s="20" t="str">
        <x:v>https://query1.finance.yahoo.com/v8/finance/chart/VNOM?period1=1704067200&amp;period2=1783728000&amp;interval=1d&amp;events=div%2Csplits</x:v>
      </x:c>
      <x:c r="CC117" s="20" t="str">
        <x:v>https://data.sec.gov/api/xbrl/companyfacts/CIK0002074176.json</x:v>
      </x:c>
      <x:c r="CD117" s="20" t="str">
        <x:v>https://data.sec.gov/submissions/CIK0002074176.json</x:v>
      </x:c>
      <x:c r="CE117" s="20" t="str">
        <x:v>https://api.nasdaq.com/api/screener/stocks?tableonly=true&amp;limit=25000&amp;download=true</x:v>
      </x:c>
    </x:row>
    <x:row r="118">
      <x:c r="A118" s="12" t="str">
        <x:v>LNG</x:v>
      </x:c>
      <x:c r="B118" s="12" t="str">
        <x:v>Cheniere Energy Inc.</x:v>
      </x:c>
      <x:c r="C118" s="12" t="str">
        <x:v>Long</x:v>
      </x:c>
      <x:c r="D118" s="14" t="n">
        <x:v>0.004447</x:v>
      </x:c>
      <x:c r="E118" s="15" t="n">
        <x:v>-0.18835975579237182</x:v>
      </x:c>
      <x:c r="F118" s="15" t="n">
        <x:v>-0.22559445027185532</x:v>
      </x:c>
      <x:c r="G118" s="12" t="str">
        <x:v>Low Beta</x:v>
      </x:c>
      <x:c r="H118" s="12" t="str">
        <x:v>Low Bad Beta</x:v>
      </x:c>
      <x:c r="I118" s="12" t="str">
        <x:v>Low Beta / Low Bad Beta</x:v>
      </x:c>
      <x:c r="J118" s="15" t="n">
        <x:v>1</x:v>
      </x:c>
      <x:c r="K118" s="18" t="n">
        <x:v>46213</x:v>
      </x:c>
      <x:c r="L118" s="15" t="n">
        <x:v>258.6400146484375</x:v>
      </x:c>
      <x:c r="M118" s="19" t="n">
        <x:v>53536311237</x:v>
      </x:c>
      <x:c r="N118" s="12" t="str">
        <x:v>Nasdaq screener</x:v>
      </x:c>
      <x:c r="O118" s="12" t="str">
        <x:v>Utilities</x:v>
      </x:c>
      <x:c r="P118" s="12" t="str">
        <x:v>Oil/Gas Transmission</x:v>
      </x:c>
      <x:c r="Q118" s="12" t="n">
        <x:v>4924</x:v>
      </x:c>
      <x:c r="R118" s="12" t="str">
        <x:v>Natural Gas Distribution</x:v>
      </x:c>
      <x:c r="S118" s="18" t="n">
        <x:v>46112</x:v>
      </x:c>
      <x:c r="T118" s="18" t="n">
        <x:v>46022</x:v>
      </x:c>
      <x:c r="U118" s="15" t="n">
        <x:v>-1.0864606597406847</x:v>
      </x:c>
      <x:c r="V118" s="16" t="n">
        <x:v>0.08620689655172414</x:v>
      </x:c>
      <x:c r="W118" s="17" t="n">
        <x:v>0.1863550221099179</x:v>
      </x:c>
      <x:c r="X118" s="15" t="n">
        <x:v>-0.11611980597115197</x:v>
      </x:c>
      <x:c r="Y118" s="17" t="n">
        <x:v>0.09832134292565947</x:v>
      </x:c>
      <x:c r="Z118" s="15" t="n">
        <x:v>-0.656738556900183</x:v>
      </x:c>
      <x:c r="AA118" s="17" t="n">
        <x:v>2.84358812381554</x:v>
      </x:c>
      <x:c r="AB118" s="15" t="n">
        <x:v>-2.4865236163507194</x:v>
      </x:c>
      <x:c r="AC118" s="13" t="b">
        <x:v>0</x:v>
      </x:c>
      <x:c r="AD118" s="15" t="n">
        <x:v>-2.4992883053815826</x:v>
      </x:c>
      <x:c r="AE118" s="16" t="n">
        <x:v>0.01818181818181818</x:v>
      </x:c>
      <x:c r="AF118" s="15" t="n">
        <x:v>-18.22</x:v>
      </x:c>
      <x:c r="AG118" s="12" t="n">
        <x:v>8</x:v>
      </x:c>
      <x:c r="AH118" s="12" t="n">
        <x:v>60</x:v>
      </x:c>
      <x:c r="AI118" s="17" t="n">
        <x:v>-0.12955031550702212</x:v>
      </x:c>
      <x:c r="AJ118" s="16" t="n">
        <x:v>0.05217391304347826</x:v>
      </x:c>
      <x:c r="AK118" s="18" t="n">
        <x:v>46149</x:v>
      </x:c>
      <x:c r="AL118" s="18" t="n">
        <x:v>46149</x:v>
      </x:c>
      <x:c r="AM118" s="12" t="str">
        <x:v>2026-05-06 to 2026-05-07 to 2026-05-08</x:v>
      </x:c>
      <x:c r="AN118" s="12" t="str">
        <x:v>8-K Item 2.02 filing date</x:v>
      </x:c>
      <x:c r="AO118" s="12" t="str">
        <x:v>SUE + CAR3</x:v>
      </x:c>
      <x:c r="AP118" s="17" t="n">
        <x:v>0.027551393921600605</x:v>
      </x:c>
      <x:c r="AQ118" s="16" t="n">
        <x:v>0.1206896551724138</x:v>
      </x:c>
      <x:c r="AR118" s="17" t="n">
        <x:v>0.0410936044932348</x:v>
      </x:c>
      <x:c r="AS118" s="16" t="n">
        <x:v>0.35</x:v>
      </x:c>
      <x:c r="AT118" s="17" t="n">
        <x:v>0.14784358161997885</x:v>
      </x:c>
      <x:c r="AU118" s="16" t="n">
        <x:v>0.19827586206896552</x:v>
      </x:c>
      <x:c r="AV118" s="17" t="n">
        <x:v>0.27703236786503155</x:v>
      </x:c>
      <x:c r="AW118" s="16" t="n">
        <x:v>0.48695652173913045</x:v>
      </x:c>
      <x:c r="AX118" s="17" t="n">
        <x:v>0.09175064982443337</x:v>
      </x:c>
      <x:c r="AY118" s="16" t="n">
        <x:v>0.31896551724137934</x:v>
      </x:c>
      <x:c r="AZ118" s="17" t="n">
        <x:v>0.06956616524961849</x:v>
      </x:c>
      <x:c r="BA118" s="16" t="n">
        <x:v>0.22999999999999998</x:v>
      </x:c>
      <x:c r="BB118" s="17" t="n">
        <x:v>0.060183451671455696</x:v>
      </x:c>
      <x:c r="BC118" s="16" t="n">
        <x:v>0.7672413793103449</x:v>
      </x:c>
      <x:c r="BD118" s="17" t="n">
        <x:v>0.008424188921113135</x:v>
      </x:c>
      <x:c r="BE118" s="17" t="n">
        <x:v>0.050881353927078</x:v>
      </x:c>
      <x:c r="BF118" s="17" t="n">
        <x:v>0.03841117415975559</x:v>
      </x:c>
      <x:c r="BG118" s="17" t="n">
        <x:v>0.050881353927078</x:v>
      </x:c>
      <x:c r="BH118" s="12" t="str">
        <x:v>cash repurchases less issuance</x:v>
      </x:c>
      <x:c r="BI118" s="17" t="n">
        <x:v>0.0008779088232645617</x:v>
      </x:c>
      <x:c r="BJ118" s="19" t="n">
        <x:v>451000000</x:v>
      </x:c>
      <x:c r="BK118" s="19" t="n">
        <x:v>2724000000</x:v>
      </x:c>
      <x:c r="BL118" s="19" t="n">
        <x:v>0</x:v>
      </x:c>
      <x:c r="BM118" s="19" t="n">
        <x:v>20762000000</x:v>
      </x:c>
      <x:c r="BN118" s="19" t="n">
        <x:v>1475000000</x:v>
      </x:c>
      <x:c r="BO118" s="19" t="n">
        <x:v>5391000000</x:v>
      </x:c>
      <x:c r="BP118" s="19" t="n">
        <x:v>3191000000</x:v>
      </x:c>
      <x:c r="BQ118" s="19" t="n">
        <x:v>2200000000</x:v>
      </x:c>
      <x:c r="BR118" s="19" t="n">
        <x:v>47882000000</x:v>
      </x:c>
      <x:c r="BS118" s="19" t="n">
        <x:v>43858000000</x:v>
      </x:c>
      <x:c r="BT118" s="19" t="n">
        <x:v>7915000000</x:v>
      </x:c>
      <x:c r="BU118" s="19" t="n">
        <x:v>1099000000</x:v>
      </x:c>
      <x:c r="BV118" s="19" t="n">
        <x:v>22507000000</x:v>
      </x:c>
      <x:c r="BW118" s="19" t="n">
        <x:v>22554000000</x:v>
      </x:c>
      <x:c r="BX118" s="12" t="n">
        <x:v>209551868</x:v>
      </x:c>
      <x:c r="BY118" s="17" t="n">
        <x:v>-0.03841117415975559</x:v>
      </x:c>
      <x:c r="BZ118" s="12" t="n">
        <x:v>5</x:v>
      </x:c>
      <x:c r="CA118" s="12" t="str">
        <x:v>OK</x:v>
      </x:c>
      <x:c r="CB118" s="20" t="str">
        <x:v>https://query1.finance.yahoo.com/v8/finance/chart/LNG?period1=1704067200&amp;period2=1783728000&amp;interval=1d&amp;events=div%2Csplits</x:v>
      </x:c>
      <x:c r="CC118" s="20" t="str">
        <x:v>https://data.sec.gov/api/xbrl/companyfacts/CIK0000003570.json</x:v>
      </x:c>
      <x:c r="CD118" s="20" t="str">
        <x:v>https://data.sec.gov/submissions/CIK0000003570.json</x:v>
      </x:c>
      <x:c r="CE118" s="20" t="str">
        <x:v>https://api.nasdaq.com/api/screener/stocks?tableonly=true&amp;limit=25000&amp;download=true</x:v>
      </x:c>
    </x:row>
  </x:sheetData>
  <x:pageMargins left="0.7" right="0.7" top="0.75" bottom="0.75" header="0.3" footer="0.3"/>
  <x:tableParts count="1">
    <x:tablePart xmlns:r="http://schemas.openxmlformats.org/officeDocument/2006/relationships" r:id="R9f2289a8480245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9" hidden="0" customWidth="1"/>
    <x:col min="4" max="4" width="14" hidden="0" customWidth="1"/>
    <x:col min="5" max="5" width="19" hidden="0" customWidth="1"/>
    <x:col min="6" max="6" width="13" hidden="0" customWidth="1"/>
    <x:col min="7" max="7" width="17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48" hidden="0" customWidth="1"/>
  </x:cols>
  <x:sheetData>
    <x:row r="1" ht="34" customHeight="1">
      <x:c r="A1" s="283" t="str">
        <x:v>Analyst Revisions — Current Fiscal-Quarter EPS Consensus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</x:row>
    <x:row r="2">
      <x:c r="A2" s="292" t="str">
        <x:v>Yahoo Finance current-quarter (0q) mean EPS consensus is compared with the same consensus 30 days earlier. Positive revisions score higher within this cohort. Retrieved 2026-08-09T16:45:09.969552Z.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4"/>
    </x:row>
    <x:row r="3">
      <x:c r="A3" s="303" t="str">
        <x:v>115 of 117 rows have a valid 30-day EPS revision. No Capital IQ add-in or external workbook refresh is required; missing revision rows are handled by available-weight renormalization.</x:v>
      </x:c>
      <x:c r="B3" s="304"/>
      <x:c r="C3" s="304"/>
      <x:c r="D3" s="304"/>
      <x:c r="E3" s="304"/>
      <x:c r="F3" s="304"/>
      <x:c r="G3" s="304"/>
      <x:c r="H3" s="304"/>
      <x:c r="I3" s="304"/>
      <x:c r="J3" s="304"/>
      <x:c r="K3" s="304"/>
      <x:c r="L3" s="304"/>
      <x:c r="M3" s="305"/>
    </x:row>
    <x:row r="4">
      <x:c r="A4" s="311" t="str">
        <x:v>Revision Rank</x:v>
      </x:c>
      <x:c r="B4" s="311" t="str">
        <x:v>Ticker</x:v>
      </x:c>
      <x:c r="C4" s="311" t="str">
        <x:v>Company</x:v>
      </x:c>
      <x:c r="D4" s="311" t="str">
        <x:v>Yahoo Symbol</x:v>
      </x:c>
      <x:c r="E4" s="311" t="str">
        <x:v>Retrieved UTC</x:v>
      </x:c>
      <x:c r="F4" s="311" t="str">
        <x:v>Analyst Count</x:v>
      </x:c>
      <x:c r="G4" s="311" t="str">
        <x:v>Current-Q EPS Est.</x:v>
      </x:c>
      <x:c r="H4" s="311" t="str">
        <x:v>EPS Est. 30D Ago</x:v>
      </x:c>
      <x:c r="I4" s="311" t="str">
        <x:v>EPS Revision 30D</x:v>
      </x:c>
      <x:c r="J4" s="311" t="str">
        <x:v>Revision Percentile</x:v>
      </x:c>
      <x:c r="K4" s="311" t="str">
        <x:v>Analyst Revision Score</x:v>
      </x:c>
      <x:c r="L4" s="311" t="str">
        <x:v>Data Status</x:v>
      </x:c>
      <x:c r="M4" s="311" t="str">
        <x:v>Source URL</x:v>
      </x:c>
    </x:row>
    <x:row r="5">
      <x:c r="A5" s="53" t="n">
        <x:f>IF(ISNUMBER(K5),1+COUNTIF($K$5:$K$121,"&gt;"&amp;K5),"")</x:f>
        <x:v>17</x:v>
      </x:c>
      <x:c r="B5" s="12" t="str">
        <x:v>MUSA</x:v>
      </x:c>
      <x:c r="C5" s="12" t="str">
        <x:v>Murphy USA Inc.</x:v>
      </x:c>
      <x:c r="D5" s="312" t="str">
        <x:v>MUSA</x:v>
      </x:c>
      <x:c r="E5" s="313" t="n">
        <x:v>46243.69803204861</x:v>
      </x:c>
      <x:c r="F5" s="314" t="n">
        <x:v>6</x:v>
      </x:c>
      <x:c r="G5" s="315" t="n">
        <x:v>8.355</x:v>
      </x:c>
      <x:c r="H5" s="315" t="n">
        <x:v>8.1332</x:v>
      </x:c>
      <x:c r="I5" s="316" t="n">
        <x:v>0.02727093886785029</x:v>
      </x:c>
      <x:c r="J5" s="317" t="n">
        <x:f>IF(NOT(ISNUMBER(I5)),"",IFERROR(PERCENTRANK.INC($I$5:$I$121,I5),""))</x:f>
        <x:v>0.862</x:v>
      </x:c>
      <x:c r="K5" s="52" t="n">
        <x:f>IF(NOT(ISNUMBER(J5)),"",1+9*J5)</x:f>
        <x:v>8.758</x:v>
      </x:c>
      <x:c r="L5" s="12" t="str">
        <x:v>OK</x:v>
      </x:c>
      <x:c r="M5" s="20" t="str">
        <x:v>https://finance.yahoo.com/quote/MUSA/analysis/</x:v>
      </x:c>
    </x:row>
    <x:row r="6">
      <x:c r="A6" s="53" t="n">
        <x:f>IF(ISNUMBER(K6),1+COUNTIF($K$5:$K$121,"&gt;"&amp;K6),"")</x:f>
        <x:v>99</x:v>
      </x:c>
      <x:c r="B6" s="12" t="str">
        <x:v>RRC</x:v>
      </x:c>
      <x:c r="C6" s="12" t="str">
        <x:v>Range Resources Corp.</x:v>
      </x:c>
      <x:c r="D6" s="312" t="str">
        <x:v>RRC</x:v>
      </x:c>
      <x:c r="E6" s="313" t="n">
        <x:v>46243.69803204861</x:v>
      </x:c>
      <x:c r="F6" s="314" t="n">
        <x:v>20</x:v>
      </x:c>
      <x:c r="G6" s="315" t="n">
        <x:v>0.79558</x:v>
      </x:c>
      <x:c r="H6" s="315" t="n">
        <x:v>0.85599</x:v>
      </x:c>
      <x:c r="I6" s="316" t="n">
        <x:v>-0.07057325436044821</x:v>
      </x:c>
      <x:c r="J6" s="317" t="n">
        <x:f>IF(NOT(ISNUMBER(I6)),"",IFERROR(PERCENTRANK.INC($I$5:$I$121,I6),""))</x:f>
        <x:v>0.137</x:v>
      </x:c>
      <x:c r="K6" s="52" t="n">
        <x:f>IF(NOT(ISNUMBER(J6)),"",1+9*J6)</x:f>
        <x:v>2.233</x:v>
      </x:c>
      <x:c r="L6" s="12" t="str">
        <x:v>OK</x:v>
      </x:c>
      <x:c r="M6" s="20" t="str">
        <x:v>https://finance.yahoo.com/quote/RRC/analysis/</x:v>
      </x:c>
    </x:row>
    <x:row r="7">
      <x:c r="A7" s="53" t="n">
        <x:f>IF(ISNUMBER(K7),1+COUNTIF($K$5:$K$121,"&gt;"&amp;K7),"")</x:f>
        <x:v>6</x:v>
      </x:c>
      <x:c r="B7" s="12" t="str">
        <x:v>ALL</x:v>
      </x:c>
      <x:c r="C7" s="12" t="str">
        <x:v>The Allstate Corp.</x:v>
      </x:c>
      <x:c r="D7" s="312" t="str">
        <x:v>ALL</x:v>
      </x:c>
      <x:c r="E7" s="313" t="n">
        <x:v>46243.69803204861</x:v>
      </x:c>
      <x:c r="F7" s="314" t="n">
        <x:v>20</x:v>
      </x:c>
      <x:c r="G7" s="315" t="n">
        <x:v>6.2408</x:v>
      </x:c>
      <x:c r="H7" s="315" t="n">
        <x:v>5.88215</x:v>
      </x:c>
      <x:c r="I7" s="316" t="n">
        <x:v>0.060972603554822626</x:v>
      </x:c>
      <x:c r="J7" s="317" t="n">
        <x:f>IF(NOT(ISNUMBER(I7)),"",IFERROR(PERCENTRANK.INC($I$5:$I$121,I7),""))</x:f>
        <x:v>0.956</x:v>
      </x:c>
      <x:c r="K7" s="52" t="n">
        <x:f>IF(NOT(ISNUMBER(J7)),"",1+9*J7)</x:f>
        <x:v>9.604</x:v>
      </x:c>
      <x:c r="L7" s="12" t="str">
        <x:v>OK</x:v>
      </x:c>
      <x:c r="M7" s="20" t="str">
        <x:v>https://finance.yahoo.com/quote/ALL/analysis/</x:v>
      </x:c>
    </x:row>
    <x:row r="8">
      <x:c r="A8" s="53" t="n">
        <x:f>IF(ISNUMBER(K8),1+COUNTIF($K$5:$K$121,"&gt;"&amp;K8),"")</x:f>
        <x:v>105</x:v>
      </x:c>
      <x:c r="B8" s="12" t="str">
        <x:v>APA</x:v>
      </x:c>
      <x:c r="C8" s="12" t="str">
        <x:v>APA Corp.</x:v>
      </x:c>
      <x:c r="D8" s="312" t="str">
        <x:v>APA</x:v>
      </x:c>
      <x:c r="E8" s="313" t="n">
        <x:v>46243.69803204861</x:v>
      </x:c>
      <x:c r="F8" s="314" t="n">
        <x:v>21</x:v>
      </x:c>
      <x:c r="G8" s="315" t="n">
        <x:v>1.18139</x:v>
      </x:c>
      <x:c r="H8" s="315" t="n">
        <x:v>1.41955</x:v>
      </x:c>
      <x:c r="I8" s="316" t="n">
        <x:v>-0.16777147687647503</x:v>
      </x:c>
      <x:c r="J8" s="317" t="n">
        <x:f>IF(NOT(ISNUMBER(I8)),"",IFERROR(PERCENTRANK.INC($I$5:$I$121,I8),""))</x:f>
        <x:v>0.086</x:v>
      </x:c>
      <x:c r="K8" s="52" t="n">
        <x:f>IF(NOT(ISNUMBER(J8)),"",1+9*J8)</x:f>
        <x:v>1.774</x:v>
      </x:c>
      <x:c r="L8" s="12" t="str">
        <x:v>OK</x:v>
      </x:c>
      <x:c r="M8" s="20" t="str">
        <x:v>https://finance.yahoo.com/quote/APA/analysis/</x:v>
      </x:c>
    </x:row>
    <x:row r="9">
      <x:c r="A9" s="53" t="n">
        <x:f>IF(ISNUMBER(K9),1+COUNTIF($K$5:$K$121,"&gt;"&amp;K9),"")</x:f>
        <x:v>93</x:v>
      </x:c>
      <x:c r="B9" s="12" t="str">
        <x:v>AXS</x:v>
      </x:c>
      <x:c r="C9" s="12" t="str">
        <x:v>Axis Capital Holdings Ltd.</x:v>
      </x:c>
      <x:c r="D9" s="312" t="str">
        <x:v>AXS</x:v>
      </x:c>
      <x:c r="E9" s="313" t="n">
        <x:v>46243.69803204861</x:v>
      </x:c>
      <x:c r="F9" s="314" t="n">
        <x:v>12</x:v>
      </x:c>
      <x:c r="G9" s="315" t="n">
        <x:v>2.84947</x:v>
      </x:c>
      <x:c r="H9" s="315" t="n">
        <x:v>2.98368</x:v>
      </x:c>
      <x:c r="I9" s="316" t="n">
        <x:v>-0.044981365293865275</x:v>
      </x:c>
      <x:c r="J9" s="317" t="n">
        <x:f>IF(NOT(ISNUMBER(I9)),"",IFERROR(PERCENTRANK.INC($I$5:$I$121,I9),""))</x:f>
        <x:v>0.189</x:v>
      </x:c>
      <x:c r="K9" s="52" t="n">
        <x:f>IF(NOT(ISNUMBER(J9)),"",1+9*J9)</x:f>
        <x:v>2.701</x:v>
      </x:c>
      <x:c r="L9" s="12" t="str">
        <x:v>OK</x:v>
      </x:c>
      <x:c r="M9" s="20" t="str">
        <x:v>https://finance.yahoo.com/quote/AXS/analysis/</x:v>
      </x:c>
    </x:row>
    <x:row r="10">
      <x:c r="A10" s="53" t="n">
        <x:f>IF(ISNUMBER(K10),1+COUNTIF($K$5:$K$121,"&gt;"&amp;K10),"")</x:f>
        <x:v>9</x:v>
      </x:c>
      <x:c r="B10" s="12" t="str">
        <x:v>RNR</x:v>
      </x:c>
      <x:c r="C10" s="12" t="str">
        <x:v>RenaissanceRe Holdings Ltd.</x:v>
      </x:c>
      <x:c r="D10" s="312" t="str">
        <x:v>RNR</x:v>
      </x:c>
      <x:c r="E10" s="313" t="n">
        <x:v>46243.69803204861</x:v>
      </x:c>
      <x:c r="F10" s="314" t="n">
        <x:v>15</x:v>
      </x:c>
      <x:c r="G10" s="315" t="n">
        <x:v>6.73745</x:v>
      </x:c>
      <x:c r="H10" s="315" t="n">
        <x:v>6.42601</x:v>
      </x:c>
      <x:c r="I10" s="316" t="n">
        <x:v>0.04846553304461091</x:v>
      </x:c>
      <x:c r="J10" s="317" t="n">
        <x:f>IF(NOT(ISNUMBER(I10)),"",IFERROR(PERCENTRANK.INC($I$5:$I$121,I10),""))</x:f>
        <x:v>0.931</x:v>
      </x:c>
      <x:c r="K10" s="52" t="n">
        <x:f>IF(NOT(ISNUMBER(J10)),"",1+9*J10)</x:f>
        <x:v>9.379000000000001</x:v>
      </x:c>
      <x:c r="L10" s="12" t="str">
        <x:v>OK</x:v>
      </x:c>
      <x:c r="M10" s="20" t="str">
        <x:v>https://finance.yahoo.com/quote/RNR/analysis/</x:v>
      </x:c>
    </x:row>
    <x:row r="11">
      <x:c r="A11" s="53" t="n">
        <x:f>IF(ISNUMBER(K11),1+COUNTIF($K$5:$K$121,"&gt;"&amp;K11),"")</x:f>
        <x:v>4</x:v>
      </x:c>
      <x:c r="B11" s="12" t="str">
        <x:v>TRV</x:v>
      </x:c>
      <x:c r="C11" s="12" t="str">
        <x:v>The Travelers Cos. Inc.</x:v>
      </x:c>
      <x:c r="D11" s="312" t="str">
        <x:v>TRV</x:v>
      </x:c>
      <x:c r="E11" s="313" t="n">
        <x:v>46243.69803204861</x:v>
      </x:c>
      <x:c r="F11" s="314" t="n">
        <x:v>23</x:v>
      </x:c>
      <x:c r="G11" s="315" t="n">
        <x:v>6.80782</x:v>
      </x:c>
      <x:c r="H11" s="315" t="n">
        <x:v>6.36583</x:v>
      </x:c>
      <x:c r="I11" s="316" t="n">
        <x:v>0.069431637351296</x:v>
      </x:c>
      <x:c r="J11" s="317" t="n">
        <x:f>IF(NOT(ISNUMBER(I11)),"",IFERROR(PERCENTRANK.INC($I$5:$I$121,I11),""))</x:f>
        <x:v>0.974</x:v>
      </x:c>
      <x:c r="K11" s="52" t="n">
        <x:f>IF(NOT(ISNUMBER(J11)),"",1+9*J11)</x:f>
        <x:v>9.766</x:v>
      </x:c>
      <x:c r="L11" s="12" t="str">
        <x:v>OK</x:v>
      </x:c>
      <x:c r="M11" s="20" t="str">
        <x:v>https://finance.yahoo.com/quote/TRV/analysis/</x:v>
      </x:c>
    </x:row>
    <x:row r="12">
      <x:c r="A12" s="53" t="n">
        <x:f>IF(ISNUMBER(K12),1+COUNTIF($K$5:$K$121,"&gt;"&amp;K12),"")</x:f>
        <x:v>110</x:v>
      </x:c>
      <x:c r="B12" s="12" t="str">
        <x:v>CF</x:v>
      </x:c>
      <x:c r="C12" s="12" t="str">
        <x:v>CF Industries Holdings Inc.</x:v>
      </x:c>
      <x:c r="D12" s="312" t="str">
        <x:v>CF</x:v>
      </x:c>
      <x:c r="E12" s="313" t="n">
        <x:v>46243.69803204861</x:v>
      </x:c>
      <x:c r="F12" s="314" t="n">
        <x:v>4</x:v>
      </x:c>
      <x:c r="G12" s="315" t="n">
        <x:v>3.1895</x:v>
      </x:c>
      <x:c r="H12" s="315" t="n">
        <x:v>4.43814</x:v>
      </x:c>
      <x:c r="I12" s="316" t="n">
        <x:v>-0.2813430851663084</x:v>
      </x:c>
      <x:c r="J12" s="317" t="n">
        <x:f>IF(NOT(ISNUMBER(I12)),"",IFERROR(PERCENTRANK.INC($I$5:$I$121,I12),""))</x:f>
        <x:v>0.043</x:v>
      </x:c>
      <x:c r="K12" s="52" t="n">
        <x:f>IF(NOT(ISNUMBER(J12)),"",1+9*J12)</x:f>
        <x:v>1.387</x:v>
      </x:c>
      <x:c r="L12" s="12" t="str">
        <x:v>OK</x:v>
      </x:c>
      <x:c r="M12" s="20" t="str">
        <x:v>https://finance.yahoo.com/quote/CF/analysis/</x:v>
      </x:c>
    </x:row>
    <x:row r="13">
      <x:c r="A13" s="53" t="n">
        <x:f>IF(ISNUMBER(K13),1+COUNTIF($K$5:$K$121,"&gt;"&amp;K13),"")</x:f>
        <x:v>29</x:v>
      </x:c>
      <x:c r="B13" s="12" t="str">
        <x:v>AFL</x:v>
      </x:c>
      <x:c r="C13" s="12" t="str">
        <x:v>Aflac Inc.</x:v>
      </x:c>
      <x:c r="D13" s="312" t="str">
        <x:v>AFL</x:v>
      </x:c>
      <x:c r="E13" s="313" t="n">
        <x:v>46243.69803204861</x:v>
      </x:c>
      <x:c r="F13" s="314" t="n">
        <x:v>5</x:v>
      </x:c>
      <x:c r="G13" s="315" t="n">
        <x:v>1.82196</x:v>
      </x:c>
      <x:c r="H13" s="315" t="n">
        <x:v>1.79374</x:v>
      </x:c>
      <x:c r="I13" s="316" t="n">
        <x:v>0.015732491888456598</x:v>
      </x:c>
      <x:c r="J13" s="317" t="n">
        <x:f>IF(NOT(ISNUMBER(I13)),"",IFERROR(PERCENTRANK.INC($I$5:$I$121,I13),""))</x:f>
        <x:v>0.758</x:v>
      </x:c>
      <x:c r="K13" s="52" t="n">
        <x:f>IF(NOT(ISNUMBER(J13)),"",1+9*J13)</x:f>
        <x:v>7.822</x:v>
      </x:c>
      <x:c r="L13" s="12" t="str">
        <x:v>OK</x:v>
      </x:c>
      <x:c r="M13" s="20" t="str">
        <x:v>https://finance.yahoo.com/quote/AFL/analysis/</x:v>
      </x:c>
    </x:row>
    <x:row r="14">
      <x:c r="A14" s="53" t="n">
        <x:f>IF(ISNUMBER(K14),1+COUNTIF($K$5:$K$121,"&gt;"&amp;K14),"")</x:f>
        <x:v>86</x:v>
      </x:c>
      <x:c r="B14" s="12" t="str">
        <x:v>MKTX</x:v>
      </x:c>
      <x:c r="C14" s="12" t="str">
        <x:v>MarketAxess Holdings Inc.</x:v>
      </x:c>
      <x:c r="D14" s="312" t="str">
        <x:v>MKTX</x:v>
      </x:c>
      <x:c r="E14" s="313" t="n">
        <x:v>46243.69803204861</x:v>
      </x:c>
      <x:c r="F14" s="314" t="n">
        <x:v>7</x:v>
      </x:c>
      <x:c r="G14" s="315" t="n">
        <x:v>1.96738</x:v>
      </x:c>
      <x:c r="H14" s="315" t="n">
        <x:v>2.01392</x:v>
      </x:c>
      <x:c r="I14" s="316" t="n">
        <x:v>-0.02310916024469703</x:v>
      </x:c>
      <x:c r="J14" s="317" t="n">
        <x:f>IF(NOT(ISNUMBER(I14)),"",IFERROR(PERCENTRANK.INC($I$5:$I$121,I14),""))</x:f>
        <x:v>0.25</x:v>
      </x:c>
      <x:c r="K14" s="52" t="n">
        <x:f>IF(NOT(ISNUMBER(J14)),"",1+9*J14)</x:f>
        <x:v>3.25</x:v>
      </x:c>
      <x:c r="L14" s="12" t="str">
        <x:v>OK</x:v>
      </x:c>
      <x:c r="M14" s="20" t="str">
        <x:v>https://finance.yahoo.com/quote/MKTX/analysis/</x:v>
      </x:c>
    </x:row>
    <x:row r="15">
      <x:c r="A15" s="53" t="n">
        <x:f>IF(ISNUMBER(K15),1+COUNTIF($K$5:$K$121,"&gt;"&amp;K15),"")</x:f>
        <x:v>13</x:v>
      </x:c>
      <x:c r="B15" s="12" t="str">
        <x:v>FTI</x:v>
      </x:c>
      <x:c r="C15" s="12" t="str">
        <x:v>TechnipFMC PLC</x:v>
      </x:c>
      <x:c r="D15" s="312" t="str">
        <x:v>FTI</x:v>
      </x:c>
      <x:c r="E15" s="313" t="n">
        <x:v>46243.69803204861</x:v>
      </x:c>
      <x:c r="F15" s="314" t="n">
        <x:v>12</x:v>
      </x:c>
      <x:c r="G15" s="315" t="n">
        <x:v>0.87386</x:v>
      </x:c>
      <x:c r="H15" s="315" t="n">
        <x:v>0.84262</x:v>
      </x:c>
      <x:c r="I15" s="316" t="n">
        <x:v>0.0370748380052692</x:v>
      </x:c>
      <x:c r="J15" s="317" t="n">
        <x:f>IF(NOT(ISNUMBER(I15)),"",IFERROR(PERCENTRANK.INC($I$5:$I$121,I15),""))</x:f>
        <x:v>0.896</x:v>
      </x:c>
      <x:c r="K15" s="52" t="n">
        <x:f>IF(NOT(ISNUMBER(J15)),"",1+9*J15)</x:f>
        <x:v>9.064</x:v>
      </x:c>
      <x:c r="L15" s="12" t="str">
        <x:v>OK</x:v>
      </x:c>
      <x:c r="M15" s="20" t="str">
        <x:v>https://finance.yahoo.com/quote/FTI/analysis/</x:v>
      </x:c>
    </x:row>
    <x:row r="16">
      <x:c r="A16" s="53" t="n">
        <x:f>IF(ISNUMBER(K16),1+COUNTIF($K$5:$K$121,"&gt;"&amp;K16),"")</x:f>
        <x:v>112</x:v>
      </x:c>
      <x:c r="B16" s="12" t="str">
        <x:v>PPC</x:v>
      </x:c>
      <x:c r="C16" s="12" t="str">
        <x:v>Pilgrim's Pride Corp.</x:v>
      </x:c>
      <x:c r="D16" s="312" t="str">
        <x:v>PPC</x:v>
      </x:c>
      <x:c r="E16" s="313" t="n">
        <x:v>46243.69803204861</x:v>
      </x:c>
      <x:c r="F16" s="314" t="n">
        <x:v>4</x:v>
      </x:c>
      <x:c r="G16" s="315" t="n">
        <x:v>0.7175</x:v>
      </x:c>
      <x:c r="H16" s="315" t="n">
        <x:v>1.045</x:v>
      </x:c>
      <x:c r="I16" s="316" t="n">
        <x:v>-0.3133971291866028</x:v>
      </x:c>
      <x:c r="J16" s="317" t="n">
        <x:f>IF(NOT(ISNUMBER(I16)),"",IFERROR(PERCENTRANK.INC($I$5:$I$121,I16),""))</x:f>
        <x:v>0.025</x:v>
      </x:c>
      <x:c r="K16" s="52" t="n">
        <x:f>IF(NOT(ISNUMBER(J16)),"",1+9*J16)</x:f>
        <x:v>1.225</x:v>
      </x:c>
      <x:c r="L16" s="12" t="str">
        <x:v>OK</x:v>
      </x:c>
      <x:c r="M16" s="20" t="str">
        <x:v>https://finance.yahoo.com/quote/PPC/analysis/</x:v>
      </x:c>
    </x:row>
    <x:row r="17">
      <x:c r="A17" s="53" t="n">
        <x:f>IF(ISNUMBER(K17),1+COUNTIF($K$5:$K$121,"&gt;"&amp;K17),"")</x:f>
        <x:v>96</x:v>
      </x:c>
      <x:c r="B17" s="12" t="str">
        <x:v>NYT</x:v>
      </x:c>
      <x:c r="C17" s="12" t="str">
        <x:v>The New York Times Co.</x:v>
      </x:c>
      <x:c r="D17" s="312" t="str">
        <x:v>NYT</x:v>
      </x:c>
      <x:c r="E17" s="313" t="n">
        <x:v>46243.69803204861</x:v>
      </x:c>
      <x:c r="F17" s="314" t="n">
        <x:v>7</x:v>
      </x:c>
      <x:c r="G17" s="315" t="n">
        <x:v>0.63958</x:v>
      </x:c>
      <x:c r="H17" s="315" t="n">
        <x:v>0.6739</x:v>
      </x:c>
      <x:c r="I17" s="316" t="n">
        <x:v>-0.05092743730523819</x:v>
      </x:c>
      <x:c r="J17" s="317" t="n">
        <x:f>IF(NOT(ISNUMBER(I17)),"",IFERROR(PERCENTRANK.INC($I$5:$I$121,I17),""))</x:f>
        <x:v>0.163</x:v>
      </x:c>
      <x:c r="K17" s="52" t="n">
        <x:f>IF(NOT(ISNUMBER(J17)),"",1+9*J17)</x:f>
        <x:v>2.467</x:v>
      </x:c>
      <x:c r="L17" s="12" t="str">
        <x:v>OK</x:v>
      </x:c>
      <x:c r="M17" s="20" t="str">
        <x:v>https://finance.yahoo.com/quote/NYT/analysis/</x:v>
      </x:c>
    </x:row>
    <x:row r="18">
      <x:c r="A18" s="53" t="n">
        <x:f>IF(ISNUMBER(K18),1+COUNTIF($K$5:$K$121,"&gt;"&amp;K18),"")</x:f>
        <x:v>87</x:v>
      </x:c>
      <x:c r="B18" s="12" t="str">
        <x:v>EG</x:v>
      </x:c>
      <x:c r="C18" s="12" t="str">
        <x:v>Everest Group Ltd.</x:v>
      </x:c>
      <x:c r="D18" s="312" t="str">
        <x:v>EG</x:v>
      </x:c>
      <x:c r="E18" s="313" t="n">
        <x:v>46243.69803204861</x:v>
      </x:c>
      <x:c r="F18" s="314" t="n">
        <x:v>12</x:v>
      </x:c>
      <x:c r="G18" s="315" t="n">
        <x:v>8.13645</x:v>
      </x:c>
      <x:c r="H18" s="315" t="n">
        <x:v>8.33097</x:v>
      </x:c>
      <x:c r="I18" s="316" t="n">
        <x:v>-0.023349021782577622</x:v>
      </x:c>
      <x:c r="J18" s="317" t="n">
        <x:f>IF(NOT(ISNUMBER(I18)),"",IFERROR(PERCENTRANK.INC($I$5:$I$121,I18),""))</x:f>
        <x:v>0.241</x:v>
      </x:c>
      <x:c r="K18" s="52" t="n">
        <x:f>IF(NOT(ISNUMBER(J18)),"",1+9*J18)</x:f>
        <x:v>3.169</x:v>
      </x:c>
      <x:c r="L18" s="12" t="str">
        <x:v>OK</x:v>
      </x:c>
      <x:c r="M18" s="20" t="str">
        <x:v>https://finance.yahoo.com/quote/EG/analysis/</x:v>
      </x:c>
    </x:row>
    <x:row r="19">
      <x:c r="A19" s="53" t="n">
        <x:f>IF(ISNUMBER(K19),1+COUNTIF($K$5:$K$121,"&gt;"&amp;K19),"")</x:f>
        <x:v>74</x:v>
      </x:c>
      <x:c r="B19" s="12" t="str">
        <x:v>HIG</x:v>
      </x:c>
      <x:c r="C19" s="12" t="str">
        <x:v>The Hartford Insurance Group Inc.</x:v>
      </x:c>
      <x:c r="D19" s="312" t="str">
        <x:v>HIG</x:v>
      </x:c>
      <x:c r="E19" s="313" t="n">
        <x:v>46243.69803204861</x:v>
      </x:c>
      <x:c r="F19" s="314" t="n">
        <x:v>21</x:v>
      </x:c>
      <x:c r="G19" s="315" t="n">
        <x:v>3.06153</x:v>
      </x:c>
      <x:c r="H19" s="315" t="n">
        <x:v>3.10025</x:v>
      </x:c>
      <x:c r="I19" s="316" t="n">
        <x:v>-0.012489315377792142</x:v>
      </x:c>
      <x:c r="J19" s="317" t="n">
        <x:f>IF(NOT(ISNUMBER(I19)),"",IFERROR(PERCENTRANK.INC($I$5:$I$121,I19),""))</x:f>
        <x:v>0.353</x:v>
      </x:c>
      <x:c r="K19" s="52" t="n">
        <x:f>IF(NOT(ISNUMBER(J19)),"",1+9*J19)</x:f>
        <x:v>4.177</x:v>
      </x:c>
      <x:c r="L19" s="12" t="str">
        <x:v>OK</x:v>
      </x:c>
      <x:c r="M19" s="20" t="str">
        <x:v>https://finance.yahoo.com/quote/HIG/analysis/</x:v>
      </x:c>
    </x:row>
    <x:row r="20">
      <x:c r="A20" s="53" t="n">
        <x:f>IF(ISNUMBER(K20),1+COUNTIF($K$5:$K$121,"&gt;"&amp;K20),"")</x:f>
        <x:v>28</x:v>
      </x:c>
      <x:c r="B20" s="12" t="str">
        <x:v>GD</x:v>
      </x:c>
      <x:c r="C20" s="12" t="str">
        <x:v>General Dynamics Corp.</x:v>
      </x:c>
      <x:c r="D20" s="312" t="str">
        <x:v>GD</x:v>
      </x:c>
      <x:c r="E20" s="313" t="n">
        <x:v>46243.69803204861</x:v>
      </x:c>
      <x:c r="F20" s="314" t="n">
        <x:v>17</x:v>
      </x:c>
      <x:c r="G20" s="315" t="n">
        <x:v>4.13535</x:v>
      </x:c>
      <x:c r="H20" s="315" t="n">
        <x:v>4.07078</x:v>
      </x:c>
      <x:c r="I20" s="316" t="n">
        <x:v>0.015861825006509758</x:v>
      </x:c>
      <x:c r="J20" s="317" t="n">
        <x:f>IF(NOT(ISNUMBER(I20)),"",IFERROR(PERCENTRANK.INC($I$5:$I$121,I20),""))</x:f>
        <x:v>0.767</x:v>
      </x:c>
      <x:c r="K20" s="52" t="n">
        <x:f>IF(NOT(ISNUMBER(J20)),"",1+9*J20)</x:f>
        <x:v>7.9030000000000005</x:v>
      </x:c>
      <x:c r="L20" s="12" t="str">
        <x:v>OK</x:v>
      </x:c>
      <x:c r="M20" s="20" t="str">
        <x:v>https://finance.yahoo.com/quote/GD/analysis/</x:v>
      </x:c>
    </x:row>
    <x:row r="21">
      <x:c r="A21" s="53" t="n">
        <x:f>IF(ISNUMBER(K21),1+COUNTIF($K$5:$K$121,"&gt;"&amp;K21),"")</x:f>
        <x:v>95</x:v>
      </x:c>
      <x:c r="B21" s="12" t="str">
        <x:v>SFM</x:v>
      </x:c>
      <x:c r="C21" s="12" t="str">
        <x:v>Sprouts Farmers Market Inc.</x:v>
      </x:c>
      <x:c r="D21" s="312" t="str">
        <x:v>SFM</x:v>
      </x:c>
      <x:c r="E21" s="313" t="n">
        <x:v>46243.69803204861</x:v>
      </x:c>
      <x:c r="F21" s="314" t="n">
        <x:v>10</x:v>
      </x:c>
      <x:c r="G21" s="315" t="n">
        <x:v>1.23869</x:v>
      </x:c>
      <x:c r="H21" s="315" t="n">
        <x:v>1.30289</x:v>
      </x:c>
      <x:c r="I21" s="316" t="n">
        <x:v>-0.04927507310670896</x:v>
      </x:c>
      <x:c r="J21" s="317" t="n">
        <x:f>IF(NOT(ISNUMBER(I21)),"",IFERROR(PERCENTRANK.INC($I$5:$I$121,I21),""))</x:f>
        <x:v>0.172</x:v>
      </x:c>
      <x:c r="K21" s="52" t="n">
        <x:f>IF(NOT(ISNUMBER(J21)),"",1+9*J21)</x:f>
        <x:v>2.548</x:v>
      </x:c>
      <x:c r="L21" s="12" t="str">
        <x:v>OK</x:v>
      </x:c>
      <x:c r="M21" s="20" t="str">
        <x:v>https://finance.yahoo.com/quote/SFM/analysis/</x:v>
      </x:c>
    </x:row>
    <x:row r="22">
      <x:c r="A22" s="53" t="n">
        <x:f>IF(ISNUMBER(K22),1+COUNTIF($K$5:$K$121,"&gt;"&amp;K22),"")</x:f>
        <x:v>5</x:v>
      </x:c>
      <x:c r="B22" s="12" t="str">
        <x:v>THG</x:v>
      </x:c>
      <x:c r="C22" s="12" t="str">
        <x:v>The Hanover Insurance Group Inc.</x:v>
      </x:c>
      <x:c r="D22" s="312" t="str">
        <x:v>THG</x:v>
      </x:c>
      <x:c r="E22" s="313" t="n">
        <x:v>46243.69803204861</x:v>
      </x:c>
      <x:c r="F22" s="314" t="n">
        <x:v>7</x:v>
      </x:c>
      <x:c r="G22" s="315" t="n">
        <x:v>4.45714</x:v>
      </x:c>
      <x:c r="H22" s="315" t="n">
        <x:v>4.17429</x:v>
      </x:c>
      <x:c r="I22" s="316" t="n">
        <x:v>0.06776002625596204</x:v>
      </x:c>
      <x:c r="J22" s="317" t="n">
        <x:f>IF(NOT(ISNUMBER(I22)),"",IFERROR(PERCENTRANK.INC($I$5:$I$121,I22),""))</x:f>
        <x:v>0.965</x:v>
      </x:c>
      <x:c r="K22" s="52" t="n">
        <x:f>IF(NOT(ISNUMBER(J22)),"",1+9*J22)</x:f>
        <x:v>9.685</x:v>
      </x:c>
      <x:c r="L22" s="12" t="str">
        <x:v>OK</x:v>
      </x:c>
      <x:c r="M22" s="20" t="str">
        <x:v>https://finance.yahoo.com/quote/THG/analysis/</x:v>
      </x:c>
    </x:row>
    <x:row r="23">
      <x:c r="A23" s="53" t="n">
        <x:f>IF(ISNUMBER(K23),1+COUNTIF($K$5:$K$121,"&gt;"&amp;K23),"")</x:f>
        <x:v>64</x:v>
      </x:c>
      <x:c r="B23" s="12" t="str">
        <x:v>AIG</x:v>
      </x:c>
      <x:c r="C23" s="12" t="str">
        <x:v>American International Group Inc.</x:v>
      </x:c>
      <x:c r="D23" s="312" t="str">
        <x:v>AIG</x:v>
      </x:c>
      <x:c r="E23" s="313" t="n">
        <x:v>46243.69803204861</x:v>
      </x:c>
      <x:c r="F23" s="314" t="n">
        <x:v>17</x:v>
      </x:c>
      <x:c r="G23" s="315" t="n">
        <x:v>1.8173</x:v>
      </x:c>
      <x:c r="H23" s="315" t="n">
        <x:v>1.82927</x:v>
      </x:c>
      <x:c r="I23" s="316" t="n">
        <x:v>-0.00654359389264572</x:v>
      </x:c>
      <x:c r="J23" s="317" t="n">
        <x:f>IF(NOT(ISNUMBER(I23)),"",IFERROR(PERCENTRANK.INC($I$5:$I$121,I23),""))</x:f>
        <x:v>0.439</x:v>
      </x:c>
      <x:c r="K23" s="52" t="n">
        <x:f>IF(NOT(ISNUMBER(J23)),"",1+9*J23)</x:f>
        <x:v>4.9510000000000005</x:v>
      </x:c>
      <x:c r="L23" s="12" t="str">
        <x:v>OK</x:v>
      </x:c>
      <x:c r="M23" s="20" t="str">
        <x:v>https://finance.yahoo.com/quote/AIG/analysis/</x:v>
      </x:c>
    </x:row>
    <x:row r="24">
      <x:c r="A24" s="53" t="n">
        <x:f>IF(ISNUMBER(K24),1+COUNTIF($K$5:$K$121,"&gt;"&amp;K24),"")</x:f>
        <x:v>26</x:v>
      </x:c>
      <x:c r="B24" s="12" t="str">
        <x:v>RTX</x:v>
      </x:c>
      <x:c r="C24" s="12" t="str">
        <x:v>RTX Corp.</x:v>
      </x:c>
      <x:c r="D24" s="312" t="str">
        <x:v>RTX</x:v>
      </x:c>
      <x:c r="E24" s="313" t="n">
        <x:v>46243.69803204861</x:v>
      </x:c>
      <x:c r="F24" s="314" t="n">
        <x:v>18</x:v>
      </x:c>
      <x:c r="G24" s="315" t="n">
        <x:v>1.76732</x:v>
      </x:c>
      <x:c r="H24" s="315" t="n">
        <x:v>1.73017</x:v>
      </x:c>
      <x:c r="I24" s="316" t="n">
        <x:v>0.021471878485929137</x:v>
      </x:c>
      <x:c r="J24" s="317" t="n">
        <x:f>IF(NOT(ISNUMBER(I24)),"",IFERROR(PERCENTRANK.INC($I$5:$I$121,I24),""))</x:f>
        <x:v>0.784</x:v>
      </x:c>
      <x:c r="K24" s="52" t="n">
        <x:f>IF(NOT(ISNUMBER(J24)),"",1+9*J24)</x:f>
        <x:v>8.056000000000001</x:v>
      </x:c>
      <x:c r="L24" s="12" t="str">
        <x:v>OK</x:v>
      </x:c>
      <x:c r="M24" s="20" t="str">
        <x:v>https://finance.yahoo.com/quote/RTX/analysis/</x:v>
      </x:c>
    </x:row>
    <x:row r="25">
      <x:c r="A25" s="53" t="n">
        <x:f>IF(ISNUMBER(K25),1+COUNTIF($K$5:$K$121,"&gt;"&amp;K25),"")</x:f>
        <x:v>46</x:v>
      </x:c>
      <x:c r="B25" s="12" t="str">
        <x:v>ACGL</x:v>
      </x:c>
      <x:c r="C25" s="12" t="str">
        <x:v>Arch Capital Group Ltd.</x:v>
      </x:c>
      <x:c r="D25" s="312" t="str">
        <x:v>ACGL</x:v>
      </x:c>
      <x:c r="E25" s="313" t="n">
        <x:v>46243.69803204861</x:v>
      </x:c>
      <x:c r="F25" s="314" t="n">
        <x:v>18</x:v>
      </x:c>
      <x:c r="G25" s="315" t="n">
        <x:v>1.84167</x:v>
      </x:c>
      <x:c r="H25" s="315" t="n">
        <x:v>1.84103</x:v>
      </x:c>
      <x:c r="I25" s="316" t="n">
        <x:v>0.0003476314888947893</x:v>
      </x:c>
      <x:c r="J25" s="317" t="n">
        <x:f>IF(NOT(ISNUMBER(I25)),"",IFERROR(PERCENTRANK.INC($I$5:$I$121,I25),""))</x:f>
        <x:v>0.612</x:v>
      </x:c>
      <x:c r="K25" s="52" t="n">
        <x:f>IF(NOT(ISNUMBER(J25)),"",1+9*J25)</x:f>
        <x:v>6.508</x:v>
      </x:c>
      <x:c r="L25" s="12" t="str">
        <x:v>OK</x:v>
      </x:c>
      <x:c r="M25" s="20" t="str">
        <x:v>https://finance.yahoo.com/quote/ACGL/analysis/</x:v>
      </x:c>
    </x:row>
    <x:row r="26">
      <x:c r="A26" s="53" t="n">
        <x:f>IF(ISNUMBER(K26),1+COUNTIF($K$5:$K$121,"&gt;"&amp;K26),"")</x:f>
        <x:v>38</x:v>
      </x:c>
      <x:c r="B26" s="12" t="str">
        <x:v>DOX</x:v>
      </x:c>
      <x:c r="C26" s="12" t="str">
        <x:v>Amdocs Ltd.</x:v>
      </x:c>
      <x:c r="D26" s="312" t="str">
        <x:v>DOX</x:v>
      </x:c>
      <x:c r="E26" s="313" t="n">
        <x:v>46243.69803204861</x:v>
      </x:c>
      <x:c r="F26" s="314" t="n">
        <x:v>5</x:v>
      </x:c>
      <x:c r="G26" s="315" t="n">
        <x:v>1.978</x:v>
      </x:c>
      <x:c r="H26" s="315" t="n">
        <x:v>1.9675</x:v>
      </x:c>
      <x:c r="I26" s="316" t="n">
        <x:v>0.0053367217280812975</x:v>
      </x:c>
      <x:c r="J26" s="317" t="n">
        <x:f>IF(NOT(ISNUMBER(I26)),"",IFERROR(PERCENTRANK.INC($I$5:$I$121,I26),""))</x:f>
        <x:v>0.681</x:v>
      </x:c>
      <x:c r="K26" s="52" t="n">
        <x:f>IF(NOT(ISNUMBER(J26)),"",1+9*J26)</x:f>
        <x:v>7.1290000000000004</x:v>
      </x:c>
      <x:c r="L26" s="12" t="str">
        <x:v>OK</x:v>
      </x:c>
      <x:c r="M26" s="20" t="str">
        <x:v>https://finance.yahoo.com/quote/DOX/analysis/</x:v>
      </x:c>
    </x:row>
    <x:row r="27">
      <x:c r="A27" s="53" t="n">
        <x:f>IF(ISNUMBER(K27),1+COUNTIF($K$5:$K$121,"&gt;"&amp;K27),"")</x:f>
        <x:v>66</x:v>
      </x:c>
      <x:c r="B27" s="12" t="str">
        <x:v>VZ</x:v>
      </x:c>
      <x:c r="C27" s="12" t="str">
        <x:v>Verizon Communications Inc.</x:v>
      </x:c>
      <x:c r="D27" s="312" t="str">
        <x:v>VZ</x:v>
      </x:c>
      <x:c r="E27" s="313" t="n">
        <x:v>46243.69803204861</x:v>
      </x:c>
      <x:c r="F27" s="314" t="n">
        <x:v>19</x:v>
      </x:c>
      <x:c r="G27" s="315" t="n">
        <x:v>1.28508</x:v>
      </x:c>
      <x:c r="H27" s="315" t="n">
        <x:v>1.29526</x:v>
      </x:c>
      <x:c r="I27" s="316" t="n">
        <x:v>-0.007859425906767813</x:v>
      </x:c>
      <x:c r="J27" s="317" t="n">
        <x:f>IF(NOT(ISNUMBER(I27)),"",IFERROR(PERCENTRANK.INC($I$5:$I$121,I27),""))</x:f>
        <x:v>0.422</x:v>
      </x:c>
      <x:c r="K27" s="52" t="n">
        <x:f>IF(NOT(ISNUMBER(J27)),"",1+9*J27)</x:f>
        <x:v>4.798</x:v>
      </x:c>
      <x:c r="L27" s="12" t="str">
        <x:v>OK</x:v>
      </x:c>
      <x:c r="M27" s="20" t="str">
        <x:v>https://finance.yahoo.com/quote/VZ/analysis/</x:v>
      </x:c>
    </x:row>
    <x:row r="28">
      <x:c r="A28" s="53" t="n">
        <x:f>IF(ISNUMBER(K28),1+COUNTIF($K$5:$K$121,"&gt;"&amp;K28),"")</x:f>
        <x:v>85</x:v>
      </x:c>
      <x:c r="B28" s="12" t="str">
        <x:v>CMCSA</x:v>
      </x:c>
      <x:c r="C28" s="12" t="str">
        <x:v>Comcast Corp.</x:v>
      </x:c>
      <x:c r="D28" s="312" t="str">
        <x:v>CMCSA</x:v>
      </x:c>
      <x:c r="E28" s="313" t="n">
        <x:v>46243.69803204861</x:v>
      </x:c>
      <x:c r="F28" s="314" t="n">
        <x:v>19</x:v>
      </x:c>
      <x:c r="G28" s="315" t="n">
        <x:v>1.00292</x:v>
      </x:c>
      <x:c r="H28" s="315" t="n">
        <x:v>1.02577</x:v>
      </x:c>
      <x:c r="I28" s="316" t="n">
        <x:v>-0.022275948799438505</x:v>
      </x:c>
      <x:c r="J28" s="317" t="n">
        <x:f>IF(NOT(ISNUMBER(I28)),"",IFERROR(PERCENTRANK.INC($I$5:$I$121,I28),""))</x:f>
        <x:v>0.258</x:v>
      </x:c>
      <x:c r="K28" s="52" t="n">
        <x:f>IF(NOT(ISNUMBER(J28)),"",1+9*J28)</x:f>
        <x:v>3.322</x:v>
      </x:c>
      <x:c r="L28" s="12" t="str">
        <x:v>OK</x:v>
      </x:c>
      <x:c r="M28" s="20" t="str">
        <x:v>https://finance.yahoo.com/quote/CMCSA/analysis/</x:v>
      </x:c>
    </x:row>
    <x:row r="29">
      <x:c r="A29" s="53" t="n">
        <x:f>IF(ISNUMBER(K29),1+COUNTIF($K$5:$K$121,"&gt;"&amp;K29),"")</x:f>
        <x:v>59</x:v>
      </x:c>
      <x:c r="B29" s="12" t="str">
        <x:v>ORI</x:v>
      </x:c>
      <x:c r="C29" s="12" t="str">
        <x:v>Old Republic International Corp.</x:v>
      </x:c>
      <x:c r="D29" s="312" t="str">
        <x:v>ORI</x:v>
      </x:c>
      <x:c r="E29" s="313" t="n">
        <x:v>46243.69803204861</x:v>
      </x:c>
      <x:c r="F29" s="314" t="n">
        <x:v>3</x:v>
      </x:c>
      <x:c r="G29" s="315" t="n">
        <x:v>0.79667</x:v>
      </x:c>
      <x:c r="H29" s="315" t="n">
        <x:v>0.8</x:v>
      </x:c>
      <x:c r="I29" s="316" t="n">
        <x:v>-0.004162500000000069</x:v>
      </x:c>
      <x:c r="J29" s="317" t="n">
        <x:f>IF(NOT(ISNUMBER(I29)),"",IFERROR(PERCENTRANK.INC($I$5:$I$121,I29),""))</x:f>
        <x:v>0.482</x:v>
      </x:c>
      <x:c r="K29" s="52" t="n">
        <x:f>IF(NOT(ISNUMBER(J29)),"",1+9*J29)</x:f>
        <x:v>5.338</x:v>
      </x:c>
      <x:c r="L29" s="12" t="str">
        <x:v>OK</x:v>
      </x:c>
      <x:c r="M29" s="20" t="str">
        <x:v>https://finance.yahoo.com/quote/ORI/analysis/</x:v>
      </x:c>
    </x:row>
    <x:row r="30">
      <x:c r="A30" s="53" t="n">
        <x:f>IF(ISNUMBER(K30),1+COUNTIF($K$5:$K$121,"&gt;"&amp;K30),"")</x:f>
        <x:v>20</x:v>
      </x:c>
      <x:c r="B30" s="12" t="str">
        <x:v>WRB</x:v>
      </x:c>
      <x:c r="C30" s="12" t="str">
        <x:v>W. R. Berkley Corp.</x:v>
      </x:c>
      <x:c r="D30" s="312" t="str">
        <x:v>WRB</x:v>
      </x:c>
      <x:c r="E30" s="313" t="n">
        <x:v>46243.69803204861</x:v>
      </x:c>
      <x:c r="F30" s="314" t="n">
        <x:v>15</x:v>
      </x:c>
      <x:c r="G30" s="315" t="n">
        <x:v>1.11568</x:v>
      </x:c>
      <x:c r="H30" s="315" t="n">
        <x:v>1.08872</x:v>
      </x:c>
      <x:c r="I30" s="316" t="n">
        <x:v>0.02476302446910142</x:v>
      </x:c>
      <x:c r="J30" s="317" t="n">
        <x:f>IF(NOT(ISNUMBER(I30)),"",IFERROR(PERCENTRANK.INC($I$5:$I$121,I30),""))</x:f>
        <x:v>0.836</x:v>
      </x:c>
      <x:c r="K30" s="52" t="n">
        <x:f>IF(NOT(ISNUMBER(J30)),"",1+9*J30)</x:f>
        <x:v>8.524000000000001</x:v>
      </x:c>
      <x:c r="L30" s="12" t="str">
        <x:v>OK</x:v>
      </x:c>
      <x:c r="M30" s="20" t="str">
        <x:v>https://finance.yahoo.com/quote/WRB/analysis/</x:v>
      </x:c>
    </x:row>
    <x:row r="31">
      <x:c r="A31" s="53" t="n">
        <x:f>IF(ISNUMBER(K31),1+COUNTIF($K$5:$K$121,"&gt;"&amp;K31),"")</x:f>
        <x:v>8</x:v>
      </x:c>
      <x:c r="B31" s="12" t="str">
        <x:v>GILD</x:v>
      </x:c>
      <x:c r="C31" s="12" t="str">
        <x:v>Gilead Sciences Inc.</x:v>
      </x:c>
      <x:c r="D31" s="312" t="str">
        <x:v>GILD</x:v>
      </x:c>
      <x:c r="E31" s="313" t="n">
        <x:v>46243.69803204861</x:v>
      </x:c>
      <x:c r="F31" s="314" t="n">
        <x:v>20</x:v>
      </x:c>
      <x:c r="G31" s="315" t="n">
        <x:v>2.16316</x:v>
      </x:c>
      <x:c r="H31" s="315" t="n">
        <x:v>2.05989</x:v>
      </x:c>
      <x:c r="I31" s="316" t="n">
        <x:v>0.05013374500580115</x:v>
      </x:c>
      <x:c r="J31" s="317" t="n">
        <x:f>IF(NOT(ISNUMBER(I31)),"",IFERROR(PERCENTRANK.INC($I$5:$I$121,I31),""))</x:f>
        <x:v>0.939</x:v>
      </x:c>
      <x:c r="K31" s="52" t="n">
        <x:f>IF(NOT(ISNUMBER(J31)),"",1+9*J31)</x:f>
        <x:v>9.450999999999999</x:v>
      </x:c>
      <x:c r="L31" s="12" t="str">
        <x:v>OK</x:v>
      </x:c>
      <x:c r="M31" s="20" t="str">
        <x:v>https://finance.yahoo.com/quote/GILD/analysis/</x:v>
      </x:c>
    </x:row>
    <x:row r="32">
      <x:c r="A32" s="53" t="n">
        <x:f>IF(ISNUMBER(K32),1+COUNTIF($K$5:$K$121,"&gt;"&amp;K32),"")</x:f>
        <x:v>41</x:v>
      </x:c>
      <x:c r="B32" s="12" t="str">
        <x:v>DG</x:v>
      </x:c>
      <x:c r="C32" s="12" t="str">
        <x:v>Dollar General Corp.</x:v>
      </x:c>
      <x:c r="D32" s="312" t="str">
        <x:v>DG</x:v>
      </x:c>
      <x:c r="E32" s="313" t="n">
        <x:v>46243.69803204861</x:v>
      </x:c>
      <x:c r="F32" s="314" t="n">
        <x:v>20</x:v>
      </x:c>
      <x:c r="G32" s="315" t="n">
        <x:v>2.00281</x:v>
      </x:c>
      <x:c r="H32" s="315" t="n">
        <x:v>1.99483</x:v>
      </x:c>
      <x:c r="I32" s="316" t="n">
        <x:v>0.0040003408811778935</x:v>
      </x:c>
      <x:c r="J32" s="317" t="n">
        <x:f>IF(NOT(ISNUMBER(I32)),"",IFERROR(PERCENTRANK.INC($I$5:$I$121,I32),""))</x:f>
        <x:v>0.655</x:v>
      </x:c>
      <x:c r="K32" s="52" t="n">
        <x:f>IF(NOT(ISNUMBER(J32)),"",1+9*J32)</x:f>
        <x:v>6.8950000000000005</x:v>
      </x:c>
      <x:c r="L32" s="12" t="str">
        <x:v>OK</x:v>
      </x:c>
      <x:c r="M32" s="20" t="str">
        <x:v>https://finance.yahoo.com/quote/DG/analysis/</x:v>
      </x:c>
    </x:row>
    <x:row r="33">
      <x:c r="A33" s="53" t="n">
        <x:f>IF(ISNUMBER(K33),1+COUNTIF($K$5:$K$121,"&gt;"&amp;K33),"")</x:f>
        <x:v>78</x:v>
      </x:c>
      <x:c r="B33" s="12" t="str">
        <x:v>PGR</x:v>
      </x:c>
      <x:c r="C33" s="12" t="str">
        <x:v>The Progressive Corp.</x:v>
      </x:c>
      <x:c r="D33" s="312" t="str">
        <x:v>PGR</x:v>
      </x:c>
      <x:c r="E33" s="313" t="n">
        <x:v>46243.69803204861</x:v>
      </x:c>
      <x:c r="F33" s="314" t="n">
        <x:v>20</x:v>
      </x:c>
      <x:c r="G33" s="315" t="n">
        <x:v>3.6479</x:v>
      </x:c>
      <x:c r="H33" s="315" t="n">
        <x:v>3.71983</x:v>
      </x:c>
      <x:c r="I33" s="316" t="n">
        <x:v>-0.019336905181150766</x:v>
      </x:c>
      <x:c r="J33" s="317" t="n">
        <x:f>IF(NOT(ISNUMBER(I33)),"",IFERROR(PERCENTRANK.INC($I$5:$I$121,I33),""))</x:f>
        <x:v>0.318</x:v>
      </x:c>
      <x:c r="K33" s="52" t="n">
        <x:f>IF(NOT(ISNUMBER(J33)),"",1+9*J33)</x:f>
        <x:v>3.862</x:v>
      </x:c>
      <x:c r="L33" s="12" t="str">
        <x:v>OK</x:v>
      </x:c>
      <x:c r="M33" s="20" t="str">
        <x:v>https://finance.yahoo.com/quote/PGR/analysis/</x:v>
      </x:c>
    </x:row>
    <x:row r="34">
      <x:c r="A34" s="53" t="n">
        <x:f>IF(ISNUMBER(K34),1+COUNTIF($K$5:$K$121,"&gt;"&amp;K34),"")</x:f>
        <x:v>23</x:v>
      </x:c>
      <x:c r="B34" s="12" t="str">
        <x:v>DGX</x:v>
      </x:c>
      <x:c r="C34" s="12" t="str">
        <x:v>Quest Diagnostics Inc.</x:v>
      </x:c>
      <x:c r="D34" s="312" t="str">
        <x:v>DGX</x:v>
      </x:c>
      <x:c r="E34" s="313" t="n">
        <x:v>46243.69803204861</x:v>
      </x:c>
      <x:c r="F34" s="314" t="n">
        <x:v>13</x:v>
      </x:c>
      <x:c r="G34" s="315" t="n">
        <x:v>2.86335</x:v>
      </x:c>
      <x:c r="H34" s="315" t="n">
        <x:v>2.80119</x:v>
      </x:c>
      <x:c r="I34" s="316" t="n">
        <x:v>0.022190569008171523</x:v>
      </x:c>
      <x:c r="J34" s="317" t="n">
        <x:f>IF(NOT(ISNUMBER(I34)),"",IFERROR(PERCENTRANK.INC($I$5:$I$121,I34),""))</x:f>
        <x:v>0.81</x:v>
      </x:c>
      <x:c r="K34" s="52" t="n">
        <x:f>IF(NOT(ISNUMBER(J34)),"",1+9*J34)</x:f>
        <x:v>8.290000000000001</x:v>
      </x:c>
      <x:c r="L34" s="12" t="str">
        <x:v>OK</x:v>
      </x:c>
      <x:c r="M34" s="20" t="str">
        <x:v>https://finance.yahoo.com/quote/DGX/analysis/</x:v>
      </x:c>
    </x:row>
    <x:row r="35">
      <x:c r="A35" s="53" t="n">
        <x:f>IF(ISNUMBER(K35),1+COUNTIF($K$5:$K$121,"&gt;"&amp;K35),"")</x:f>
        <x:v>12</x:v>
      </x:c>
      <x:c r="B35" s="12" t="str">
        <x:v>CBOE</x:v>
      </x:c>
      <x:c r="C35" s="12" t="str">
        <x:v>CBOE Global Markets Inc.</x:v>
      </x:c>
      <x:c r="D35" s="312" t="str">
        <x:v>CBOE</x:v>
      </x:c>
      <x:c r="E35" s="313" t="n">
        <x:v>46243.69803204861</x:v>
      </x:c>
      <x:c r="F35" s="314" t="n">
        <x:v>11</x:v>
      </x:c>
      <x:c r="G35" s="315" t="n">
        <x:v>3.46643</x:v>
      </x:c>
      <x:c r="H35" s="315" t="n">
        <x:v>3.32986</x:v>
      </x:c>
      <x:c r="I35" s="316" t="n">
        <x:v>0.041013736313238354</x:v>
      </x:c>
      <x:c r="J35" s="317" t="n">
        <x:f>IF(NOT(ISNUMBER(I35)),"",IFERROR(PERCENTRANK.INC($I$5:$I$121,I35),""))</x:f>
        <x:v>0.905</x:v>
      </x:c>
      <x:c r="K35" s="52" t="n">
        <x:f>IF(NOT(ISNUMBER(J35)),"",1+9*J35)</x:f>
        <x:v>9.145</x:v>
      </x:c>
      <x:c r="L35" s="12" t="str">
        <x:v>OK</x:v>
      </x:c>
      <x:c r="M35" s="20" t="str">
        <x:v>https://finance.yahoo.com/quote/CBOE/analysis/</x:v>
      </x:c>
    </x:row>
    <x:row r="36">
      <x:c r="A36" s="53" t="n">
        <x:f>IF(ISNUMBER(K36),1+COUNTIF($K$5:$K$121,"&gt;"&amp;K36),"")</x:f>
        <x:v>63</x:v>
      </x:c>
      <x:c r="B36" s="12" t="str">
        <x:v>WM</x:v>
      </x:c>
      <x:c r="C36" s="12" t="str">
        <x:v>Waste Management Inc.</x:v>
      </x:c>
      <x:c r="D36" s="312" t="str">
        <x:v>WM</x:v>
      </x:c>
      <x:c r="E36" s="313" t="n">
        <x:v>46243.69803204861</x:v>
      </x:c>
      <x:c r="F36" s="314" t="n">
        <x:v>24</x:v>
      </x:c>
      <x:c r="G36" s="315" t="n">
        <x:v>2.18841</x:v>
      </x:c>
      <x:c r="H36" s="315" t="n">
        <x:v>2.20157</x:v>
      </x:c>
      <x:c r="I36" s="316" t="n">
        <x:v>-0.005977552383071906</x:v>
      </x:c>
      <x:c r="J36" s="317" t="n">
        <x:f>IF(NOT(ISNUMBER(I36)),"",IFERROR(PERCENTRANK.INC($I$5:$I$121,I36),""))</x:f>
        <x:v>0.448</x:v>
      </x:c>
      <x:c r="K36" s="52" t="n">
        <x:f>IF(NOT(ISNUMBER(J36)),"",1+9*J36)</x:f>
        <x:v>5.032</x:v>
      </x:c>
      <x:c r="L36" s="12" t="str">
        <x:v>OK</x:v>
      </x:c>
      <x:c r="M36" s="20" t="str">
        <x:v>https://finance.yahoo.com/quote/WM/analysis/</x:v>
      </x:c>
    </x:row>
    <x:row r="37">
      <x:c r="A37" s="53" t="n">
        <x:f>IF(ISNUMBER(K37),1+COUNTIF($K$5:$K$121,"&gt;"&amp;K37),"")</x:f>
        <x:v>101</x:v>
      </x:c>
      <x:c r="B37" s="12" t="str">
        <x:v>HSY</x:v>
      </x:c>
      <x:c r="C37" s="12" t="str">
        <x:v>The Hershey Co.</x:v>
      </x:c>
      <x:c r="D37" s="312" t="str">
        <x:v>HSY</x:v>
      </x:c>
      <x:c r="E37" s="313" t="n">
        <x:v>46243.69803204861</x:v>
      </x:c>
      <x:c r="F37" s="314" t="n">
        <x:v>17</x:v>
      </x:c>
      <x:c r="G37" s="315" t="n">
        <x:v>2.11904</x:v>
      </x:c>
      <x:c r="H37" s="315" t="n">
        <x:v>2.28646</x:v>
      </x:c>
      <x:c r="I37" s="316" t="n">
        <x:v>-0.07322236120465694</x:v>
      </x:c>
      <x:c r="J37" s="317" t="n">
        <x:f>IF(NOT(ISNUMBER(I37)),"",IFERROR(PERCENTRANK.INC($I$5:$I$121,I37),""))</x:f>
        <x:v>0.12</x:v>
      </x:c>
      <x:c r="K37" s="52" t="n">
        <x:f>IF(NOT(ISNUMBER(J37)),"",1+9*J37)</x:f>
        <x:v>2.08</x:v>
      </x:c>
      <x:c r="L37" s="12" t="str">
        <x:v>OK</x:v>
      </x:c>
      <x:c r="M37" s="20" t="str">
        <x:v>https://finance.yahoo.com/quote/HSY/analysis/</x:v>
      </x:c>
    </x:row>
    <x:row r="38">
      <x:c r="A38" s="53" t="n">
        <x:f>IF(ISNUMBER(K38),1+COUNTIF($K$5:$K$121,"&gt;"&amp;K38),"")</x:f>
        <x:v>16</x:v>
      </x:c>
      <x:c r="B38" s="12" t="str">
        <x:v>AR</x:v>
      </x:c>
      <x:c r="C38" s="12" t="str">
        <x:v>Antero Resources Corp.</x:v>
      </x:c>
      <x:c r="D38" s="312" t="str">
        <x:v>AR</x:v>
      </x:c>
      <x:c r="E38" s="313" t="n">
        <x:v>46243.69803204861</x:v>
      </x:c>
      <x:c r="F38" s="314" t="n">
        <x:v>13</x:v>
      </x:c>
      <x:c r="G38" s="315" t="n">
        <x:v>1.04479</x:v>
      </x:c>
      <x:c r="H38" s="315" t="n">
        <x:v>1.01639</x:v>
      </x:c>
      <x:c r="I38" s="316" t="n">
        <x:v>0.027942030126231275</x:v>
      </x:c>
      <x:c r="J38" s="317" t="n">
        <x:f>IF(NOT(ISNUMBER(I38)),"",IFERROR(PERCENTRANK.INC($I$5:$I$121,I38),""))</x:f>
        <x:v>0.87</x:v>
      </x:c>
      <x:c r="K38" s="52" t="n">
        <x:f>IF(NOT(ISNUMBER(J38)),"",1+9*J38)</x:f>
        <x:v>8.83</x:v>
      </x:c>
      <x:c r="L38" s="12" t="str">
        <x:v>OK</x:v>
      </x:c>
      <x:c r="M38" s="20" t="str">
        <x:v>https://finance.yahoo.com/quote/AR/analysis/</x:v>
      </x:c>
    </x:row>
    <x:row r="39">
      <x:c r="A39" s="53" t="n">
        <x:f>IF(ISNUMBER(K39),1+COUNTIF($K$5:$K$121,"&gt;"&amp;K39),"")</x:f>
        <x:v>72</x:v>
      </x:c>
      <x:c r="B39" s="12" t="str">
        <x:v>CME</x:v>
      </x:c>
      <x:c r="C39" s="12" t="str">
        <x:v>CME Group Inc.</x:v>
      </x:c>
      <x:c r="D39" s="312" t="str">
        <x:v>CME</x:v>
      </x:c>
      <x:c r="E39" s="313" t="n">
        <x:v>46243.69803204861</x:v>
      </x:c>
      <x:c r="F39" s="314" t="n">
        <x:v>13</x:v>
      </x:c>
      <x:c r="G39" s="315" t="n">
        <x:v>2.94004</x:v>
      </x:c>
      <x:c r="H39" s="315" t="n">
        <x:v>2.97353</x:v>
      </x:c>
      <x:c r="I39" s="316" t="n">
        <x:v>-0.011262707959899372</x:v>
      </x:c>
      <x:c r="J39" s="317" t="n">
        <x:f>IF(NOT(ISNUMBER(I39)),"",IFERROR(PERCENTRANK.INC($I$5:$I$121,I39),""))</x:f>
        <x:v>0.37</x:v>
      </x:c>
      <x:c r="K39" s="52" t="n">
        <x:f>IF(NOT(ISNUMBER(J39)),"",1+9*J39)</x:f>
        <x:v>4.33</x:v>
      </x:c>
      <x:c r="L39" s="12" t="str">
        <x:v>OK</x:v>
      </x:c>
      <x:c r="M39" s="20" t="str">
        <x:v>https://finance.yahoo.com/quote/CME/analysis/</x:v>
      </x:c>
    </x:row>
    <x:row r="40">
      <x:c r="A40" s="53" t="n">
        <x:f>IF(ISNUMBER(K40),1+COUNTIF($K$5:$K$121,"&gt;"&amp;K40),"")</x:f>
        <x:v>73</x:v>
      </x:c>
      <x:c r="B40" s="12" t="str">
        <x:v>BF-B</x:v>
      </x:c>
      <x:c r="C40" s="12" t="str">
        <x:v>Brown-Forman Corp.</x:v>
      </x:c>
      <x:c r="D40" s="312" t="str">
        <x:v>BF-B</x:v>
      </x:c>
      <x:c r="E40" s="313" t="n">
        <x:v>46243.69803204861</x:v>
      </x:c>
      <x:c r="F40" s="314" t="n">
        <x:v>13</x:v>
      </x:c>
      <x:c r="G40" s="315" t="n">
        <x:v>0.36835</x:v>
      </x:c>
      <x:c r="H40" s="315" t="n">
        <x:v>0.37258</x:v>
      </x:c>
      <x:c r="I40" s="316" t="n">
        <x:v>-0.011353266412582563</x:v>
      </x:c>
      <x:c r="J40" s="317" t="n">
        <x:f>IF(NOT(ISNUMBER(I40)),"",IFERROR(PERCENTRANK.INC($I$5:$I$121,I40),""))</x:f>
        <x:v>0.362</x:v>
      </x:c>
      <x:c r="K40" s="52" t="n">
        <x:f>IF(NOT(ISNUMBER(J40)),"",1+9*J40)</x:f>
        <x:v>4.258</x:v>
      </x:c>
      <x:c r="L40" s="12" t="str">
        <x:v>OK</x:v>
      </x:c>
      <x:c r="M40" s="20" t="str">
        <x:v>https://finance.yahoo.com/quote/BF-B/analysis/</x:v>
      </x:c>
    </x:row>
    <x:row r="41">
      <x:c r="A41" s="53" t="n">
        <x:f>IF(ISNUMBER(K41),1+COUNTIF($K$5:$K$121,"&gt;"&amp;K41),"")</x:f>
        <x:v>36</x:v>
      </x:c>
      <x:c r="B41" s="12" t="str">
        <x:v>CB</x:v>
      </x:c>
      <x:c r="C41" s="12" t="str">
        <x:v>Chubb Ltd.</x:v>
      </x:c>
      <x:c r="D41" s="312" t="str">
        <x:v>CB</x:v>
      </x:c>
      <x:c r="E41" s="313" t="n">
        <x:v>46243.69803204861</x:v>
      </x:c>
      <x:c r="F41" s="314" t="n">
        <x:v>22</x:v>
      </x:c>
      <x:c r="G41" s="315" t="n">
        <x:v>6.32656</x:v>
      </x:c>
      <x:c r="H41" s="315" t="n">
        <x:v>6.27568</x:v>
      </x:c>
      <x:c r="I41" s="316" t="n">
        <x:v>0.008107487953496572</x:v>
      </x:c>
      <x:c r="J41" s="317" t="n">
        <x:f>IF(NOT(ISNUMBER(I41)),"",IFERROR(PERCENTRANK.INC($I$5:$I$121,I41),""))</x:f>
        <x:v>0.698</x:v>
      </x:c>
      <x:c r="K41" s="52" t="n">
        <x:f>IF(NOT(ISNUMBER(J41)),"",1+9*J41)</x:f>
        <x:v>7.282</x:v>
      </x:c>
      <x:c r="L41" s="12" t="str">
        <x:v>OK</x:v>
      </x:c>
      <x:c r="M41" s="20" t="str">
        <x:v>https://finance.yahoo.com/quote/CB/analysis/</x:v>
      </x:c>
    </x:row>
    <x:row r="42">
      <x:c r="A42" s="53" t="n">
        <x:f>IF(ISNUMBER(K42),1+COUNTIF($K$5:$K$121,"&gt;"&amp;K42),"")</x:f>
        <x:v>90</x:v>
      </x:c>
      <x:c r="B42" s="12" t="str">
        <x:v>LHX</x:v>
      </x:c>
      <x:c r="C42" s="12" t="str">
        <x:v>L3Harris Technologies Inc.</x:v>
      </x:c>
      <x:c r="D42" s="312" t="str">
        <x:v>LHX</x:v>
      </x:c>
      <x:c r="E42" s="313" t="n">
        <x:v>46243.69803204861</x:v>
      </x:c>
      <x:c r="F42" s="314" t="n">
        <x:v>6</x:v>
      </x:c>
      <x:c r="G42" s="315" t="n">
        <x:v>2.95518</x:v>
      </x:c>
      <x:c r="H42" s="315" t="n">
        <x:v>3.04177</x:v>
      </x:c>
      <x:c r="I42" s="316" t="n">
        <x:v>-0.028466978108141038</x:v>
      </x:c>
      <x:c r="J42" s="317" t="n">
        <x:f>IF(NOT(ISNUMBER(I42)),"",IFERROR(PERCENTRANK.INC($I$5:$I$121,I42),""))</x:f>
        <x:v>0.215</x:v>
      </x:c>
      <x:c r="K42" s="52" t="n">
        <x:f>IF(NOT(ISNUMBER(J42)),"",1+9*J42)</x:f>
        <x:v>2.935</x:v>
      </x:c>
      <x:c r="L42" s="12" t="str">
        <x:v>OK</x:v>
      </x:c>
      <x:c r="M42" s="20" t="str">
        <x:v>https://finance.yahoo.com/quote/LHX/analysis/</x:v>
      </x:c>
    </x:row>
    <x:row r="43">
      <x:c r="A43" s="53" t="n">
        <x:f>IF(ISNUMBER(K43),1+COUNTIF($K$5:$K$121,"&gt;"&amp;K43),"")</x:f>
        <x:v>2</x:v>
      </x:c>
      <x:c r="B43" s="12" t="str">
        <x:v>REGN</x:v>
      </x:c>
      <x:c r="C43" s="12" t="str">
        <x:v>Regeneron Pharmaceuticals Inc.</x:v>
      </x:c>
      <x:c r="D43" s="312" t="str">
        <x:v>REGN</x:v>
      </x:c>
      <x:c r="E43" s="313" t="n">
        <x:v>46243.69803204861</x:v>
      </x:c>
      <x:c r="F43" s="314" t="n">
        <x:v>20</x:v>
      </x:c>
      <x:c r="G43" s="315" t="n">
        <x:v>16.04549</x:v>
      </x:c>
      <x:c r="H43" s="315" t="n">
        <x:v>13.07491</x:v>
      </x:c>
      <x:c r="I43" s="316" t="n">
        <x:v>0.22719697496961752</x:v>
      </x:c>
      <x:c r="J43" s="317" t="n">
        <x:f>IF(NOT(ISNUMBER(I43)),"",IFERROR(PERCENTRANK.INC($I$5:$I$121,I43),""))</x:f>
        <x:v>0.991</x:v>
      </x:c>
      <x:c r="K43" s="52" t="n">
        <x:f>IF(NOT(ISNUMBER(J43)),"",1+9*J43)</x:f>
        <x:v>9.919</x:v>
      </x:c>
      <x:c r="L43" s="12" t="str">
        <x:v>OK</x:v>
      </x:c>
      <x:c r="M43" s="20" t="str">
        <x:v>https://finance.yahoo.com/quote/REGN/analysis/</x:v>
      </x:c>
    </x:row>
    <x:row r="44">
      <x:c r="A44" s="53" t="n">
        <x:f>IF(ISNUMBER(K44),1+COUNTIF($K$5:$K$121,"&gt;"&amp;K44),"")</x:f>
        <x:v>33</x:v>
      </x:c>
      <x:c r="B44" s="12" t="str">
        <x:v>BRK-B</x:v>
      </x:c>
      <x:c r="C44" s="12" t="str">
        <x:v>Berkshire Hathaway Inc.</x:v>
      </x:c>
      <x:c r="D44" s="312" t="str">
        <x:v>BRK-B</x:v>
      </x:c>
      <x:c r="E44" s="313" t="n">
        <x:v>46243.69803204861</x:v>
      </x:c>
      <x:c r="F44" s="314" t="n">
        <x:v>2</x:v>
      </x:c>
      <x:c r="G44" s="315" t="n">
        <x:v>5.34972</x:v>
      </x:c>
      <x:c r="H44" s="315" t="n">
        <x:v>5.29866</x:v>
      </x:c>
      <x:c r="I44" s="316" t="n">
        <x:v>0.00963639863663637</x:v>
      </x:c>
      <x:c r="J44" s="317" t="n">
        <x:f>IF(NOT(ISNUMBER(I44)),"",IFERROR(PERCENTRANK.INC($I$5:$I$121,I44),""))</x:f>
        <x:v>0.724</x:v>
      </x:c>
      <x:c r="K44" s="52" t="n">
        <x:f>IF(NOT(ISNUMBER(J44)),"",1+9*J44)</x:f>
        <x:v>7.516</x:v>
      </x:c>
      <x:c r="L44" s="12" t="str">
        <x:v>THIN COVERAGE</x:v>
      </x:c>
      <x:c r="M44" s="20" t="str">
        <x:v>https://finance.yahoo.com/quote/BRK-B/analysis/</x:v>
      </x:c>
    </x:row>
    <x:row r="45">
      <x:c r="A45" s="53" t="n">
        <x:f>IF(ISNUMBER(K45),1+COUNTIF($K$5:$K$121,"&gt;"&amp;K45),"")</x:f>
        <x:v>91</x:v>
      </x:c>
      <x:c r="B45" s="12" t="str">
        <x:v>RLI</x:v>
      </x:c>
      <x:c r="C45" s="12" t="str">
        <x:v>RLI Corp.</x:v>
      </x:c>
      <x:c r="D45" s="312" t="str">
        <x:v>RLI</x:v>
      </x:c>
      <x:c r="E45" s="313" t="n">
        <x:v>46243.69803204861</x:v>
      </x:c>
      <x:c r="F45" s="314" t="n">
        <x:v>8</x:v>
      </x:c>
      <x:c r="G45" s="315" t="n">
        <x:v>0.50375</x:v>
      </x:c>
      <x:c r="H45" s="315" t="n">
        <x:v>0.51875</x:v>
      </x:c>
      <x:c r="I45" s="316" t="n">
        <x:v>-0.02891566265060243</x:v>
      </x:c>
      <x:c r="J45" s="317" t="n">
        <x:f>IF(NOT(ISNUMBER(I45)),"",IFERROR(PERCENTRANK.INC($I$5:$I$121,I45),""))</x:f>
        <x:v>0.206</x:v>
      </x:c>
      <x:c r="K45" s="52" t="n">
        <x:f>IF(NOT(ISNUMBER(J45)),"",1+9*J45)</x:f>
        <x:v>2.854</x:v>
      </x:c>
      <x:c r="L45" s="12" t="str">
        <x:v>OK</x:v>
      </x:c>
      <x:c r="M45" s="20" t="str">
        <x:v>https://finance.yahoo.com/quote/RLI/analysis/</x:v>
      </x:c>
    </x:row>
    <x:row r="46">
      <x:c r="A46" s="53" t="n">
        <x:f>IF(ISNUMBER(K46),1+COUNTIF($K$5:$K$121,"&gt;"&amp;K46),"")</x:f>
        <x:v>19</x:v>
      </x:c>
      <x:c r="B46" s="12" t="str">
        <x:v>APD</x:v>
      </x:c>
      <x:c r="C46" s="12" t="str">
        <x:v>Air Products and Chemicals Inc.</x:v>
      </x:c>
      <x:c r="D46" s="312" t="str">
        <x:v>APD</x:v>
      </x:c>
      <x:c r="E46" s="313" t="n">
        <x:v>46243.69803204861</x:v>
      </x:c>
      <x:c r="F46" s="314" t="n">
        <x:v>17</x:v>
      </x:c>
      <x:c r="G46" s="315" t="n">
        <x:v>3.61017</x:v>
      </x:c>
      <x:c r="H46" s="315" t="n">
        <x:v>3.52008</x:v>
      </x:c>
      <x:c r="I46" s="316" t="n">
        <x:v>0.02559316833708325</x:v>
      </x:c>
      <x:c r="J46" s="317" t="n">
        <x:f>IF(NOT(ISNUMBER(I46)),"",IFERROR(PERCENTRANK.INC($I$5:$I$121,I46),""))</x:f>
        <x:v>0.844</x:v>
      </x:c>
      <x:c r="K46" s="52" t="n">
        <x:f>IF(NOT(ISNUMBER(J46)),"",1+9*J46)</x:f>
        <x:v>8.596</x:v>
      </x:c>
      <x:c r="L46" s="12" t="str">
        <x:v>OK</x:v>
      </x:c>
      <x:c r="M46" s="20" t="str">
        <x:v>https://finance.yahoo.com/quote/APD/analysis/</x:v>
      </x:c>
    </x:row>
    <x:row r="47">
      <x:c r="A47" s="53" t="n">
        <x:f>IF(ISNUMBER(K47),1+COUNTIF($K$5:$K$121,"&gt;"&amp;K47),"")</x:f>
        <x:v>104</x:v>
      </x:c>
      <x:c r="B47" s="12" t="str">
        <x:v>LYB</x:v>
      </x:c>
      <x:c r="C47" s="12" t="str">
        <x:v>LyondellBasell Industries NV</x:v>
      </x:c>
      <x:c r="D47" s="312" t="str">
        <x:v>LYB</x:v>
      </x:c>
      <x:c r="E47" s="313" t="n">
        <x:v>46243.69803204861</x:v>
      </x:c>
      <x:c r="F47" s="314" t="n">
        <x:v>15</x:v>
      </x:c>
      <x:c r="G47" s="315" t="n">
        <x:v>2.77135</x:v>
      </x:c>
      <x:c r="H47" s="315" t="n">
        <x:v>3.28017</x:v>
      </x:c>
      <x:c r="I47" s="316" t="n">
        <x:v>-0.15512000902392256</x:v>
      </x:c>
      <x:c r="J47" s="317" t="n">
        <x:f>IF(NOT(ISNUMBER(I47)),"",IFERROR(PERCENTRANK.INC($I$5:$I$121,I47),""))</x:f>
        <x:v>0.094</x:v>
      </x:c>
      <x:c r="K47" s="52" t="n">
        <x:f>IF(NOT(ISNUMBER(J47)),"",1+9*J47)</x:f>
        <x:v>1.846</x:v>
      </x:c>
      <x:c r="L47" s="12" t="str">
        <x:v>OK</x:v>
      </x:c>
      <x:c r="M47" s="20" t="str">
        <x:v>https://finance.yahoo.com/quote/LYB/analysis/</x:v>
      </x:c>
    </x:row>
    <x:row r="48">
      <x:c r="A48" s="53" t="n">
        <x:f>IF(ISNUMBER(K48),1+COUNTIF($K$5:$K$121,"&gt;"&amp;K48),"")</x:f>
        <x:v>34</x:v>
      </x:c>
      <x:c r="B48" s="12" t="str">
        <x:v>AMGN</x:v>
      </x:c>
      <x:c r="C48" s="12" t="str">
        <x:v>Amgen Inc.</x:v>
      </x:c>
      <x:c r="D48" s="312" t="str">
        <x:v>AMGN</x:v>
      </x:c>
      <x:c r="E48" s="313" t="n">
        <x:v>46243.69803204861</x:v>
      </x:c>
      <x:c r="F48" s="314" t="n">
        <x:v>24</x:v>
      </x:c>
      <x:c r="G48" s="315" t="n">
        <x:v>5.80412</x:v>
      </x:c>
      <x:c r="H48" s="315" t="n">
        <x:v>5.7536</x:v>
      </x:c>
      <x:c r="I48" s="316" t="n">
        <x:v>0.008780589543937808</x:v>
      </x:c>
      <x:c r="J48" s="317" t="n">
        <x:f>IF(NOT(ISNUMBER(I48)),"",IFERROR(PERCENTRANK.INC($I$5:$I$121,I48),""))</x:f>
        <x:v>0.715</x:v>
      </x:c>
      <x:c r="K48" s="52" t="n">
        <x:f>IF(NOT(ISNUMBER(J48)),"",1+9*J48)</x:f>
        <x:v>7.435</x:v>
      </x:c>
      <x:c r="L48" s="12" t="str">
        <x:v>OK</x:v>
      </x:c>
      <x:c r="M48" s="20" t="str">
        <x:v>https://finance.yahoo.com/quote/AMGN/analysis/</x:v>
      </x:c>
    </x:row>
    <x:row r="49">
      <x:c r="A49" s="53" t="n">
        <x:f>IF(ISNUMBER(K49),1+COUNTIF($K$5:$K$121,"&gt;"&amp;K49),"")</x:f>
        <x:v>54</x:v>
      </x:c>
      <x:c r="B49" s="12" t="str">
        <x:v>SIGI</x:v>
      </x:c>
      <x:c r="C49" s="12" t="str">
        <x:v>Selective Insurance Group Inc.</x:v>
      </x:c>
      <x:c r="D49" s="312" t="str">
        <x:v>SIGI</x:v>
      </x:c>
      <x:c r="E49" s="313" t="n">
        <x:v>46243.69803204861</x:v>
      </x:c>
      <x:c r="F49" s="314" t="n">
        <x:v>8</x:v>
      </x:c>
      <x:c r="G49" s="315" t="n">
        <x:v>1.815</x:v>
      </x:c>
      <x:c r="H49" s="315" t="n">
        <x:v>1.82</x:v>
      </x:c>
      <x:c r="I49" s="316" t="n">
        <x:v>-0.002747252747252811</x:v>
      </x:c>
      <x:c r="J49" s="317" t="n">
        <x:f>IF(NOT(ISNUMBER(I49)),"",IFERROR(PERCENTRANK.INC($I$5:$I$121,I49),""))</x:f>
        <x:v>0.525</x:v>
      </x:c>
      <x:c r="K49" s="52" t="n">
        <x:f>IF(NOT(ISNUMBER(J49)),"",1+9*J49)</x:f>
        <x:v>5.7250000000000005</x:v>
      </x:c>
      <x:c r="L49" s="12" t="str">
        <x:v>OK</x:v>
      </x:c>
      <x:c r="M49" s="20" t="str">
        <x:v>https://finance.yahoo.com/quote/SIGI/analysis/</x:v>
      </x:c>
    </x:row>
    <x:row r="50">
      <x:c r="A50" s="53" t="n">
        <x:f>IF(ISNUMBER(K50),1+COUNTIF($K$5:$K$121,"&gt;"&amp;K50),"")</x:f>
        <x:v>94</x:v>
      </x:c>
      <x:c r="B50" s="12" t="str">
        <x:v>OHI</x:v>
      </x:c>
      <x:c r="C50" s="12" t="str">
        <x:v>Omega Healthcare Investors Inc. REIT</x:v>
      </x:c>
      <x:c r="D50" s="312" t="str">
        <x:v>OHI</x:v>
      </x:c>
      <x:c r="E50" s="313" t="n">
        <x:v>46243.69803204861</x:v>
      </x:c>
      <x:c r="F50" s="314" t="n">
        <x:v>1</x:v>
      </x:c>
      <x:c r="G50" s="315" t="n">
        <x:v>0.47</x:v>
      </x:c>
      <x:c r="H50" s="315" t="n">
        <x:v>0.49333</x:v>
      </x:c>
      <x:c r="I50" s="316" t="n">
        <x:v>-0.04729086007337891</x:v>
      </x:c>
      <x:c r="J50" s="317" t="n">
        <x:f>IF(NOT(ISNUMBER(I50)),"",IFERROR(PERCENTRANK.INC($I$5:$I$121,I50),""))</x:f>
        <x:v>0.181</x:v>
      </x:c>
      <x:c r="K50" s="52" t="n">
        <x:f>IF(NOT(ISNUMBER(J50)),"",1+9*J50)</x:f>
        <x:v>2.629</x:v>
      </x:c>
      <x:c r="L50" s="12" t="str">
        <x:v>THIN COVERAGE</x:v>
      </x:c>
      <x:c r="M50" s="20" t="str">
        <x:v>https://finance.yahoo.com/quote/OHI/analysis/</x:v>
      </x:c>
    </x:row>
    <x:row r="51">
      <x:c r="A51" s="53" t="n">
        <x:f>IF(ISNUMBER(K51),1+COUNTIF($K$5:$K$121,"&gt;"&amp;K51),"")</x:f>
        <x:v>50</x:v>
      </x:c>
      <x:c r="B51" s="12" t="str">
        <x:v>MO</x:v>
      </x:c>
      <x:c r="C51" s="12" t="str">
        <x:v>Altria Group Inc.</x:v>
      </x:c>
      <x:c r="D51" s="312" t="str">
        <x:v>MO</x:v>
      </x:c>
      <x:c r="E51" s="313" t="n">
        <x:v>46243.69803204861</x:v>
      </x:c>
      <x:c r="F51" s="314" t="n">
        <x:v>11</x:v>
      </x:c>
      <x:c r="G51" s="315" t="n">
        <x:v>1.50495</x:v>
      </x:c>
      <x:c r="H51" s="315" t="n">
        <x:v>1.50521</x:v>
      </x:c>
      <x:c r="I51" s="316" t="n">
        <x:v>-0.00017273337275192628</x:v>
      </x:c>
      <x:c r="J51" s="317" t="n">
        <x:f>IF(NOT(ISNUMBER(I51)),"",IFERROR(PERCENTRANK.INC($I$5:$I$121,I51),""))</x:f>
        <x:v>0.56</x:v>
      </x:c>
      <x:c r="K51" s="52" t="n">
        <x:f>IF(NOT(ISNUMBER(J51)),"",1+9*J51)</x:f>
        <x:v>6.040000000000001</x:v>
      </x:c>
      <x:c r="L51" s="12" t="str">
        <x:v>OK</x:v>
      </x:c>
      <x:c r="M51" s="20" t="str">
        <x:v>https://finance.yahoo.com/quote/MO/analysis/</x:v>
      </x:c>
    </x:row>
    <x:row r="52">
      <x:c r="A52" s="53" t="n">
        <x:f>IF(ISNUMBER(K52),1+COUNTIF($K$5:$K$121,"&gt;"&amp;K52),"")</x:f>
        <x:v>47</x:v>
      </x:c>
      <x:c r="B52" s="12" t="str">
        <x:v>JKHY</x:v>
      </x:c>
      <x:c r="C52" s="12" t="str">
        <x:v>Jack Henry and Associates Inc.</x:v>
      </x:c>
      <x:c r="D52" s="312" t="str">
        <x:v>JKHY</x:v>
      </x:c>
      <x:c r="E52" s="313" t="n">
        <x:v>46243.69803204861</x:v>
      </x:c>
      <x:c r="F52" s="314" t="n">
        <x:v>8</x:v>
      </x:c>
      <x:c r="G52" s="315" t="n">
        <x:v>1.44</x:v>
      </x:c>
      <x:c r="H52" s="315" t="n">
        <x:v>1.44</x:v>
      </x:c>
      <x:c r="I52" s="316" t="n">
        <x:v>0</x:v>
      </x:c>
      <x:c r="J52" s="317" t="n">
        <x:f>IF(NOT(ISNUMBER(I52)),"",IFERROR(PERCENTRANK.INC($I$5:$I$121,I52),""))</x:f>
        <x:v>0.577</x:v>
      </x:c>
      <x:c r="K52" s="52" t="n">
        <x:f>IF(NOT(ISNUMBER(J52)),"",1+9*J52)</x:f>
        <x:v>6.193</x:v>
      </x:c>
      <x:c r="L52" s="12" t="str">
        <x:v>OK</x:v>
      </x:c>
      <x:c r="M52" s="20" t="str">
        <x:v>https://finance.yahoo.com/quote/JKHY/analysis/</x:v>
      </x:c>
    </x:row>
    <x:row r="53">
      <x:c r="A53" s="53" t="n">
        <x:f>IF(ISNUMBER(K53),1+COUNTIF($K$5:$K$121,"&gt;"&amp;K53),"")</x:f>
        <x:v>45</x:v>
      </x:c>
      <x:c r="B53" s="12" t="str">
        <x:v>FCN</x:v>
      </x:c>
      <x:c r="C53" s="12" t="str">
        <x:v>FTI Consulting Inc.</x:v>
      </x:c>
      <x:c r="D53" s="312" t="str">
        <x:v>FCN</x:v>
      </x:c>
      <x:c r="E53" s="313" t="n">
        <x:v>46243.69803204861</x:v>
      </x:c>
      <x:c r="F53" s="314" t="n">
        <x:v>3</x:v>
      </x:c>
      <x:c r="G53" s="315" t="n">
        <x:v>2.72</x:v>
      </x:c>
      <x:c r="H53" s="315" t="n">
        <x:v>2.71667</x:v>
      </x:c>
      <x:c r="I53" s="316" t="n">
        <x:v>0.001225765367159079</x:v>
      </x:c>
      <x:c r="J53" s="317" t="n">
        <x:f>IF(NOT(ISNUMBER(I53)),"",IFERROR(PERCENTRANK.INC($I$5:$I$121,I53),""))</x:f>
        <x:v>0.62</x:v>
      </x:c>
      <x:c r="K53" s="52" t="n">
        <x:f>IF(NOT(ISNUMBER(J53)),"",1+9*J53)</x:f>
        <x:v>6.58</x:v>
      </x:c>
      <x:c r="L53" s="12" t="str">
        <x:v>OK</x:v>
      </x:c>
      <x:c r="M53" s="20" t="str">
        <x:v>https://finance.yahoo.com/quote/FCN/analysis/</x:v>
      </x:c>
    </x:row>
    <x:row r="54">
      <x:c r="A54" s="53" t="n">
        <x:f>IF(ISNUMBER(K54),1+COUNTIF($K$5:$K$121,"&gt;"&amp;K54),"")</x:f>
        <x:v>49</x:v>
      </x:c>
      <x:c r="B54" s="12" t="str">
        <x:v>INTU</x:v>
      </x:c>
      <x:c r="C54" s="12" t="str">
        <x:v>Intuit Inc.</x:v>
      </x:c>
      <x:c r="D54" s="312" t="str">
        <x:v>INTU</x:v>
      </x:c>
      <x:c r="E54" s="313" t="n">
        <x:v>46243.69803204861</x:v>
      </x:c>
      <x:c r="F54" s="314" t="n">
        <x:v>27</x:v>
      </x:c>
      <x:c r="G54" s="315" t="n">
        <x:v>3.58821</x:v>
      </x:c>
      <x:c r="H54" s="315" t="n">
        <x:v>3.58853</x:v>
      </x:c>
      <x:c r="I54" s="316" t="n">
        <x:v>-0.0000891730039876707</x:v>
      </x:c>
      <x:c r="J54" s="317" t="n">
        <x:f>IF(NOT(ISNUMBER(I54)),"",IFERROR(PERCENTRANK.INC($I$5:$I$121,I54),""))</x:f>
        <x:v>0.568</x:v>
      </x:c>
      <x:c r="K54" s="52" t="n">
        <x:f>IF(NOT(ISNUMBER(J54)),"",1+9*J54)</x:f>
        <x:v>6.111999999999999</x:v>
      </x:c>
      <x:c r="L54" s="12" t="str">
        <x:v>OK</x:v>
      </x:c>
      <x:c r="M54" s="20" t="str">
        <x:v>https://finance.yahoo.com/quote/INTU/analysis/</x:v>
      </x:c>
    </x:row>
    <x:row r="55">
      <x:c r="A55" s="53" t="n">
        <x:f>IF(ISNUMBER(K55),1+COUNTIF($K$5:$K$121,"&gt;"&amp;K55),"")</x:f>
        <x:v>107</x:v>
      </x:c>
      <x:c r="B55" s="12" t="str">
        <x:v>TSCO</x:v>
      </x:c>
      <x:c r="C55" s="12" t="str">
        <x:v>Tractor Supply Co.</x:v>
      </x:c>
      <x:c r="D55" s="312" t="str">
        <x:v>TSCO</x:v>
      </x:c>
      <x:c r="E55" s="313" t="n">
        <x:v>46243.69803204861</x:v>
      </x:c>
      <x:c r="F55" s="314" t="n">
        <x:v>13</x:v>
      </x:c>
      <x:c r="G55" s="315" t="n">
        <x:v>0.40769</x:v>
      </x:c>
      <x:c r="H55" s="315" t="n">
        <x:v>0.50009</x:v>
      </x:c>
      <x:c r="I55" s="316" t="n">
        <x:v>-0.1847667419864425</x:v>
      </x:c>
      <x:c r="J55" s="317" t="n">
        <x:f>IF(NOT(ISNUMBER(I55)),"",IFERROR(PERCENTRANK.INC($I$5:$I$121,I55),""))</x:f>
        <x:v>0.068</x:v>
      </x:c>
      <x:c r="K55" s="52" t="n">
        <x:f>IF(NOT(ISNUMBER(J55)),"",1+9*J55)</x:f>
        <x:v>1.612</x:v>
      </x:c>
      <x:c r="L55" s="12" t="str">
        <x:v>OK</x:v>
      </x:c>
      <x:c r="M55" s="20" t="str">
        <x:v>https://finance.yahoo.com/quote/TSCO/analysis/</x:v>
      </x:c>
    </x:row>
    <x:row r="56">
      <x:c r="A56" s="53" t="n">
        <x:f>IF(ISNUMBER(K56),1+COUNTIF($K$5:$K$121,"&gt;"&amp;K56),"")</x:f>
        <x:v>10</x:v>
      </x:c>
      <x:c r="B56" s="12" t="str">
        <x:v>FE</x:v>
      </x:c>
      <x:c r="C56" s="12" t="str">
        <x:v>FirstEnergy Corp.</x:v>
      </x:c>
      <x:c r="D56" s="312" t="str">
        <x:v>FE</x:v>
      </x:c>
      <x:c r="E56" s="313" t="n">
        <x:v>46243.69803204861</x:v>
      </x:c>
      <x:c r="F56" s="314" t="n">
        <x:v>9</x:v>
      </x:c>
      <x:c r="G56" s="315" t="n">
        <x:v>0.93526</x:v>
      </x:c>
      <x:c r="H56" s="315" t="n">
        <x:v>0.89451</x:v>
      </x:c>
      <x:c r="I56" s="316" t="n">
        <x:v>0.04555566734860421</x:v>
      </x:c>
      <x:c r="J56" s="317" t="n">
        <x:f>IF(NOT(ISNUMBER(I56)),"",IFERROR(PERCENTRANK.INC($I$5:$I$121,I56),""))</x:f>
        <x:v>0.922</x:v>
      </x:c>
      <x:c r="K56" s="52" t="n">
        <x:f>IF(NOT(ISNUMBER(J56)),"",1+9*J56)</x:f>
        <x:v>9.298</x:v>
      </x:c>
      <x:c r="L56" s="12" t="str">
        <x:v>OK</x:v>
      </x:c>
      <x:c r="M56" s="20" t="str">
        <x:v>https://finance.yahoo.com/quote/FE/analysis/</x:v>
      </x:c>
    </x:row>
    <x:row r="57">
      <x:c r="A57" s="53" t="str">
        <x:f>IF(ISNUMBER(K57),1+COUNTIF($K$5:$K$121,"&gt;"&amp;K57),"")</x:f>
      </x:c>
      <x:c r="B57" s="12" t="str">
        <x:v>WTM</x:v>
      </x:c>
      <x:c r="C57" s="12" t="str">
        <x:v>White Mountains Insurance Group Ltd.</x:v>
      </x:c>
      <x:c r="D57" s="312" t="str">
        <x:v>WTM</x:v>
      </x:c>
      <x:c r="E57" s="313" t="n">
        <x:v>46243.69803204861</x:v>
      </x:c>
      <x:c r="F57" s="314"/>
      <x:c r="G57" s="315"/>
      <x:c r="H57" s="315"/>
      <x:c r="I57" s="316"/>
      <x:c r="J57" s="317" t="str">
        <x:f>IF(NOT(ISNUMBER(I57)),"",IFERROR(PERCENTRANK.INC($I$5:$I$121,I57),""))</x:f>
      </x:c>
      <x:c r="K57" s="52" t="str">
        <x:f>IF(NOT(ISNUMBER(J57)),"",1+9*J57)</x:f>
      </x:c>
      <x:c r="L57" s="12" t="str">
        <x:v>NO CURRENT-QUARTER DATA</x:v>
      </x:c>
      <x:c r="M57" s="20" t="str">
        <x:v>https://finance.yahoo.com/quote/WTM/analysis/</x:v>
      </x:c>
    </x:row>
    <x:row r="58">
      <x:c r="A58" s="53" t="n">
        <x:f>IF(ISNUMBER(K58),1+COUNTIF($K$5:$K$121,"&gt;"&amp;K58),"")</x:f>
        <x:v>68</x:v>
      </x:c>
      <x:c r="B58" s="12" t="str">
        <x:v>TW</x:v>
      </x:c>
      <x:c r="C58" s="12" t="str">
        <x:v>Tradeweb Markets Inc.</x:v>
      </x:c>
      <x:c r="D58" s="312" t="str">
        <x:v>TW</x:v>
      </x:c>
      <x:c r="E58" s="313" t="n">
        <x:v>46243.69803204861</x:v>
      </x:c>
      <x:c r="F58" s="314" t="n">
        <x:v>13</x:v>
      </x:c>
      <x:c r="G58" s="315" t="n">
        <x:v>0.98933</x:v>
      </x:c>
      <x:c r="H58" s="315" t="n">
        <x:v>0.99854</x:v>
      </x:c>
      <x:c r="I58" s="316" t="n">
        <x:v>-0.009223466260740621</x:v>
      </x:c>
      <x:c r="J58" s="317" t="n">
        <x:f>IF(NOT(ISNUMBER(I58)),"",IFERROR(PERCENTRANK.INC($I$5:$I$121,I58),""))</x:f>
        <x:v>0.405</x:v>
      </x:c>
      <x:c r="K58" s="52" t="n">
        <x:f>IF(NOT(ISNUMBER(J58)),"",1+9*J58)</x:f>
        <x:v>4.6450000000000005</x:v>
      </x:c>
      <x:c r="L58" s="12" t="str">
        <x:v>OK</x:v>
      </x:c>
      <x:c r="M58" s="20" t="str">
        <x:v>https://finance.yahoo.com/quote/TW/analysis/</x:v>
      </x:c>
    </x:row>
    <x:row r="59">
      <x:c r="A59" s="53" t="n">
        <x:f>IF(ISNUMBER(K59),1+COUNTIF($K$5:$K$121,"&gt;"&amp;K59),"")</x:f>
        <x:v>3</x:v>
      </x:c>
      <x:c r="B59" s="12" t="str">
        <x:v>EA</x:v>
      </x:c>
      <x:c r="C59" s="12" t="str">
        <x:v>Electronic Arts Inc.</x:v>
      </x:c>
      <x:c r="D59" s="312" t="str">
        <x:v>EA</x:v>
      </x:c>
      <x:c r="E59" s="313" t="n">
        <x:v>46243.69803204861</x:v>
      </x:c>
      <x:c r="F59" s="314" t="n">
        <x:v>2</x:v>
      </x:c>
      <x:c r="G59" s="315" t="n">
        <x:v>1.11266</x:v>
      </x:c>
      <x:c r="H59" s="315" t="n">
        <x:v>1.02178</x:v>
      </x:c>
      <x:c r="I59" s="316" t="n">
        <x:v>0.08894282526571286</x:v>
      </x:c>
      <x:c r="J59" s="317" t="n">
        <x:f>IF(NOT(ISNUMBER(I59)),"",IFERROR(PERCENTRANK.INC($I$5:$I$121,I59),""))</x:f>
        <x:v>0.982</x:v>
      </x:c>
      <x:c r="K59" s="52" t="n">
        <x:f>IF(NOT(ISNUMBER(J59)),"",1+9*J59)</x:f>
        <x:v>9.838</x:v>
      </x:c>
      <x:c r="L59" s="12" t="str">
        <x:v>THIN COVERAGE</x:v>
      </x:c>
      <x:c r="M59" s="20" t="str">
        <x:v>https://finance.yahoo.com/quote/EA/analysis/</x:v>
      </x:c>
    </x:row>
    <x:row r="60">
      <x:c r="A60" s="53" t="n">
        <x:f>IF(ISNUMBER(K60),1+COUNTIF($K$5:$K$121,"&gt;"&amp;K60),"")</x:f>
        <x:v>70</x:v>
      </x:c>
      <x:c r="B60" s="12" t="str">
        <x:v>VRSK</x:v>
      </x:c>
      <x:c r="C60" s="12" t="str">
        <x:v>Verisk Analytics Inc.</x:v>
      </x:c>
      <x:c r="D60" s="312" t="str">
        <x:v>VRSK</x:v>
      </x:c>
      <x:c r="E60" s="313" t="n">
        <x:v>46243.69803204861</x:v>
      </x:c>
      <x:c r="F60" s="314" t="n">
        <x:v>16</x:v>
      </x:c>
      <x:c r="G60" s="315" t="n">
        <x:v>1.92751</x:v>
      </x:c>
      <x:c r="H60" s="315" t="n">
        <x:v>1.94792</x:v>
      </x:c>
      <x:c r="I60" s="316" t="n">
        <x:v>-0.010477843032568093</x:v>
      </x:c>
      <x:c r="J60" s="317" t="n">
        <x:f>IF(NOT(ISNUMBER(I60)),"",IFERROR(PERCENTRANK.INC($I$5:$I$121,I60),""))</x:f>
        <x:v>0.387</x:v>
      </x:c>
      <x:c r="K60" s="52" t="n">
        <x:f>IF(NOT(ISNUMBER(J60)),"",1+9*J60)</x:f>
        <x:v>4.4830000000000005</x:v>
      </x:c>
      <x:c r="L60" s="12" t="str">
        <x:v>OK</x:v>
      </x:c>
      <x:c r="M60" s="20" t="str">
        <x:v>https://finance.yahoo.com/quote/VRSK/analysis/</x:v>
      </x:c>
    </x:row>
    <x:row r="61">
      <x:c r="A61" s="53" t="n">
        <x:f>IF(ISNUMBER(K61),1+COUNTIF($K$5:$K$121,"&gt;"&amp;K61),"")</x:f>
        <x:v>11</x:v>
      </x:c>
      <x:c r="B61" s="12" t="str">
        <x:v>CNA</x:v>
      </x:c>
      <x:c r="C61" s="12" t="str">
        <x:v>CNA Financial Corp.</x:v>
      </x:c>
      <x:c r="D61" s="312" t="str">
        <x:v>CNA</x:v>
      </x:c>
      <x:c r="E61" s="313" t="n">
        <x:v>46243.69803204861</x:v>
      </x:c>
      <x:c r="F61" s="314" t="n">
        <x:v>1</x:v>
      </x:c>
      <x:c r="G61" s="315" t="n">
        <x:v>1.19</x:v>
      </x:c>
      <x:c r="H61" s="315" t="n">
        <x:v>1.14</x:v>
      </x:c>
      <x:c r="I61" s="316" t="n">
        <x:v>0.043859649122807064</x:v>
      </x:c>
      <x:c r="J61" s="317" t="n">
        <x:f>IF(NOT(ISNUMBER(I61)),"",IFERROR(PERCENTRANK.INC($I$5:$I$121,I61),""))</x:f>
        <x:v>0.913</x:v>
      </x:c>
      <x:c r="K61" s="52" t="n">
        <x:f>IF(NOT(ISNUMBER(J61)),"",1+9*J61)</x:f>
        <x:v>9.217</x:v>
      </x:c>
      <x:c r="L61" s="12" t="str">
        <x:v>THIN COVERAGE</x:v>
      </x:c>
      <x:c r="M61" s="20" t="str">
        <x:v>https://finance.yahoo.com/quote/CNA/analysis/</x:v>
      </x:c>
    </x:row>
    <x:row r="62">
      <x:c r="A62" s="53" t="n">
        <x:f>IF(ISNUMBER(K62),1+COUNTIF($K$5:$K$121,"&gt;"&amp;K62),"")</x:f>
        <x:v>71</x:v>
      </x:c>
      <x:c r="B62" s="12" t="str">
        <x:v>DLB</x:v>
      </x:c>
      <x:c r="C62" s="12" t="str">
        <x:v>Dolby Laboratories Inc.</x:v>
      </x:c>
      <x:c r="D62" s="312" t="str">
        <x:v>DLB</x:v>
      </x:c>
      <x:c r="E62" s="313" t="n">
        <x:v>46243.69803204861</x:v>
      </x:c>
      <x:c r="F62" s="314" t="n">
        <x:v>3</x:v>
      </x:c>
      <x:c r="G62" s="315" t="n">
        <x:v>1.19667</x:v>
      </x:c>
      <x:c r="H62" s="315" t="n">
        <x:v>1.21</x:v>
      </x:c>
      <x:c r="I62" s="316" t="n">
        <x:v>-0.011016528925619887</x:v>
      </x:c>
      <x:c r="J62" s="317" t="n">
        <x:f>IF(NOT(ISNUMBER(I62)),"",IFERROR(PERCENTRANK.INC($I$5:$I$121,I62),""))</x:f>
        <x:v>0.379</x:v>
      </x:c>
      <x:c r="K62" s="52" t="n">
        <x:f>IF(NOT(ISNUMBER(J62)),"",1+9*J62)</x:f>
        <x:v>4.411</x:v>
      </x:c>
      <x:c r="L62" s="12" t="str">
        <x:v>OK</x:v>
      </x:c>
      <x:c r="M62" s="20" t="str">
        <x:v>https://finance.yahoo.com/quote/DLB/analysis/</x:v>
      </x:c>
    </x:row>
    <x:row r="63">
      <x:c r="A63" s="53" t="n">
        <x:f>IF(ISNUMBER(K63),1+COUNTIF($K$5:$K$121,"&gt;"&amp;K63),"")</x:f>
        <x:v>60</x:v>
      </x:c>
      <x:c r="B63" s="12" t="str">
        <x:v>DTM</x:v>
      </x:c>
      <x:c r="C63" s="12" t="str">
        <x:v>DT Midstream Inc.</x:v>
      </x:c>
      <x:c r="D63" s="312" t="str">
        <x:v>DTM</x:v>
      </x:c>
      <x:c r="E63" s="313" t="n">
        <x:v>46243.69803204861</x:v>
      </x:c>
      <x:c r="F63" s="314" t="n">
        <x:v>7</x:v>
      </x:c>
      <x:c r="G63" s="315" t="n">
        <x:v>1.12646</x:v>
      </x:c>
      <x:c r="H63" s="315" t="n">
        <x:v>1.1323</x:v>
      </x:c>
      <x:c r="I63" s="316" t="n">
        <x:v>-0.005157643733992817</x:v>
      </x:c>
      <x:c r="J63" s="317" t="n">
        <x:f>IF(NOT(ISNUMBER(I63)),"",IFERROR(PERCENTRANK.INC($I$5:$I$121,I63),""))</x:f>
        <x:v>0.474</x:v>
      </x:c>
      <x:c r="K63" s="52" t="n">
        <x:f>IF(NOT(ISNUMBER(J63)),"",1+9*J63)</x:f>
        <x:v>5.266</x:v>
      </x:c>
      <x:c r="L63" s="12" t="str">
        <x:v>OK</x:v>
      </x:c>
      <x:c r="M63" s="20" t="str">
        <x:v>https://finance.yahoo.com/quote/DTM/analysis/</x:v>
      </x:c>
    </x:row>
    <x:row r="64">
      <x:c r="A64" s="53" t="n">
        <x:f>IF(ISNUMBER(K64),1+COUNTIF($K$5:$K$121,"&gt;"&amp;K64),"")</x:f>
        <x:v>32</x:v>
      </x:c>
      <x:c r="B64" s="12" t="str">
        <x:v>VRSN</x:v>
      </x:c>
      <x:c r="C64" s="12" t="str">
        <x:v>VeriSign Inc.</x:v>
      </x:c>
      <x:c r="D64" s="312" t="str">
        <x:v>VRSN</x:v>
      </x:c>
      <x:c r="E64" s="313" t="n">
        <x:v>46243.69803204861</x:v>
      </x:c>
      <x:c r="F64" s="314" t="n">
        <x:v>4</x:v>
      </x:c>
      <x:c r="G64" s="315" t="n">
        <x:v>2.40254</x:v>
      </x:c>
      <x:c r="H64" s="315" t="n">
        <x:v>2.37607</x:v>
      </x:c>
      <x:c r="I64" s="316" t="n">
        <x:v>0.01114024418472529</x:v>
      </x:c>
      <x:c r="J64" s="317" t="n">
        <x:f>IF(NOT(ISNUMBER(I64)),"",IFERROR(PERCENTRANK.INC($I$5:$I$121,I64),""))</x:f>
        <x:v>0.732</x:v>
      </x:c>
      <x:c r="K64" s="52" t="n">
        <x:f>IF(NOT(ISNUMBER(J64)),"",1+9*J64)</x:f>
        <x:v>7.588</x:v>
      </x:c>
      <x:c r="L64" s="12" t="str">
        <x:v>OK</x:v>
      </x:c>
      <x:c r="M64" s="20" t="str">
        <x:v>https://finance.yahoo.com/quote/VRSN/analysis/</x:v>
      </x:c>
    </x:row>
    <x:row r="65">
      <x:c r="A65" s="53" t="n">
        <x:f>IF(ISNUMBER(K65),1+COUNTIF($K$5:$K$121,"&gt;"&amp;K65),"")</x:f>
        <x:v>24</x:v>
      </x:c>
      <x:c r="B65" s="12" t="str">
        <x:v>NOC</x:v>
      </x:c>
      <x:c r="C65" s="12" t="str">
        <x:v>Northrop Grumman Corp.</x:v>
      </x:c>
      <x:c r="D65" s="312" t="str">
        <x:v>NOC</x:v>
      </x:c>
      <x:c r="E65" s="313" t="n">
        <x:v>46243.69803204861</x:v>
      </x:c>
      <x:c r="F65" s="314" t="n">
        <x:v>16</x:v>
      </x:c>
      <x:c r="G65" s="315" t="n">
        <x:v>7.15237</x:v>
      </x:c>
      <x:c r="H65" s="315" t="n">
        <x:v>7.00072</x:v>
      </x:c>
      <x:c r="I65" s="316" t="n">
        <x:v>0.021662057616930838</x:v>
      </x:c>
      <x:c r="J65" s="317" t="n">
        <x:f>IF(NOT(ISNUMBER(I65)),"",IFERROR(PERCENTRANK.INC($I$5:$I$121,I65),""))</x:f>
        <x:v>0.801</x:v>
      </x:c>
      <x:c r="K65" s="52" t="n">
        <x:f>IF(NOT(ISNUMBER(J65)),"",1+9*J65)</x:f>
        <x:v>8.209</x:v>
      </x:c>
      <x:c r="L65" s="12" t="str">
        <x:v>OK</x:v>
      </x:c>
      <x:c r="M65" s="20" t="str">
        <x:v>https://finance.yahoo.com/quote/NOC/analysis/</x:v>
      </x:c>
    </x:row>
    <x:row r="66">
      <x:c r="A66" s="53" t="n">
        <x:f>IF(ISNUMBER(K66),1+COUNTIF($K$5:$K$121,"&gt;"&amp;K66),"")</x:f>
        <x:v>113</x:v>
      </x:c>
      <x:c r="B66" s="12" t="str">
        <x:v>DOW</x:v>
      </x:c>
      <x:c r="C66" s="12" t="str">
        <x:v>Dow Inc.</x:v>
      </x:c>
      <x:c r="D66" s="312" t="str">
        <x:v>DOW</x:v>
      </x:c>
      <x:c r="E66" s="313" t="n">
        <x:v>46243.69803204861</x:v>
      </x:c>
      <x:c r="F66" s="314" t="n">
        <x:v>14</x:v>
      </x:c>
      <x:c r="G66" s="315" t="n">
        <x:v>0.78205</x:v>
      </x:c>
      <x:c r="H66" s="315" t="n">
        <x:v>1.1663</x:v>
      </x:c>
      <x:c r="I66" s="316" t="n">
        <x:v>-0.3294606876446882</x:v>
      </x:c>
      <x:c r="J66" s="317" t="n">
        <x:f>IF(NOT(ISNUMBER(I66)),"",IFERROR(PERCENTRANK.INC($I$5:$I$121,I66),""))</x:f>
        <x:v>0.017</x:v>
      </x:c>
      <x:c r="K66" s="52" t="n">
        <x:f>IF(NOT(ISNUMBER(J66)),"",1+9*J66)</x:f>
        <x:v>1.153</x:v>
      </x:c>
      <x:c r="L66" s="12" t="str">
        <x:v>OK</x:v>
      </x:c>
      <x:c r="M66" s="20" t="str">
        <x:v>https://finance.yahoo.com/quote/DOW/analysis/</x:v>
      </x:c>
    </x:row>
    <x:row r="67">
      <x:c r="A67" s="53" t="n">
        <x:f>IF(ISNUMBER(K67),1+COUNTIF($K$5:$K$121,"&gt;"&amp;K67),"")</x:f>
        <x:v>57</x:v>
      </x:c>
      <x:c r="B67" s="12" t="str">
        <x:v>SO</x:v>
      </x:c>
      <x:c r="C67" s="12" t="str">
        <x:v>The Southern Co.</x:v>
      </x:c>
      <x:c r="D67" s="312" t="str">
        <x:v>SO</x:v>
      </x:c>
      <x:c r="E67" s="313" t="n">
        <x:v>46243.69803204861</x:v>
      </x:c>
      <x:c r="F67" s="314" t="n">
        <x:v>9</x:v>
      </x:c>
      <x:c r="G67" s="315" t="n">
        <x:v>1.66944</x:v>
      </x:c>
      <x:c r="H67" s="315" t="n">
        <x:v>1.67561</x:v>
      </x:c>
      <x:c r="I67" s="316" t="n">
        <x:v>-0.0036822410942880554</x:v>
      </x:c>
      <x:c r="J67" s="317" t="n">
        <x:f>IF(NOT(ISNUMBER(I67)),"",IFERROR(PERCENTRANK.INC($I$5:$I$121,I67),""))</x:f>
        <x:v>0.5</x:v>
      </x:c>
      <x:c r="K67" s="52" t="n">
        <x:f>IF(NOT(ISNUMBER(J67)),"",1+9*J67)</x:f>
        <x:v>5.5</x:v>
      </x:c>
      <x:c r="L67" s="12" t="str">
        <x:v>OK</x:v>
      </x:c>
      <x:c r="M67" s="20" t="str">
        <x:v>https://finance.yahoo.com/quote/SO/analysis/</x:v>
      </x:c>
    </x:row>
    <x:row r="68">
      <x:c r="A68" s="53" t="n">
        <x:f>IF(ISNUMBER(K68),1+COUNTIF($K$5:$K$121,"&gt;"&amp;K68),"")</x:f>
        <x:v>61</x:v>
      </x:c>
      <x:c r="B68" s="12" t="str">
        <x:v>COR</x:v>
      </x:c>
      <x:c r="C68" s="12" t="str">
        <x:v>Cencora Inc.</x:v>
      </x:c>
      <x:c r="D68" s="312" t="str">
        <x:v>COR</x:v>
      </x:c>
      <x:c r="E68" s="313" t="n">
        <x:v>46243.69803204861</x:v>
      </x:c>
      <x:c r="F68" s="314" t="n">
        <x:v>11</x:v>
      </x:c>
      <x:c r="G68" s="315" t="n">
        <x:v>4.58376</x:v>
      </x:c>
      <x:c r="H68" s="315" t="n">
        <x:v>4.60848</x:v>
      </x:c>
      <x:c r="I68" s="316" t="n">
        <x:v>-0.0053640245807729005</x:v>
      </x:c>
      <x:c r="J68" s="317" t="n">
        <x:f>IF(NOT(ISNUMBER(I68)),"",IFERROR(PERCENTRANK.INC($I$5:$I$121,I68),""))</x:f>
        <x:v>0.465</x:v>
      </x:c>
      <x:c r="K68" s="52" t="n">
        <x:f>IF(NOT(ISNUMBER(J68)),"",1+9*J68)</x:f>
        <x:v>5.1850000000000005</x:v>
      </x:c>
      <x:c r="L68" s="12" t="str">
        <x:v>OK</x:v>
      </x:c>
      <x:c r="M68" s="20" t="str">
        <x:v>https://finance.yahoo.com/quote/COR/analysis/</x:v>
      </x:c>
    </x:row>
    <x:row r="69">
      <x:c r="A69" s="53" t="n">
        <x:f>IF(ISNUMBER(K69),1+COUNTIF($K$5:$K$121,"&gt;"&amp;K69),"")</x:f>
        <x:v>111</x:v>
      </x:c>
      <x:c r="B69" s="12" t="str">
        <x:v>ACI</x:v>
      </x:c>
      <x:c r="C69" s="12" t="str">
        <x:v>Albertsons Cos. Inc.</x:v>
      </x:c>
      <x:c r="D69" s="312" t="str">
        <x:v>ACI</x:v>
      </x:c>
      <x:c r="E69" s="313" t="n">
        <x:v>46243.69803204861</x:v>
      </x:c>
      <x:c r="F69" s="314" t="n">
        <x:v>17</x:v>
      </x:c>
      <x:c r="G69" s="315" t="n">
        <x:v>0.32728</x:v>
      </x:c>
      <x:c r="H69" s="315" t="n">
        <x:v>0.45898</x:v>
      </x:c>
      <x:c r="I69" s="316" t="n">
        <x:v>-0.28694060743387506</x:v>
      </x:c>
      <x:c r="J69" s="317" t="n">
        <x:f>IF(NOT(ISNUMBER(I69)),"",IFERROR(PERCENTRANK.INC($I$5:$I$121,I69),""))</x:f>
        <x:v>0.034</x:v>
      </x:c>
      <x:c r="K69" s="52" t="n">
        <x:f>IF(NOT(ISNUMBER(J69)),"",1+9*J69)</x:f>
        <x:v>1.306</x:v>
      </x:c>
      <x:c r="L69" s="12" t="str">
        <x:v>OK</x:v>
      </x:c>
      <x:c r="M69" s="20" t="str">
        <x:v>https://finance.yahoo.com/quote/ACI/analysis/</x:v>
      </x:c>
    </x:row>
    <x:row r="70">
      <x:c r="A70" s="53" t="str">
        <x:f>IF(ISNUMBER(K70),1+COUNTIF($K$5:$K$121,"&gt;"&amp;K70),"")</x:f>
      </x:c>
      <x:c r="B70" s="12" t="str">
        <x:v>L</x:v>
      </x:c>
      <x:c r="C70" s="12" t="str">
        <x:v>Loews Corp.</x:v>
      </x:c>
      <x:c r="D70" s="312" t="str">
        <x:v>L</x:v>
      </x:c>
      <x:c r="E70" s="313" t="n">
        <x:v>46243.69803204861</x:v>
      </x:c>
      <x:c r="F70" s="314"/>
      <x:c r="G70" s="315"/>
      <x:c r="H70" s="315"/>
      <x:c r="I70" s="316"/>
      <x:c r="J70" s="317" t="str">
        <x:f>IF(NOT(ISNUMBER(I70)),"",IFERROR(PERCENTRANK.INC($I$5:$I$121,I70),""))</x:f>
      </x:c>
      <x:c r="K70" s="52" t="str">
        <x:f>IF(NOT(ISNUMBER(J70)),"",1+9*J70)</x:f>
      </x:c>
      <x:c r="L70" s="12" t="str">
        <x:v>NO CURRENT-QUARTER DATA</x:v>
      </x:c>
      <x:c r="M70" s="20" t="str">
        <x:v>https://finance.yahoo.com/quote/L/analysis/</x:v>
      </x:c>
    </x:row>
    <x:row r="71">
      <x:c r="A71" s="53" t="n">
        <x:f>IF(ISNUMBER(K71),1+COUNTIF($K$5:$K$121,"&gt;"&amp;K71),"")</x:f>
        <x:v>114</x:v>
      </x:c>
      <x:c r="B71" s="12" t="str">
        <x:v>CTVA</x:v>
      </x:c>
      <x:c r="C71" s="12" t="str">
        <x:v>Corteva Inc.</x:v>
      </x:c>
      <x:c r="D71" s="312" t="str">
        <x:v>CTVA</x:v>
      </x:c>
      <x:c r="E71" s="313" t="n">
        <x:v>46243.69803204861</x:v>
      </x:c>
      <x:c r="F71" s="314" t="n">
        <x:v>15</x:v>
      </x:c>
      <x:c r="G71" s="315" t="n">
        <x:v>-0.38775</x:v>
      </x:c>
      <x:c r="H71" s="315" t="n">
        <x:v>-0.28046</x:v>
      </x:c>
      <x:c r="I71" s="316" t="n">
        <x:v>-0.3825500962704129</x:v>
      </x:c>
      <x:c r="J71" s="317" t="n">
        <x:f>IF(NOT(ISNUMBER(I71)),"",IFERROR(PERCENTRANK.INC($I$5:$I$121,I71),""))</x:f>
        <x:v>0.008</x:v>
      </x:c>
      <x:c r="K71" s="52" t="n">
        <x:f>IF(NOT(ISNUMBER(J71)),"",1+9*J71)</x:f>
        <x:v>1.072</x:v>
      </x:c>
      <x:c r="L71" s="12" t="str">
        <x:v>OK</x:v>
      </x:c>
      <x:c r="M71" s="20" t="str">
        <x:v>https://finance.yahoo.com/quote/CTVA/analysis/</x:v>
      </x:c>
    </x:row>
    <x:row r="72">
      <x:c r="A72" s="53" t="n">
        <x:f>IF(ISNUMBER(K72),1+COUNTIF($K$5:$K$121,"&gt;"&amp;K72),"")</x:f>
        <x:v>43</x:v>
      </x:c>
      <x:c r="B72" s="12" t="str">
        <x:v>FCFS</x:v>
      </x:c>
      <x:c r="C72" s="12" t="str">
        <x:v>FirstCash Holdings Inc.</x:v>
      </x:c>
      <x:c r="D72" s="312" t="str">
        <x:v>FCFS</x:v>
      </x:c>
      <x:c r="E72" s="313" t="n">
        <x:v>46243.69803204861</x:v>
      </x:c>
      <x:c r="F72" s="314" t="n">
        <x:v>5</x:v>
      </x:c>
      <x:c r="G72" s="315" t="n">
        <x:v>2.744</x:v>
      </x:c>
      <x:c r="H72" s="315" t="n">
        <x:v>2.734</x:v>
      </x:c>
      <x:c r="I72" s="316" t="n">
        <x:v>0.0036576444769569243</x:v>
      </x:c>
      <x:c r="J72" s="317" t="n">
        <x:f>IF(NOT(ISNUMBER(I72)),"",IFERROR(PERCENTRANK.INC($I$5:$I$121,I72),""))</x:f>
        <x:v>0.637</x:v>
      </x:c>
      <x:c r="K72" s="52" t="n">
        <x:f>IF(NOT(ISNUMBER(J72)),"",1+9*J72)</x:f>
        <x:v>6.7330000000000005</x:v>
      </x:c>
      <x:c r="L72" s="12" t="str">
        <x:v>OK</x:v>
      </x:c>
      <x:c r="M72" s="20" t="str">
        <x:v>https://finance.yahoo.com/quote/FCFS/analysis/</x:v>
      </x:c>
    </x:row>
    <x:row r="73">
      <x:c r="A73" s="53" t="n">
        <x:f>IF(ISNUMBER(K73),1+COUNTIF($K$5:$K$121,"&gt;"&amp;K73),"")</x:f>
        <x:v>15</x:v>
      </x:c>
      <x:c r="B73" s="12" t="str">
        <x:v>TYL</x:v>
      </x:c>
      <x:c r="C73" s="12" t="str">
        <x:v>Tyler Technologies Inc.</x:v>
      </x:c>
      <x:c r="D73" s="312" t="str">
        <x:v>TYL</x:v>
      </x:c>
      <x:c r="E73" s="313" t="n">
        <x:v>46243.69803204861</x:v>
      </x:c>
      <x:c r="F73" s="314" t="n">
        <x:v>22</x:v>
      </x:c>
      <x:c r="G73" s="315" t="n">
        <x:v>3.46679</x:v>
      </x:c>
      <x:c r="H73" s="315" t="n">
        <x:v>3.3724</x:v>
      </x:c>
      <x:c r="I73" s="316" t="n">
        <x:v>0.027988969280038016</x:v>
      </x:c>
      <x:c r="J73" s="317" t="n">
        <x:f>IF(NOT(ISNUMBER(I73)),"",IFERROR(PERCENTRANK.INC($I$5:$I$121,I73),""))</x:f>
        <x:v>0.879</x:v>
      </x:c>
      <x:c r="K73" s="52" t="n">
        <x:f>IF(NOT(ISNUMBER(J73)),"",1+9*J73)</x:f>
        <x:v>8.911</x:v>
      </x:c>
      <x:c r="L73" s="12" t="str">
        <x:v>OK</x:v>
      </x:c>
      <x:c r="M73" s="20" t="str">
        <x:v>https://finance.yahoo.com/quote/TYL/analysis/</x:v>
      </x:c>
    </x:row>
    <x:row r="74">
      <x:c r="A74" s="53" t="n">
        <x:f>IF(ISNUMBER(K74),1+COUNTIF($K$5:$K$121,"&gt;"&amp;K74),"")</x:f>
        <x:v>21</x:v>
      </x:c>
      <x:c r="B74" s="12" t="str">
        <x:v>ROP</x:v>
      </x:c>
      <x:c r="C74" s="12" t="str">
        <x:v>Roper Technologies Inc.</x:v>
      </x:c>
      <x:c r="D74" s="312" t="str">
        <x:v>ROP</x:v>
      </x:c>
      <x:c r="E74" s="313" t="n">
        <x:v>46243.69803204861</x:v>
      </x:c>
      <x:c r="F74" s="314" t="n">
        <x:v>16</x:v>
      </x:c>
      <x:c r="G74" s="315" t="n">
        <x:v>5.79003</x:v>
      </x:c>
      <x:c r="H74" s="315" t="n">
        <x:v>5.65089</x:v>
      </x:c>
      <x:c r="I74" s="316" t="n">
        <x:v>0.0246226700572829</x:v>
      </x:c>
      <x:c r="J74" s="317" t="n">
        <x:f>IF(NOT(ISNUMBER(I74)),"",IFERROR(PERCENTRANK.INC($I$5:$I$121,I74),""))</x:f>
        <x:v>0.827</x:v>
      </x:c>
      <x:c r="K74" s="52" t="n">
        <x:f>IF(NOT(ISNUMBER(J74)),"",1+9*J74)</x:f>
        <x:v>8.443</x:v>
      </x:c>
      <x:c r="L74" s="12" t="str">
        <x:v>OK</x:v>
      </x:c>
      <x:c r="M74" s="20" t="str">
        <x:v>https://finance.yahoo.com/quote/ROP/analysis/</x:v>
      </x:c>
    </x:row>
    <x:row r="75">
      <x:c r="A75" s="53" t="n">
        <x:f>IF(ISNUMBER(K75),1+COUNTIF($K$5:$K$121,"&gt;"&amp;K75),"")</x:f>
        <x:v>65</x:v>
      </x:c>
      <x:c r="B75" s="12" t="str">
        <x:v>VRTX</x:v>
      </x:c>
      <x:c r="C75" s="12" t="str">
        <x:v>Vertex Pharmaceuticals Inc.</x:v>
      </x:c>
      <x:c r="D75" s="312" t="str">
        <x:v>VRTX</x:v>
      </x:c>
      <x:c r="E75" s="313" t="n">
        <x:v>46243.69803204861</x:v>
      </x:c>
      <x:c r="F75" s="314" t="n">
        <x:v>15</x:v>
      </x:c>
      <x:c r="G75" s="315" t="n">
        <x:v>4.86724</x:v>
      </x:c>
      <x:c r="H75" s="315" t="n">
        <x:v>4.90386</x:v>
      </x:c>
      <x:c r="I75" s="316" t="n">
        <x:v>-0.007467586758186429</x:v>
      </x:c>
      <x:c r="J75" s="317" t="n">
        <x:f>IF(NOT(ISNUMBER(I75)),"",IFERROR(PERCENTRANK.INC($I$5:$I$121,I75),""))</x:f>
        <x:v>0.431</x:v>
      </x:c>
      <x:c r="K75" s="52" t="n">
        <x:f>IF(NOT(ISNUMBER(J75)),"",1+9*J75)</x:f>
        <x:v>4.879</x:v>
      </x:c>
      <x:c r="L75" s="12" t="str">
        <x:v>OK</x:v>
      </x:c>
      <x:c r="M75" s="20" t="str">
        <x:v>https://finance.yahoo.com/quote/VRTX/analysis/</x:v>
      </x:c>
    </x:row>
    <x:row r="76">
      <x:c r="A76" s="53" t="n">
        <x:f>IF(ISNUMBER(K76),1+COUNTIF($K$5:$K$121,"&gt;"&amp;K76),"")</x:f>
        <x:v>18</x:v>
      </x:c>
      <x:c r="B76" s="12" t="str">
        <x:v>REG</x:v>
      </x:c>
      <x:c r="C76" s="12" t="str">
        <x:v>Regency Centers Corp. REIT</x:v>
      </x:c>
      <x:c r="D76" s="312" t="str">
        <x:v>REG</x:v>
      </x:c>
      <x:c r="E76" s="313" t="n">
        <x:v>46243.69803204861</x:v>
      </x:c>
      <x:c r="F76" s="314" t="n">
        <x:v>4</x:v>
      </x:c>
      <x:c r="G76" s="315" t="n">
        <x:v>0.60073</x:v>
      </x:c>
      <x:c r="H76" s="315" t="n">
        <x:v>0.5857</x:v>
      </x:c>
      <x:c r="I76" s="316" t="n">
        <x:v>0.02566160150247565</x:v>
      </x:c>
      <x:c r="J76" s="317" t="n">
        <x:f>IF(NOT(ISNUMBER(I76)),"",IFERROR(PERCENTRANK.INC($I$5:$I$121,I76),""))</x:f>
        <x:v>0.853</x:v>
      </x:c>
      <x:c r="K76" s="52" t="n">
        <x:f>IF(NOT(ISNUMBER(J76)),"",1+9*J76)</x:f>
        <x:v>8.677</x:v>
      </x:c>
      <x:c r="L76" s="12" t="str">
        <x:v>OK</x:v>
      </x:c>
      <x:c r="M76" s="20" t="str">
        <x:v>https://finance.yahoo.com/quote/REG/analysis/</x:v>
      </x:c>
    </x:row>
    <x:row r="77">
      <x:c r="A77" s="53" t="n">
        <x:f>IF(ISNUMBER(K77),1+COUNTIF($K$5:$K$121,"&gt;"&amp;K77),"")</x:f>
        <x:v>14</x:v>
      </x:c>
      <x:c r="B77" s="12" t="str">
        <x:v>ENSG</x:v>
      </x:c>
      <x:c r="C77" s="12" t="str">
        <x:v>The Ensign Group Inc.</x:v>
      </x:c>
      <x:c r="D77" s="312" t="str">
        <x:v>ENSG</x:v>
      </x:c>
      <x:c r="E77" s="313" t="n">
        <x:v>46243.69803204861</x:v>
      </x:c>
      <x:c r="F77" s="314" t="n">
        <x:v>5</x:v>
      </x:c>
      <x:c r="G77" s="315" t="n">
        <x:v>1.95921</x:v>
      </x:c>
      <x:c r="H77" s="315" t="n">
        <x:v>1.90245</x:v>
      </x:c>
      <x:c r="I77" s="316" t="n">
        <x:v>0.029835212489158675</x:v>
      </x:c>
      <x:c r="J77" s="317" t="n">
        <x:f>IF(NOT(ISNUMBER(I77)),"",IFERROR(PERCENTRANK.INC($I$5:$I$121,I77),""))</x:f>
        <x:v>0.887</x:v>
      </x:c>
      <x:c r="K77" s="52" t="n">
        <x:f>IF(NOT(ISNUMBER(J77)),"",1+9*J77)</x:f>
        <x:v>8.983</x:v>
      </x:c>
      <x:c r="L77" s="12" t="str">
        <x:v>OK</x:v>
      </x:c>
      <x:c r="M77" s="20" t="str">
        <x:v>https://finance.yahoo.com/quote/ENSG/analysis/</x:v>
      </x:c>
    </x:row>
    <x:row r="78">
      <x:c r="A78" s="53" t="n">
        <x:f>IF(ISNUMBER(K78),1+COUNTIF($K$5:$K$121,"&gt;"&amp;K78),"")</x:f>
        <x:v>75</x:v>
      </x:c>
      <x:c r="B78" s="12" t="str">
        <x:v>ERIE</x:v>
      </x:c>
      <x:c r="C78" s="12" t="str">
        <x:v>Erie Indemnity Co.</x:v>
      </x:c>
      <x:c r="D78" s="312" t="str">
        <x:v>ERIE</x:v>
      </x:c>
      <x:c r="E78" s="313" t="n">
        <x:v>46243.69803204861</x:v>
      </x:c>
      <x:c r="F78" s="314" t="n">
        <x:v>1</x:v>
      </x:c>
      <x:c r="G78" s="315" t="n">
        <x:v>3.41</x:v>
      </x:c>
      <x:c r="H78" s="315" t="n">
        <x:v>3.46</x:v>
      </x:c>
      <x:c r="I78" s="316" t="n">
        <x:v>-0.01445086705202307</x:v>
      </x:c>
      <x:c r="J78" s="317" t="n">
        <x:f>IF(NOT(ISNUMBER(I78)),"",IFERROR(PERCENTRANK.INC($I$5:$I$121,I78),""))</x:f>
        <x:v>0.344</x:v>
      </x:c>
      <x:c r="K78" s="52" t="n">
        <x:f>IF(NOT(ISNUMBER(J78)),"",1+9*J78)</x:f>
        <x:v>4.096</x:v>
      </x:c>
      <x:c r="L78" s="12" t="str">
        <x:v>THIN COVERAGE</x:v>
      </x:c>
      <x:c r="M78" s="20" t="str">
        <x:v>https://finance.yahoo.com/quote/ERIE/analysis/</x:v>
      </x:c>
    </x:row>
    <x:row r="79">
      <x:c r="A79" s="53" t="n">
        <x:f>IF(ISNUMBER(K79),1+COUNTIF($K$5:$K$121,"&gt;"&amp;K79),"")</x:f>
        <x:v>35</x:v>
      </x:c>
      <x:c r="B79" s="12" t="str">
        <x:v>TMUS</x:v>
      </x:c>
      <x:c r="C79" s="12" t="str">
        <x:v>T-Mobile US Inc.</x:v>
      </x:c>
      <x:c r="D79" s="312" t="str">
        <x:v>TMUS</x:v>
      </x:c>
      <x:c r="E79" s="313" t="n">
        <x:v>46243.69803204861</x:v>
      </x:c>
      <x:c r="F79" s="314" t="n">
        <x:v>17</x:v>
      </x:c>
      <x:c r="G79" s="315" t="n">
        <x:v>2.9015</x:v>
      </x:c>
      <x:c r="H79" s="315" t="n">
        <x:v>2.87715</x:v>
      </x:c>
      <x:c r="I79" s="316" t="n">
        <x:v>0.008463236188589436</x:v>
      </x:c>
      <x:c r="J79" s="317" t="n">
        <x:f>IF(NOT(ISNUMBER(I79)),"",IFERROR(PERCENTRANK.INC($I$5:$I$121,I79),""))</x:f>
        <x:v>0.706</x:v>
      </x:c>
      <x:c r="K79" s="52" t="n">
        <x:f>IF(NOT(ISNUMBER(J79)),"",1+9*J79)</x:f>
        <x:v>7.353999999999999</x:v>
      </x:c>
      <x:c r="L79" s="12" t="str">
        <x:v>OK</x:v>
      </x:c>
      <x:c r="M79" s="20" t="str">
        <x:v>https://finance.yahoo.com/quote/TMUS/analysis/</x:v>
      </x:c>
    </x:row>
    <x:row r="80">
      <x:c r="A80" s="53" t="n">
        <x:f>IF(ISNUMBER(K80),1+COUNTIF($K$5:$K$121,"&gt;"&amp;K80),"")</x:f>
        <x:v>56</x:v>
      </x:c>
      <x:c r="B80" s="12" t="str">
        <x:v>G</x:v>
      </x:c>
      <x:c r="C80" s="12" t="str">
        <x:v>Genpact Ltd.</x:v>
      </x:c>
      <x:c r="D80" s="312" t="str">
        <x:v>G</x:v>
      </x:c>
      <x:c r="E80" s="313" t="n">
        <x:v>46243.69803204861</x:v>
      </x:c>
      <x:c r="F80" s="314" t="n">
        <x:v>10</x:v>
      </x:c>
      <x:c r="G80" s="315" t="n">
        <x:v>1.04408</x:v>
      </x:c>
      <x:c r="H80" s="315" t="n">
        <x:v>1.04775</x:v>
      </x:c>
      <x:c r="I80" s="316" t="n">
        <x:v>-0.0035027439751849796</x:v>
      </x:c>
      <x:c r="J80" s="317" t="n">
        <x:f>IF(NOT(ISNUMBER(I80)),"",IFERROR(PERCENTRANK.INC($I$5:$I$121,I80),""))</x:f>
        <x:v>0.508</x:v>
      </x:c>
      <x:c r="K80" s="52" t="n">
        <x:f>IF(NOT(ISNUMBER(J80)),"",1+9*J80)</x:f>
        <x:v>5.572</x:v>
      </x:c>
      <x:c r="L80" s="12" t="str">
        <x:v>OK</x:v>
      </x:c>
      <x:c r="M80" s="20" t="str">
        <x:v>https://finance.yahoo.com/quote/G/analysis/</x:v>
      </x:c>
    </x:row>
    <x:row r="81">
      <x:c r="A81" s="53" t="n">
        <x:f>IF(ISNUMBER(K81),1+COUNTIF($K$5:$K$121,"&gt;"&amp;K81),"")</x:f>
        <x:v>62</x:v>
      </x:c>
      <x:c r="B81" s="12" t="str">
        <x:v>T</x:v>
      </x:c>
      <x:c r="C81" s="12" t="str">
        <x:v>AT&amp;T Inc.</x:v>
      </x:c>
      <x:c r="D81" s="312" t="str">
        <x:v>T</x:v>
      </x:c>
      <x:c r="E81" s="313" t="n">
        <x:v>46243.69803204861</x:v>
      </x:c>
      <x:c r="F81" s="314" t="n">
        <x:v>18</x:v>
      </x:c>
      <x:c r="G81" s="315" t="n">
        <x:v>0.60395</x:v>
      </x:c>
      <x:c r="H81" s="315" t="n">
        <x:v>0.60746</x:v>
      </x:c>
      <x:c r="I81" s="316" t="n">
        <x:v>-0.005778158232640854</x:v>
      </x:c>
      <x:c r="J81" s="317" t="n">
        <x:f>IF(NOT(ISNUMBER(I81)),"",IFERROR(PERCENTRANK.INC($I$5:$I$121,I81),""))</x:f>
        <x:v>0.456</x:v>
      </x:c>
      <x:c r="K81" s="52" t="n">
        <x:f>IF(NOT(ISNUMBER(J81)),"",1+9*J81)</x:f>
        <x:v>5.104</x:v>
      </x:c>
      <x:c r="L81" s="12" t="str">
        <x:v>OK</x:v>
      </x:c>
      <x:c r="M81" s="20" t="str">
        <x:v>https://finance.yahoo.com/quote/T/analysis/</x:v>
      </x:c>
    </x:row>
    <x:row r="82">
      <x:c r="A82" s="53" t="n">
        <x:f>IF(ISNUMBER(K82),1+COUNTIF($K$5:$K$121,"&gt;"&amp;K82),"")</x:f>
        <x:v>30</x:v>
      </x:c>
      <x:c r="B82" s="12" t="str">
        <x:v>FAST</x:v>
      </x:c>
      <x:c r="C82" s="12" t="str">
        <x:v>Fastenal Co.</x:v>
      </x:c>
      <x:c r="D82" s="312" t="str">
        <x:v>FAST</x:v>
      </x:c>
      <x:c r="E82" s="313" t="n">
        <x:v>46243.69803204861</x:v>
      </x:c>
      <x:c r="F82" s="314" t="n">
        <x:v>11</x:v>
      </x:c>
      <x:c r="G82" s="315" t="n">
        <x:v>0.33183</x:v>
      </x:c>
      <x:c r="H82" s="315" t="n">
        <x:v>0.32721</x:v>
      </x:c>
      <x:c r="I82" s="316" t="n">
        <x:v>0.014119372879802002</x:v>
      </x:c>
      <x:c r="J82" s="317" t="n">
        <x:f>IF(NOT(ISNUMBER(I82)),"",IFERROR(PERCENTRANK.INC($I$5:$I$121,I82),""))</x:f>
        <x:v>0.75</x:v>
      </x:c>
      <x:c r="K82" s="52" t="n">
        <x:f>IF(NOT(ISNUMBER(J82)),"",1+9*J82)</x:f>
        <x:v>7.75</x:v>
      </x:c>
      <x:c r="L82" s="12" t="str">
        <x:v>OK</x:v>
      </x:c>
      <x:c r="M82" s="20" t="str">
        <x:v>https://finance.yahoo.com/quote/FAST/analysis/</x:v>
      </x:c>
    </x:row>
    <x:row r="83">
      <x:c r="A83" s="53" t="n">
        <x:f>IF(ISNUMBER(K83),1+COUNTIF($K$5:$K$121,"&gt;"&amp;K83),"")</x:f>
        <x:v>77</x:v>
      </x:c>
      <x:c r="B83" s="12" t="str">
        <x:v>LMT</x:v>
      </x:c>
      <x:c r="C83" s="12" t="str">
        <x:v>Lockheed Martin Corp.</x:v>
      </x:c>
      <x:c r="D83" s="312" t="str">
        <x:v>LMT</x:v>
      </x:c>
      <x:c r="E83" s="313" t="n">
        <x:v>46243.69803204861</x:v>
      </x:c>
      <x:c r="F83" s="314" t="n">
        <x:v>18</x:v>
      </x:c>
      <x:c r="G83" s="315" t="n">
        <x:v>7.47162</x:v>
      </x:c>
      <x:c r="H83" s="315" t="n">
        <x:v>7.59156</x:v>
      </x:c>
      <x:c r="I83" s="316" t="n">
        <x:v>-0.015799124290659706</x:v>
      </x:c>
      <x:c r="J83" s="317" t="n">
        <x:f>IF(NOT(ISNUMBER(I83)),"",IFERROR(PERCENTRANK.INC($I$5:$I$121,I83),""))</x:f>
        <x:v>0.327</x:v>
      </x:c>
      <x:c r="K83" s="52" t="n">
        <x:f>IF(NOT(ISNUMBER(J83)),"",1+9*J83)</x:f>
        <x:v>3.943</x:v>
      </x:c>
      <x:c r="L83" s="12" t="str">
        <x:v>OK</x:v>
      </x:c>
      <x:c r="M83" s="20" t="str">
        <x:v>https://finance.yahoo.com/quote/LMT/analysis/</x:v>
      </x:c>
    </x:row>
    <x:row r="84">
      <x:c r="A84" s="53" t="n">
        <x:f>IF(ISNUMBER(K84),1+COUNTIF($K$5:$K$121,"&gt;"&amp;K84),"")</x:f>
        <x:v>42</x:v>
      </x:c>
      <x:c r="B84" s="12" t="str">
        <x:v>BJ</x:v>
      </x:c>
      <x:c r="C84" s="12" t="str">
        <x:v>BJ's Wholesale Club Holdings Inc.</x:v>
      </x:c>
      <x:c r="D84" s="312" t="str">
        <x:v>BJ</x:v>
      </x:c>
      <x:c r="E84" s="313" t="n">
        <x:v>46243.69803204861</x:v>
      </x:c>
      <x:c r="F84" s="314" t="n">
        <x:v>20</x:v>
      </x:c>
      <x:c r="G84" s="315" t="n">
        <x:v>1.1621</x:v>
      </x:c>
      <x:c r="H84" s="315" t="n">
        <x:v>1.15764</x:v>
      </x:c>
      <x:c r="I84" s="316" t="n">
        <x:v>0.003852665768287126</x:v>
      </x:c>
      <x:c r="J84" s="317" t="n">
        <x:f>IF(NOT(ISNUMBER(I84)),"",IFERROR(PERCENTRANK.INC($I$5:$I$121,I84),""))</x:f>
        <x:v>0.646</x:v>
      </x:c>
      <x:c r="K84" s="52" t="n">
        <x:f>IF(NOT(ISNUMBER(J84)),"",1+9*J84)</x:f>
        <x:v>6.814</x:v>
      </x:c>
      <x:c r="L84" s="12" t="str">
        <x:v>OK</x:v>
      </x:c>
      <x:c r="M84" s="20" t="str">
        <x:v>https://finance.yahoo.com/quote/BJ/analysis/</x:v>
      </x:c>
    </x:row>
    <x:row r="85">
      <x:c r="A85" s="53" t="n">
        <x:f>IF(ISNUMBER(K85),1+COUNTIF($K$5:$K$121,"&gt;"&amp;K85),"")</x:f>
        <x:v>58</x:v>
      </x:c>
      <x:c r="B85" s="12" t="str">
        <x:v>MRSH</x:v>
      </x:c>
      <x:c r="C85" s="12" t="str">
        <x:v>Marsh and McLennan Cos. Inc.</x:v>
      </x:c>
      <x:c r="D85" s="312" t="str">
        <x:v>MRSH</x:v>
      </x:c>
      <x:c r="E85" s="313" t="n">
        <x:v>46243.69803204861</x:v>
      </x:c>
      <x:c r="F85" s="314" t="n">
        <x:v>21</x:v>
      </x:c>
      <x:c r="G85" s="315" t="n">
        <x:v>1.9766</x:v>
      </x:c>
      <x:c r="H85" s="315" t="n">
        <x:v>1.98461</x:v>
      </x:c>
      <x:c r="I85" s="316" t="n">
        <x:v>-0.004036057462171445</x:v>
      </x:c>
      <x:c r="J85" s="317" t="n">
        <x:f>IF(NOT(ISNUMBER(I85)),"",IFERROR(PERCENTRANK.INC($I$5:$I$121,I85),""))</x:f>
        <x:v>0.491</x:v>
      </x:c>
      <x:c r="K85" s="52" t="n">
        <x:f>IF(NOT(ISNUMBER(J85)),"",1+9*J85)</x:f>
        <x:v>5.419</x:v>
      </x:c>
      <x:c r="L85" s="12" t="str">
        <x:v>OK</x:v>
      </x:c>
      <x:c r="M85" s="20" t="str">
        <x:v>https://finance.yahoo.com/quote/MRSH/analysis/</x:v>
      </x:c>
    </x:row>
    <x:row r="86">
      <x:c r="A86" s="53" t="n">
        <x:f>IF(ISNUMBER(K86),1+COUNTIF($K$5:$K$121,"&gt;"&amp;K86),"")</x:f>
        <x:v>52</x:v>
      </x:c>
      <x:c r="B86" s="12" t="str">
        <x:v>ABT</x:v>
      </x:c>
      <x:c r="C86" s="12" t="str">
        <x:v>Abbott Laboratories</x:v>
      </x:c>
      <x:c r="D86" s="312" t="str">
        <x:v>ABT</x:v>
      </x:c>
      <x:c r="E86" s="313" t="n">
        <x:v>46243.69803204861</x:v>
      </x:c>
      <x:c r="F86" s="314" t="n">
        <x:v>22</x:v>
      </x:c>
      <x:c r="G86" s="315" t="n">
        <x:v>1.41931</x:v>
      </x:c>
      <x:c r="H86" s="315" t="n">
        <x:v>1.42094</x:v>
      </x:c>
      <x:c r="I86" s="316" t="n">
        <x:v>-0.0011471279575492421</x:v>
      </x:c>
      <x:c r="J86" s="317" t="n">
        <x:f>IF(NOT(ISNUMBER(I86)),"",IFERROR(PERCENTRANK.INC($I$5:$I$121,I86),""))</x:f>
        <x:v>0.543</x:v>
      </x:c>
      <x:c r="K86" s="52" t="n">
        <x:f>IF(NOT(ISNUMBER(J86)),"",1+9*J86)</x:f>
        <x:v>5.8870000000000005</x:v>
      </x:c>
      <x:c r="L86" s="12" t="str">
        <x:v>OK</x:v>
      </x:c>
      <x:c r="M86" s="20" t="str">
        <x:v>https://finance.yahoo.com/quote/ABT/analysis/</x:v>
      </x:c>
    </x:row>
    <x:row r="87">
      <x:c r="A87" s="53" t="n">
        <x:f>IF(ISNUMBER(K87),1+COUNTIF($K$5:$K$121,"&gt;"&amp;K87),"")</x:f>
        <x:v>80</x:v>
      </x:c>
      <x:c r="B87" s="12" t="str">
        <x:v>SBRA</x:v>
      </x:c>
      <x:c r="C87" s="12" t="str">
        <x:v>Sabra Health Care REIT Inc.</x:v>
      </x:c>
      <x:c r="D87" s="312" t="str">
        <x:v>SBRA</x:v>
      </x:c>
      <x:c r="E87" s="313" t="n">
        <x:v>46243.69803204861</x:v>
      </x:c>
      <x:c r="F87" s="314" t="n">
        <x:v>3</x:v>
      </x:c>
      <x:c r="G87" s="315" t="n">
        <x:v>0.16667</x:v>
      </x:c>
      <x:c r="H87" s="315" t="n">
        <x:v>0.17</x:v>
      </x:c>
      <x:c r="I87" s="316" t="n">
        <x:v>-0.019588235294117642</x:v>
      </x:c>
      <x:c r="J87" s="317" t="n">
        <x:f>IF(NOT(ISNUMBER(I87)),"",IFERROR(PERCENTRANK.INC($I$5:$I$121,I87),""))</x:f>
        <x:v>0.301</x:v>
      </x:c>
      <x:c r="K87" s="52" t="n">
        <x:f>IF(NOT(ISNUMBER(J87)),"",1+9*J87)</x:f>
        <x:v>3.709</x:v>
      </x:c>
      <x:c r="L87" s="12" t="str">
        <x:v>OK</x:v>
      </x:c>
      <x:c r="M87" s="20" t="str">
        <x:v>https://finance.yahoo.com/quote/SBRA/analysis/</x:v>
      </x:c>
    </x:row>
    <x:row r="88">
      <x:c r="A88" s="53" t="n">
        <x:f>IF(ISNUMBER(K88),1+COUNTIF($K$5:$K$121,"&gt;"&amp;K88),"")</x:f>
        <x:v>100</x:v>
      </x:c>
      <x:c r="B88" s="12" t="str">
        <x:v>CACI</x:v>
      </x:c>
      <x:c r="C88" s="12" t="str">
        <x:v>CACI International Inc.</x:v>
      </x:c>
      <x:c r="D88" s="312" t="str">
        <x:v>CACI</x:v>
      </x:c>
      <x:c r="E88" s="313" t="n">
        <x:v>46243.69803204861</x:v>
      </x:c>
      <x:c r="F88" s="314" t="n">
        <x:v>9</x:v>
      </x:c>
      <x:c r="G88" s="315" t="n">
        <x:v>6.67744</x:v>
      </x:c>
      <x:c r="H88" s="315" t="n">
        <x:v>7.19585</x:v>
      </x:c>
      <x:c r="I88" s="316" t="n">
        <x:v>-0.07204291362382488</x:v>
      </x:c>
      <x:c r="J88" s="317" t="n">
        <x:f>IF(NOT(ISNUMBER(I88)),"",IFERROR(PERCENTRANK.INC($I$5:$I$121,I88),""))</x:f>
        <x:v>0.129</x:v>
      </x:c>
      <x:c r="K88" s="52" t="n">
        <x:f>IF(NOT(ISNUMBER(J88)),"",1+9*J88)</x:f>
        <x:v>2.161</x:v>
      </x:c>
      <x:c r="L88" s="12" t="str">
        <x:v>OK</x:v>
      </x:c>
      <x:c r="M88" s="20" t="str">
        <x:v>https://finance.yahoo.com/quote/CACI/analysis/</x:v>
      </x:c>
    </x:row>
    <x:row r="89">
      <x:c r="A89" s="53" t="n">
        <x:f>IF(ISNUMBER(K89),1+COUNTIF($K$5:$K$121,"&gt;"&amp;K89),"")</x:f>
        <x:v>83</x:v>
      </x:c>
      <x:c r="B89" s="12" t="str">
        <x:v>ED</x:v>
      </x:c>
      <x:c r="C89" s="12" t="str">
        <x:v>Consolidated Edison Inc.</x:v>
      </x:c>
      <x:c r="D89" s="312" t="str">
        <x:v>ED</x:v>
      </x:c>
      <x:c r="E89" s="313" t="n">
        <x:v>46243.69803204861</x:v>
      </x:c>
      <x:c r="F89" s="314" t="n">
        <x:v>8</x:v>
      </x:c>
      <x:c r="G89" s="315" t="n">
        <x:v>2.00402</x:v>
      </x:c>
      <x:c r="H89" s="315" t="n">
        <x:v>2.04769</x:v>
      </x:c>
      <x:c r="I89" s="316" t="n">
        <x:v>-0.02132647031533077</x:v>
      </x:c>
      <x:c r="J89" s="317" t="n">
        <x:f>IF(NOT(ISNUMBER(I89)),"",IFERROR(PERCENTRANK.INC($I$5:$I$121,I89),""))</x:f>
        <x:v>0.275</x:v>
      </x:c>
      <x:c r="K89" s="52" t="n">
        <x:f>IF(NOT(ISNUMBER(J89)),"",1+9*J89)</x:f>
        <x:v>3.475</x:v>
      </x:c>
      <x:c r="L89" s="12" t="str">
        <x:v>OK</x:v>
      </x:c>
      <x:c r="M89" s="20" t="str">
        <x:v>https://finance.yahoo.com/quote/ED/analysis/</x:v>
      </x:c>
    </x:row>
    <x:row r="90">
      <x:c r="A90" s="53" t="n">
        <x:f>IF(ISNUMBER(K90),1+COUNTIF($K$5:$K$121,"&gt;"&amp;K90),"")</x:f>
        <x:v>98</x:v>
      </x:c>
      <x:c r="B90" s="12" t="str">
        <x:v>YUM</x:v>
      </x:c>
      <x:c r="C90" s="12" t="str">
        <x:v>Yum! Brands Inc.</x:v>
      </x:c>
      <x:c r="D90" s="312" t="str">
        <x:v>YUM</x:v>
      </x:c>
      <x:c r="E90" s="313" t="n">
        <x:v>46243.69803204861</x:v>
      </x:c>
      <x:c r="F90" s="314" t="n">
        <x:v>20</x:v>
      </x:c>
      <x:c r="G90" s="315" t="n">
        <x:v>1.57635</x:v>
      </x:c>
      <x:c r="H90" s="315" t="n">
        <x:v>1.69202</x:v>
      </x:c>
      <x:c r="I90" s="316" t="n">
        <x:v>-0.06836207609839136</x:v>
      </x:c>
      <x:c r="J90" s="317" t="n">
        <x:f>IF(NOT(ISNUMBER(I90)),"",IFERROR(PERCENTRANK.INC($I$5:$I$121,I90),""))</x:f>
        <x:v>0.146</x:v>
      </x:c>
      <x:c r="K90" s="52" t="n">
        <x:f>IF(NOT(ISNUMBER(J90)),"",1+9*J90)</x:f>
        <x:v>2.314</x:v>
      </x:c>
      <x:c r="L90" s="12" t="str">
        <x:v>OK</x:v>
      </x:c>
      <x:c r="M90" s="20" t="str">
        <x:v>https://finance.yahoo.com/quote/YUM/analysis/</x:v>
      </x:c>
    </x:row>
    <x:row r="91">
      <x:c r="A91" s="53" t="n">
        <x:f>IF(ISNUMBER(K91),1+COUNTIF($K$5:$K$121,"&gt;"&amp;K91),"")</x:f>
        <x:v>115</x:v>
      </x:c>
      <x:c r="B91" s="12" t="str">
        <x:v>MOS</x:v>
      </x:c>
      <x:c r="C91" s="12" t="str">
        <x:v>The Mosaic Co.</x:v>
      </x:c>
      <x:c r="D91" s="312" t="str">
        <x:v>MOS</x:v>
      </x:c>
      <x:c r="E91" s="313" t="n">
        <x:v>46243.69803204861</x:v>
      </x:c>
      <x:c r="F91" s="314" t="n">
        <x:v>6</x:v>
      </x:c>
      <x:c r="G91" s="315" t="n">
        <x:v>0.02972</x:v>
      </x:c>
      <x:c r="H91" s="315" t="n">
        <x:v>0.31443</x:v>
      </x:c>
      <x:c r="I91" s="316" t="n">
        <x:v>-0.9054797570206404</x:v>
      </x:c>
      <x:c r="J91" s="317" t="n">
        <x:f>IF(NOT(ISNUMBER(I91)),"",IFERROR(PERCENTRANK.INC($I$5:$I$121,I91),""))</x:f>
        <x:v>0</x:v>
      </x:c>
      <x:c r="K91" s="52" t="n">
        <x:f>IF(NOT(ISNUMBER(J91)),"",1+9*J91)</x:f>
        <x:v>1</x:v>
      </x:c>
      <x:c r="L91" s="12" t="str">
        <x:v>OK</x:v>
      </x:c>
      <x:c r="M91" s="20" t="str">
        <x:v>https://finance.yahoo.com/quote/MOS/analysis/</x:v>
      </x:c>
    </x:row>
    <x:row r="92">
      <x:c r="A92" s="53" t="n">
        <x:f>IF(ISNUMBER(K92),1+COUNTIF($K$5:$K$121,"&gt;"&amp;K92),"")</x:f>
        <x:v>47</x:v>
      </x:c>
      <x:c r="B92" s="12" t="str">
        <x:v>KR</x:v>
      </x:c>
      <x:c r="C92" s="12" t="str">
        <x:v>The Kroger Co.</x:v>
      </x:c>
      <x:c r="D92" s="312" t="str">
        <x:v>KR</x:v>
      </x:c>
      <x:c r="E92" s="313" t="n">
        <x:v>46243.69803204861</x:v>
      </x:c>
      <x:c r="F92" s="314" t="n">
        <x:v>18</x:v>
      </x:c>
      <x:c r="G92" s="315" t="n">
        <x:v>1.05481</x:v>
      </x:c>
      <x:c r="H92" s="315" t="n">
        <x:v>1.05481</x:v>
      </x:c>
      <x:c r="I92" s="316" t="n">
        <x:v>0</x:v>
      </x:c>
      <x:c r="J92" s="317" t="n">
        <x:f>IF(NOT(ISNUMBER(I92)),"",IFERROR(PERCENTRANK.INC($I$5:$I$121,I92),""))</x:f>
        <x:v>0.577</x:v>
      </x:c>
      <x:c r="K92" s="52" t="n">
        <x:f>IF(NOT(ISNUMBER(J92)),"",1+9*J92)</x:f>
        <x:v>6.193</x:v>
      </x:c>
      <x:c r="L92" s="12" t="str">
        <x:v>OK</x:v>
      </x:c>
      <x:c r="M92" s="20" t="str">
        <x:v>https://finance.yahoo.com/quote/KR/analysis/</x:v>
      </x:c>
    </x:row>
    <x:row r="93">
      <x:c r="A93" s="53" t="n">
        <x:f>IF(ISNUMBER(K93),1+COUNTIF($K$5:$K$121,"&gt;"&amp;K93),"")</x:f>
        <x:v>82</x:v>
      </x:c>
      <x:c r="B93" s="12" t="str">
        <x:v>CCC</x:v>
      </x:c>
      <x:c r="C93" s="12" t="str">
        <x:v>CCC Intelligent Solutions Holdings Inc.</x:v>
      </x:c>
      <x:c r="D93" s="312" t="str">
        <x:v>CCC</x:v>
      </x:c>
      <x:c r="E93" s="313" t="n">
        <x:v>46243.69803204861</x:v>
      </x:c>
      <x:c r="F93" s="314" t="n">
        <x:v>11</x:v>
      </x:c>
      <x:c r="G93" s="315" t="n">
        <x:v>0.11085</x:v>
      </x:c>
      <x:c r="H93" s="315" t="n">
        <x:v>0.1132</x:v>
      </x:c>
      <x:c r="I93" s="316" t="n">
        <x:v>-0.020759717314487555</x:v>
      </x:c>
      <x:c r="J93" s="317" t="n">
        <x:f>IF(NOT(ISNUMBER(I93)),"",IFERROR(PERCENTRANK.INC($I$5:$I$121,I93),""))</x:f>
        <x:v>0.284</x:v>
      </x:c>
      <x:c r="K93" s="52" t="n">
        <x:f>IF(NOT(ISNUMBER(J93)),"",1+9*J93)</x:f>
        <x:v>3.5559999999999996</x:v>
      </x:c>
      <x:c r="L93" s="12" t="str">
        <x:v>OK</x:v>
      </x:c>
      <x:c r="M93" s="20" t="str">
        <x:v>https://finance.yahoo.com/quote/CCC/analysis/</x:v>
      </x:c>
    </x:row>
    <x:row r="94">
      <x:c r="A94" s="53" t="n">
        <x:f>IF(ISNUMBER(K94),1+COUNTIF($K$5:$K$121,"&gt;"&amp;K94),"")</x:f>
        <x:v>22</x:v>
      </x:c>
      <x:c r="B94" s="12" t="str">
        <x:v>WELL</x:v>
      </x:c>
      <x:c r="C94" s="12" t="str">
        <x:v>Welltower Inc. REIT</x:v>
      </x:c>
      <x:c r="D94" s="312" t="str">
        <x:v>WELL</x:v>
      </x:c>
      <x:c r="E94" s="313" t="n">
        <x:v>46243.69803204861</x:v>
      </x:c>
      <x:c r="F94" s="314" t="n">
        <x:v>1</x:v>
      </x:c>
      <x:c r="G94" s="315" t="n">
        <x:v>0.68</x:v>
      </x:c>
      <x:c r="H94" s="315" t="n">
        <x:v>0.665</x:v>
      </x:c>
      <x:c r="I94" s="316" t="n">
        <x:v>0.02255639097744363</x:v>
      </x:c>
      <x:c r="J94" s="317" t="n">
        <x:f>IF(NOT(ISNUMBER(I94)),"",IFERROR(PERCENTRANK.INC($I$5:$I$121,I94),""))</x:f>
        <x:v>0.818</x:v>
      </x:c>
      <x:c r="K94" s="52" t="n">
        <x:f>IF(NOT(ISNUMBER(J94)),"",1+9*J94)</x:f>
        <x:v>8.361999999999998</x:v>
      </x:c>
      <x:c r="L94" s="12" t="str">
        <x:v>THIN COVERAGE</x:v>
      </x:c>
      <x:c r="M94" s="20" t="str">
        <x:v>https://finance.yahoo.com/quote/WELL/analysis/</x:v>
      </x:c>
    </x:row>
    <x:row r="95">
      <x:c r="A95" s="53" t="n">
        <x:f>IF(ISNUMBER(K95),1+COUNTIF($K$5:$K$121,"&gt;"&amp;K95),"")</x:f>
        <x:v>79</x:v>
      </x:c>
      <x:c r="B95" s="12" t="str">
        <x:v>LIN</x:v>
      </x:c>
      <x:c r="C95" s="12" t="str">
        <x:v>Linde PLC</x:v>
      </x:c>
      <x:c r="D95" s="312" t="str">
        <x:v>LIN</x:v>
      </x:c>
      <x:c r="E95" s="313" t="n">
        <x:v>46243.69803204861</x:v>
      </x:c>
      <x:c r="F95" s="314" t="n">
        <x:v>17</x:v>
      </x:c>
      <x:c r="G95" s="315" t="n">
        <x:v>4.52</x:v>
      </x:c>
      <x:c r="H95" s="315" t="n">
        <x:v>4.61</x:v>
      </x:c>
      <x:c r="I95" s="316" t="n">
        <x:v>-0.019522776572668273</x:v>
      </x:c>
      <x:c r="J95" s="317" t="n">
        <x:f>IF(NOT(ISNUMBER(I95)),"",IFERROR(PERCENTRANK.INC($I$5:$I$121,I95),""))</x:f>
        <x:v>0.31</x:v>
      </x:c>
      <x:c r="K95" s="52" t="n">
        <x:f>IF(NOT(ISNUMBER(J95)),"",1+9*J95)</x:f>
        <x:v>3.79</x:v>
      </x:c>
      <x:c r="L95" s="12" t="str">
        <x:v>OK</x:v>
      </x:c>
      <x:c r="M95" s="20" t="str">
        <x:v>https://finance.yahoo.com/quote/LIN/analysis/</x:v>
      </x:c>
    </x:row>
    <x:row r="96">
      <x:c r="A96" s="53" t="n">
        <x:f>IF(ISNUMBER(K96),1+COUNTIF($K$5:$K$121,"&gt;"&amp;K96),"")</x:f>
        <x:v>109</x:v>
      </x:c>
      <x:c r="B96" s="12" t="str">
        <x:v>VTR</x:v>
      </x:c>
      <x:c r="C96" s="12" t="str">
        <x:v>Ventas Inc. REIT</x:v>
      </x:c>
      <x:c r="D96" s="312" t="str">
        <x:v>VTR</x:v>
      </x:c>
      <x:c r="E96" s="313" t="n">
        <x:v>46243.69803204861</x:v>
      </x:c>
      <x:c r="F96" s="314" t="n">
        <x:v>1</x:v>
      </x:c>
      <x:c r="G96" s="315" t="n">
        <x:v>0.11</x:v>
      </x:c>
      <x:c r="H96" s="315" t="n">
        <x:v>0.15</x:v>
      </x:c>
      <x:c r="I96" s="316" t="n">
        <x:v>-0.26666666666666666</x:v>
      </x:c>
      <x:c r="J96" s="317" t="n">
        <x:f>IF(NOT(ISNUMBER(I96)),"",IFERROR(PERCENTRANK.INC($I$5:$I$121,I96),""))</x:f>
        <x:v>0.051</x:v>
      </x:c>
      <x:c r="K96" s="52" t="n">
        <x:f>IF(NOT(ISNUMBER(J96)),"",1+9*J96)</x:f>
        <x:v>1.459</x:v>
      </x:c>
      <x:c r="L96" s="12" t="str">
        <x:v>THIN COVERAGE</x:v>
      </x:c>
      <x:c r="M96" s="20" t="str">
        <x:v>https://finance.yahoo.com/quote/VTR/analysis/</x:v>
      </x:c>
    </x:row>
    <x:row r="97">
      <x:c r="A97" s="53" t="n">
        <x:f>IF(ISNUMBER(K97),1+COUNTIF($K$5:$K$121,"&gt;"&amp;K97),"")</x:f>
        <x:v>69</x:v>
      </x:c>
      <x:c r="B97" s="12" t="str">
        <x:v>PR</x:v>
      </x:c>
      <x:c r="C97" s="12" t="str">
        <x:v>Permian Resources Corp.</x:v>
      </x:c>
      <x:c r="D97" s="312" t="str">
        <x:v>PR</x:v>
      </x:c>
      <x:c r="E97" s="313" t="n">
        <x:v>46243.69803204861</x:v>
      </x:c>
      <x:c r="F97" s="314" t="n">
        <x:v>16</x:v>
      </x:c>
      <x:c r="G97" s="315" t="n">
        <x:v>0.51446</x:v>
      </x:c>
      <x:c r="H97" s="315" t="n">
        <x:v>0.51953</x:v>
      </x:c>
      <x:c r="I97" s="316" t="n">
        <x:v>-0.009758820472350044</x:v>
      </x:c>
      <x:c r="J97" s="317" t="n">
        <x:f>IF(NOT(ISNUMBER(I97)),"",IFERROR(PERCENTRANK.INC($I$5:$I$121,I97),""))</x:f>
        <x:v>0.396</x:v>
      </x:c>
      <x:c r="K97" s="52" t="n">
        <x:f>IF(NOT(ISNUMBER(J97)),"",1+9*J97)</x:f>
        <x:v>4.564</x:v>
      </x:c>
      <x:c r="L97" s="12" t="str">
        <x:v>OK</x:v>
      </x:c>
      <x:c r="M97" s="20" t="str">
        <x:v>https://finance.yahoo.com/quote/PR/analysis/</x:v>
      </x:c>
    </x:row>
    <x:row r="98">
      <x:c r="A98" s="53" t="n">
        <x:f>IF(ISNUMBER(K98),1+COUNTIF($K$5:$K$121,"&gt;"&amp;K98),"")</x:f>
        <x:v>81</x:v>
      </x:c>
      <x:c r="B98" s="12" t="str">
        <x:v>ADC</x:v>
      </x:c>
      <x:c r="C98" s="12" t="str">
        <x:v>Agree Realty Corp. REIT</x:v>
      </x:c>
      <x:c r="D98" s="312" t="str">
        <x:v>ADC</x:v>
      </x:c>
      <x:c r="E98" s="313" t="n">
        <x:v>46243.69803204861</x:v>
      </x:c>
      <x:c r="F98" s="314" t="n">
        <x:v>1</x:v>
      </x:c>
      <x:c r="G98" s="315" t="n">
        <x:v>0.46</x:v>
      </x:c>
      <x:c r="H98" s="315" t="n">
        <x:v>0.46922</x:v>
      </x:c>
      <x:c r="I98" s="316" t="n">
        <x:v>-0.019649631303013525</x:v>
      </x:c>
      <x:c r="J98" s="317" t="n">
        <x:f>IF(NOT(ISNUMBER(I98)),"",IFERROR(PERCENTRANK.INC($I$5:$I$121,I98),""))</x:f>
        <x:v>0.293</x:v>
      </x:c>
      <x:c r="K98" s="52" t="n">
        <x:f>IF(NOT(ISNUMBER(J98)),"",1+9*J98)</x:f>
        <x:v>3.637</x:v>
      </x:c>
      <x:c r="L98" s="12" t="str">
        <x:v>THIN COVERAGE</x:v>
      </x:c>
      <x:c r="M98" s="20" t="str">
        <x:v>https://finance.yahoo.com/quote/ADC/analysis/</x:v>
      </x:c>
    </x:row>
    <x:row r="99">
      <x:c r="A99" s="53" t="n">
        <x:f>IF(ISNUMBER(K99),1+COUNTIF($K$5:$K$121,"&gt;"&amp;K99),"")</x:f>
        <x:v>55</x:v>
      </x:c>
      <x:c r="B99" s="12" t="str">
        <x:v>RSG</x:v>
      </x:c>
      <x:c r="C99" s="12" t="str">
        <x:v>Republic Services Inc.</x:v>
      </x:c>
      <x:c r="D99" s="312" t="str">
        <x:v>RSG</x:v>
      </x:c>
      <x:c r="E99" s="313" t="n">
        <x:v>46243.69803204861</x:v>
      </x:c>
      <x:c r="F99" s="314" t="n">
        <x:v>23</x:v>
      </x:c>
      <x:c r="G99" s="315" t="n">
        <x:v>1.92572</x:v>
      </x:c>
      <x:c r="H99" s="315" t="n">
        <x:v>1.9322</x:v>
      </x:c>
      <x:c r="I99" s="316" t="n">
        <x:v>-0.0033536900941930543</x:v>
      </x:c>
      <x:c r="J99" s="317" t="n">
        <x:f>IF(NOT(ISNUMBER(I99)),"",IFERROR(PERCENTRANK.INC($I$5:$I$121,I99),""))</x:f>
        <x:v>0.517</x:v>
      </x:c>
      <x:c r="K99" s="52" t="n">
        <x:f>IF(NOT(ISNUMBER(J99)),"",1+9*J99)</x:f>
        <x:v>5.6530000000000005</x:v>
      </x:c>
      <x:c r="L99" s="12" t="str">
        <x:v>OK</x:v>
      </x:c>
      <x:c r="M99" s="20" t="str">
        <x:v>https://finance.yahoo.com/quote/RSG/analysis/</x:v>
      </x:c>
    </x:row>
    <x:row r="100">
      <x:c r="A100" s="53" t="n">
        <x:f>IF(ISNUMBER(K100),1+COUNTIF($K$5:$K$121,"&gt;"&amp;K100),"")</x:f>
        <x:v>37</x:v>
      </x:c>
      <x:c r="B100" s="12" t="str">
        <x:v>MCK</x:v>
      </x:c>
      <x:c r="C100" s="12" t="str">
        <x:v>McKesson Corp.</x:v>
      </x:c>
      <x:c r="D100" s="312" t="str">
        <x:v>MCK</x:v>
      </x:c>
      <x:c r="E100" s="313" t="n">
        <x:v>46243.69803204861</x:v>
      </x:c>
      <x:c r="F100" s="314" t="n">
        <x:v>13</x:v>
      </x:c>
      <x:c r="G100" s="315" t="n">
        <x:v>10.81569</x:v>
      </x:c>
      <x:c r="H100" s="315" t="n">
        <x:v>10.74442</x:v>
      </x:c>
      <x:c r="I100" s="316" t="n">
        <x:v>0.006633210540913346</x:v>
      </x:c>
      <x:c r="J100" s="317" t="n">
        <x:f>IF(NOT(ISNUMBER(I100)),"",IFERROR(PERCENTRANK.INC($I$5:$I$121,I100),""))</x:f>
        <x:v>0.689</x:v>
      </x:c>
      <x:c r="K100" s="52" t="n">
        <x:f>IF(NOT(ISNUMBER(J100)),"",1+9*J100)</x:f>
        <x:v>7.201</x:v>
      </x:c>
      <x:c r="L100" s="12" t="str">
        <x:v>OK</x:v>
      </x:c>
      <x:c r="M100" s="20" t="str">
        <x:v>https://finance.yahoo.com/quote/MCK/analysis/</x:v>
      </x:c>
    </x:row>
    <x:row r="101">
      <x:c r="A101" s="53" t="n">
        <x:f>IF(ISNUMBER(K101),1+COUNTIF($K$5:$K$121,"&gt;"&amp;K101),"")</x:f>
        <x:v>51</x:v>
      </x:c>
      <x:c r="B101" s="12" t="str">
        <x:v>PAYX</x:v>
      </x:c>
      <x:c r="C101" s="12" t="str">
        <x:v>Paychex Inc.</x:v>
      </x:c>
      <x:c r="D101" s="312" t="str">
        <x:v>PAYX</x:v>
      </x:c>
      <x:c r="E101" s="313" t="n">
        <x:v>46243.69803204861</x:v>
      </x:c>
      <x:c r="F101" s="314" t="n">
        <x:v>16</x:v>
      </x:c>
      <x:c r="G101" s="315" t="n">
        <x:v>1.32262</x:v>
      </x:c>
      <x:c r="H101" s="315" t="n">
        <x:v>1.3232</x:v>
      </x:c>
      <x:c r="I101" s="316" t="n">
        <x:v>-0.00043833131801694755</x:v>
      </x:c>
      <x:c r="J101" s="317" t="n">
        <x:f>IF(NOT(ISNUMBER(I101)),"",IFERROR(PERCENTRANK.INC($I$5:$I$121,I101),""))</x:f>
        <x:v>0.551</x:v>
      </x:c>
      <x:c r="K101" s="52" t="n">
        <x:f>IF(NOT(ISNUMBER(J101)),"",1+9*J101)</x:f>
        <x:v>5.9590000000000005</x:v>
      </x:c>
      <x:c r="L101" s="12" t="str">
        <x:v>OK</x:v>
      </x:c>
      <x:c r="M101" s="20" t="str">
        <x:v>https://finance.yahoo.com/quote/PAYX/analysis/</x:v>
      </x:c>
    </x:row>
    <x:row r="102">
      <x:c r="A102" s="53" t="n">
        <x:f>IF(ISNUMBER(K102),1+COUNTIF($K$5:$K$121,"&gt;"&amp;K102),"")</x:f>
        <x:v>44</x:v>
      </x:c>
      <x:c r="B102" s="12" t="str">
        <x:v>ABBV</x:v>
      </x:c>
      <x:c r="C102" s="12" t="str">
        <x:v>AbbVie Inc.</x:v>
      </x:c>
      <x:c r="D102" s="312" t="str">
        <x:v>ABBV</x:v>
      </x:c>
      <x:c r="E102" s="313" t="n">
        <x:v>46243.69803204861</x:v>
      </x:c>
      <x:c r="F102" s="314" t="n">
        <x:v>16</x:v>
      </x:c>
      <x:c r="G102" s="315" t="n">
        <x:v>3.84439</x:v>
      </x:c>
      <x:c r="H102" s="315" t="n">
        <x:v>3.836</x:v>
      </x:c>
      <x:c r="I102" s="316" t="n">
        <x:v>0.0021871741397289732</x:v>
      </x:c>
      <x:c r="J102" s="317" t="n">
        <x:f>IF(NOT(ISNUMBER(I102)),"",IFERROR(PERCENTRANK.INC($I$5:$I$121,I102),""))</x:f>
        <x:v>0.629</x:v>
      </x:c>
      <x:c r="K102" s="52" t="n">
        <x:f>IF(NOT(ISNUMBER(J102)),"",1+9*J102)</x:f>
        <x:v>6.661</x:v>
      </x:c>
      <x:c r="L102" s="12" t="str">
        <x:v>OK</x:v>
      </x:c>
      <x:c r="M102" s="20" t="str">
        <x:v>https://finance.yahoo.com/quote/ABBV/analysis/</x:v>
      </x:c>
    </x:row>
    <x:row r="103">
      <x:c r="A103" s="53" t="n">
        <x:f>IF(ISNUMBER(K103),1+COUNTIF($K$5:$K$121,"&gt;"&amp;K103),"")</x:f>
        <x:v>31</x:v>
      </x:c>
      <x:c r="B103" s="12" t="str">
        <x:v>ELS</x:v>
      </x:c>
      <x:c r="C103" s="12" t="str">
        <x:v>Equity LifeStyle Properties Inc. REIT</x:v>
      </x:c>
      <x:c r="D103" s="312" t="str">
        <x:v>ELS</x:v>
      </x:c>
      <x:c r="E103" s="313" t="n">
        <x:v>46243.69803204861</x:v>
      </x:c>
      <x:c r="F103" s="314" t="n">
        <x:v>5</x:v>
      </x:c>
      <x:c r="G103" s="315" t="n">
        <x:v>0.50365</x:v>
      </x:c>
      <x:c r="H103" s="315" t="n">
        <x:v>0.49755</x:v>
      </x:c>
      <x:c r="I103" s="316" t="n">
        <x:v>0.012260074364385589</x:v>
      </x:c>
      <x:c r="J103" s="317" t="n">
        <x:f>IF(NOT(ISNUMBER(I103)),"",IFERROR(PERCENTRANK.INC($I$5:$I$121,I103),""))</x:f>
        <x:v>0.741</x:v>
      </x:c>
      <x:c r="K103" s="52" t="n">
        <x:f>IF(NOT(ISNUMBER(J103)),"",1+9*J103)</x:f>
        <x:v>7.669</x:v>
      </x:c>
      <x:c r="L103" s="12" t="str">
        <x:v>OK</x:v>
      </x:c>
      <x:c r="M103" s="20" t="str">
        <x:v>https://finance.yahoo.com/quote/ELS/analysis/</x:v>
      </x:c>
    </x:row>
    <x:row r="104">
      <x:c r="A104" s="53" t="n">
        <x:f>IF(ISNUMBER(K104),1+COUNTIF($K$5:$K$121,"&gt;"&amp;K104),"")</x:f>
        <x:v>102</x:v>
      </x:c>
      <x:c r="B104" s="12" t="str">
        <x:v>PM</x:v>
      </x:c>
      <x:c r="C104" s="12" t="str">
        <x:v>Philip Morris International Inc.</x:v>
      </x:c>
      <x:c r="D104" s="312" t="str">
        <x:v>PM</x:v>
      </x:c>
      <x:c r="E104" s="313" t="n">
        <x:v>46243.69803204861</x:v>
      </x:c>
      <x:c r="F104" s="314" t="n">
        <x:v>10</x:v>
      </x:c>
      <x:c r="G104" s="315" t="n">
        <x:v>2.24951</x:v>
      </x:c>
      <x:c r="H104" s="315" t="n">
        <x:v>2.43136</x:v>
      </x:c>
      <x:c r="I104" s="316" t="n">
        <x:v>-0.07479353119241917</x:v>
      </x:c>
      <x:c r="J104" s="317" t="n">
        <x:f>IF(NOT(ISNUMBER(I104)),"",IFERROR(PERCENTRANK.INC($I$5:$I$121,I104),""))</x:f>
        <x:v>0.112</x:v>
      </x:c>
      <x:c r="K104" s="52" t="n">
        <x:f>IF(NOT(ISNUMBER(J104)),"",1+9*J104)</x:f>
        <x:v>2.008</x:v>
      </x:c>
      <x:c r="L104" s="12" t="str">
        <x:v>OK</x:v>
      </x:c>
      <x:c r="M104" s="20" t="str">
        <x:v>https://finance.yahoo.com/quote/PM/analysis/</x:v>
      </x:c>
    </x:row>
    <x:row r="105">
      <x:c r="A105" s="53" t="n">
        <x:f>IF(ISNUMBER(K105),1+COUNTIF($K$5:$K$121,"&gt;"&amp;K105),"")</x:f>
        <x:v>40</x:v>
      </x:c>
      <x:c r="B105" s="12" t="str">
        <x:v>BRO</x:v>
      </x:c>
      <x:c r="C105" s="12" t="str">
        <x:v>Brown &amp; Brown Inc.</x:v>
      </x:c>
      <x:c r="D105" s="312" t="str">
        <x:v>BRO</x:v>
      </x:c>
      <x:c r="E105" s="313" t="n">
        <x:v>46243.69803204861</x:v>
      </x:c>
      <x:c r="F105" s="314" t="n">
        <x:v>18</x:v>
      </x:c>
      <x:c r="G105" s="315" t="n">
        <x:v>1.08586</x:v>
      </x:c>
      <x:c r="H105" s="315" t="n">
        <x:v>1.08111</x:v>
      </x:c>
      <x:c r="I105" s="316" t="n">
        <x:v>0.004393632470331448</x:v>
      </x:c>
      <x:c r="J105" s="317" t="n">
        <x:f>IF(NOT(ISNUMBER(I105)),"",IFERROR(PERCENTRANK.INC($I$5:$I$121,I105),""))</x:f>
        <x:v>0.663</x:v>
      </x:c>
      <x:c r="K105" s="52" t="n">
        <x:f>IF(NOT(ISNUMBER(J105)),"",1+9*J105)</x:f>
        <x:v>6.9670000000000005</x:v>
      </x:c>
      <x:c r="L105" s="12" t="str">
        <x:v>OK</x:v>
      </x:c>
      <x:c r="M105" s="20" t="str">
        <x:v>https://finance.yahoo.com/quote/BRO/analysis/</x:v>
      </x:c>
    </x:row>
    <x:row r="106">
      <x:c r="A106" s="53" t="n">
        <x:f>IF(ISNUMBER(K106),1+COUNTIF($K$5:$K$121,"&gt;"&amp;K106),"")</x:f>
        <x:v>97</x:v>
      </x:c>
      <x:c r="B106" s="12" t="str">
        <x:v>PCG</x:v>
      </x:c>
      <x:c r="C106" s="12" t="str">
        <x:v>PG&amp;E Corp.</x:v>
      </x:c>
      <x:c r="D106" s="312" t="str">
        <x:v>PCG</x:v>
      </x:c>
      <x:c r="E106" s="313" t="n">
        <x:v>46243.69803204861</x:v>
      </x:c>
      <x:c r="F106" s="314" t="n">
        <x:v>10</x:v>
      </x:c>
      <x:c r="G106" s="315" t="n">
        <x:v>0.42049</x:v>
      </x:c>
      <x:c r="H106" s="315" t="n">
        <x:v>0.44902</x:v>
      </x:c>
      <x:c r="I106" s="316" t="n">
        <x:v>-0.06353837245556991</x:v>
      </x:c>
      <x:c r="J106" s="317" t="n">
        <x:f>IF(NOT(ISNUMBER(I106)),"",IFERROR(PERCENTRANK.INC($I$5:$I$121,I106),""))</x:f>
        <x:v>0.155</x:v>
      </x:c>
      <x:c r="K106" s="52" t="n">
        <x:f>IF(NOT(ISNUMBER(J106)),"",1+9*J106)</x:f>
        <x:v>2.395</x:v>
      </x:c>
      <x:c r="L106" s="12" t="str">
        <x:v>OK</x:v>
      </x:c>
      <x:c r="M106" s="20" t="str">
        <x:v>https://finance.yahoo.com/quote/PCG/analysis/</x:v>
      </x:c>
    </x:row>
    <x:row r="107">
      <x:c r="A107" s="53" t="n">
        <x:f>IF(ISNUMBER(K107),1+COUNTIF($K$5:$K$121,"&gt;"&amp;K107),"")</x:f>
        <x:v>67</x:v>
      </x:c>
      <x:c r="B107" s="12" t="str">
        <x:v>AWK</x:v>
      </x:c>
      <x:c r="C107" s="12" t="str">
        <x:v>American Water Works Co. Inc.</x:v>
      </x:c>
      <x:c r="D107" s="312" t="str">
        <x:v>AWK</x:v>
      </x:c>
      <x:c r="E107" s="313" t="n">
        <x:v>46243.69803204861</x:v>
      </x:c>
      <x:c r="F107" s="314" t="n">
        <x:v>5</x:v>
      </x:c>
      <x:c r="G107" s="315" t="n">
        <x:v>2.07134</x:v>
      </x:c>
      <x:c r="H107" s="315" t="n">
        <x:v>2.08917</x:v>
      </x:c>
      <x:c r="I107" s="316" t="n">
        <x:v>-0.008534489773450706</x:v>
      </x:c>
      <x:c r="J107" s="317" t="n">
        <x:f>IF(NOT(ISNUMBER(I107)),"",IFERROR(PERCENTRANK.INC($I$5:$I$121,I107),""))</x:f>
        <x:v>0.413</x:v>
      </x:c>
      <x:c r="K107" s="52" t="n">
        <x:f>IF(NOT(ISNUMBER(J107)),"",1+9*J107)</x:f>
        <x:v>4.717</x:v>
      </x:c>
      <x:c r="L107" s="12" t="str">
        <x:v>OK</x:v>
      </x:c>
      <x:c r="M107" s="20" t="str">
        <x:v>https://finance.yahoo.com/quote/AWK/analysis/</x:v>
      </x:c>
    </x:row>
    <x:row r="108">
      <x:c r="A108" s="53" t="n">
        <x:f>IF(ISNUMBER(K108),1+COUNTIF($K$5:$K$121,"&gt;"&amp;K108),"")</x:f>
        <x:v>108</x:v>
      </x:c>
      <x:c r="B108" s="12" t="str">
        <x:v>JNJ</x:v>
      </x:c>
      <x:c r="C108" s="12" t="str">
        <x:v>Johnson &amp; Johnson</x:v>
      </x:c>
      <x:c r="D108" s="312" t="str">
        <x:v>JNJ</x:v>
      </x:c>
      <x:c r="E108" s="313" t="n">
        <x:v>46243.69803204861</x:v>
      </x:c>
      <x:c r="F108" s="314" t="n">
        <x:v>4</x:v>
      </x:c>
      <x:c r="G108" s="315" t="n">
        <x:v>2.425</x:v>
      </x:c>
      <x:c r="H108" s="315" t="n">
        <x:v>3.02384</x:v>
      </x:c>
      <x:c r="I108" s="316" t="n">
        <x:v>-0.19803957881369386</x:v>
      </x:c>
      <x:c r="J108" s="317" t="n">
        <x:f>IF(NOT(ISNUMBER(I108)),"",IFERROR(PERCENTRANK.INC($I$5:$I$121,I108),""))</x:f>
        <x:v>0.06</x:v>
      </x:c>
      <x:c r="K108" s="52" t="n">
        <x:f>IF(NOT(ISNUMBER(J108)),"",1+9*J108)</x:f>
        <x:v>1.54</x:v>
      </x:c>
      <x:c r="L108" s="12" t="str">
        <x:v>OK</x:v>
      </x:c>
      <x:c r="M108" s="20" t="str">
        <x:v>https://finance.yahoo.com/quote/JNJ/analysis/</x:v>
      </x:c>
    </x:row>
    <x:row r="109">
      <x:c r="A109" s="53" t="n">
        <x:f>IF(ISNUMBER(K109),1+COUNTIF($K$5:$K$121,"&gt;"&amp;K109),"")</x:f>
        <x:v>25</x:v>
      </x:c>
      <x:c r="B109" s="12" t="str">
        <x:v>CNP</x:v>
      </x:c>
      <x:c r="C109" s="12" t="str">
        <x:v>Centerpoint Energy Inc.</x:v>
      </x:c>
      <x:c r="D109" s="312" t="str">
        <x:v>CNP</x:v>
      </x:c>
      <x:c r="E109" s="313" t="n">
        <x:v>46243.69803204861</x:v>
      </x:c>
      <x:c r="F109" s="314" t="n">
        <x:v>12</x:v>
      </x:c>
      <x:c r="G109" s="315" t="n">
        <x:v>0.50347</x:v>
      </x:c>
      <x:c r="H109" s="315" t="n">
        <x:v>0.49281</x:v>
      </x:c>
      <x:c r="I109" s="316" t="n">
        <x:v>0.02163105456463941</x:v>
      </x:c>
      <x:c r="J109" s="317" t="n">
        <x:f>IF(NOT(ISNUMBER(I109)),"",IFERROR(PERCENTRANK.INC($I$5:$I$121,I109),""))</x:f>
        <x:v>0.793</x:v>
      </x:c>
      <x:c r="K109" s="52" t="n">
        <x:f>IF(NOT(ISNUMBER(J109)),"",1+9*J109)</x:f>
        <x:v>8.137</x:v>
      </x:c>
      <x:c r="L109" s="12" t="str">
        <x:v>OK</x:v>
      </x:c>
      <x:c r="M109" s="20" t="str">
        <x:v>https://finance.yahoo.com/quote/CNP/analysis/</x:v>
      </x:c>
    </x:row>
    <x:row r="110">
      <x:c r="A110" s="53" t="n">
        <x:f>IF(ISNUMBER(K110),1+COUNTIF($K$5:$K$121,"&gt;"&amp;K110),"")</x:f>
        <x:v>103</x:v>
      </x:c>
      <x:c r="B110" s="12" t="str">
        <x:v>CE</x:v>
      </x:c>
      <x:c r="C110" s="12" t="str">
        <x:v>Celanese Corp.</x:v>
      </x:c>
      <x:c r="D110" s="312" t="str">
        <x:v>CE</x:v>
      </x:c>
      <x:c r="E110" s="313" t="n">
        <x:v>46243.69803204861</x:v>
      </x:c>
      <x:c r="F110" s="314" t="n">
        <x:v>14</x:v>
      </x:c>
      <x:c r="G110" s="315" t="n">
        <x:v>1.5741</x:v>
      </x:c>
      <x:c r="H110" s="315" t="n">
        <x:v>1.77868</x:v>
      </x:c>
      <x:c r="I110" s="316" t="n">
        <x:v>-0.11501787842669844</x:v>
      </x:c>
      <x:c r="J110" s="317" t="n">
        <x:f>IF(NOT(ISNUMBER(I110)),"",IFERROR(PERCENTRANK.INC($I$5:$I$121,I110),""))</x:f>
        <x:v>0.103</x:v>
      </x:c>
      <x:c r="K110" s="52" t="n">
        <x:f>IF(NOT(ISNUMBER(J110)),"",1+9*J110)</x:f>
        <x:v>1.927</x:v>
      </x:c>
      <x:c r="L110" s="12" t="str">
        <x:v>OK</x:v>
      </x:c>
      <x:c r="M110" s="20" t="str">
        <x:v>https://finance.yahoo.com/quote/CE/analysis/</x:v>
      </x:c>
    </x:row>
    <x:row r="111">
      <x:c r="A111" s="53" t="n">
        <x:f>IF(ISNUMBER(K111),1+COUNTIF($K$5:$K$121,"&gt;"&amp;K111),"")</x:f>
        <x:v>89</x:v>
      </x:c>
      <x:c r="B111" s="12" t="str">
        <x:v>DUK</x:v>
      </x:c>
      <x:c r="C111" s="12" t="str">
        <x:v>Duke Energy Corp.</x:v>
      </x:c>
      <x:c r="D111" s="312" t="str">
        <x:v>DUK</x:v>
      </x:c>
      <x:c r="E111" s="313" t="n">
        <x:v>46243.69803204861</x:v>
      </x:c>
      <x:c r="F111" s="314" t="n">
        <x:v>13</x:v>
      </x:c>
      <x:c r="G111" s="315" t="n">
        <x:v>1.858</x:v>
      </x:c>
      <x:c r="H111" s="315" t="n">
        <x:v>1.9115</x:v>
      </x:c>
      <x:c r="I111" s="316" t="n">
        <x:v>-0.027988490714098813</x:v>
      </x:c>
      <x:c r="J111" s="317" t="n">
        <x:f>IF(NOT(ISNUMBER(I111)),"",IFERROR(PERCENTRANK.INC($I$5:$I$121,I111),""))</x:f>
        <x:v>0.224</x:v>
      </x:c>
      <x:c r="K111" s="52" t="n">
        <x:f>IF(NOT(ISNUMBER(J111)),"",1+9*J111)</x:f>
        <x:v>3.016</x:v>
      </x:c>
      <x:c r="L111" s="12" t="str">
        <x:v>OK</x:v>
      </x:c>
      <x:c r="M111" s="20" t="str">
        <x:v>https://finance.yahoo.com/quote/DUK/analysis/</x:v>
      </x:c>
    </x:row>
    <x:row r="112">
      <x:c r="A112" s="53" t="n">
        <x:f>IF(ISNUMBER(K112),1+COUNTIF($K$5:$K$121,"&gt;"&amp;K112),"")</x:f>
        <x:v>88</x:v>
      </x:c>
      <x:c r="B112" s="12" t="str">
        <x:v>EIX</x:v>
      </x:c>
      <x:c r="C112" s="12" t="str">
        <x:v>Edison International</x:v>
      </x:c>
      <x:c r="D112" s="312" t="str">
        <x:v>EIX</x:v>
      </x:c>
      <x:c r="E112" s="313" t="n">
        <x:v>46243.69803204861</x:v>
      </x:c>
      <x:c r="F112" s="314" t="n">
        <x:v>7</x:v>
      </x:c>
      <x:c r="G112" s="315" t="n">
        <x:v>1.91706</x:v>
      </x:c>
      <x:c r="H112" s="315" t="n">
        <x:v>1.97132</x:v>
      </x:c>
      <x:c r="I112" s="316" t="n">
        <x:v>-0.027524704259075126</x:v>
      </x:c>
      <x:c r="J112" s="317" t="n">
        <x:f>IF(NOT(ISNUMBER(I112)),"",IFERROR(PERCENTRANK.INC($I$5:$I$121,I112),""))</x:f>
        <x:v>0.232</x:v>
      </x:c>
      <x:c r="K112" s="52" t="n">
        <x:f>IF(NOT(ISNUMBER(J112)),"",1+9*J112)</x:f>
        <x:v>3.088</x:v>
      </x:c>
      <x:c r="L112" s="12" t="str">
        <x:v>OK</x:v>
      </x:c>
      <x:c r="M112" s="20" t="str">
        <x:v>https://finance.yahoo.com/quote/EIX/analysis/</x:v>
      </x:c>
    </x:row>
    <x:row r="113">
      <x:c r="A113" s="53" t="n">
        <x:f>IF(ISNUMBER(K113),1+COUNTIF($K$5:$K$121,"&gt;"&amp;K113),"")</x:f>
        <x:v>39</x:v>
      </x:c>
      <x:c r="B113" s="12" t="str">
        <x:v>WTRG</x:v>
      </x:c>
      <x:c r="C113" s="12" t="str">
        <x:v>Essential Utilities Inc.</x:v>
      </x:c>
      <x:c r="D113" s="312" t="str">
        <x:v>WTRG</x:v>
      </x:c>
      <x:c r="E113" s="313" t="n">
        <x:v>46243.69803204861</x:v>
      </x:c>
      <x:c r="F113" s="314" t="n">
        <x:v>3</x:v>
      </x:c>
      <x:c r="G113" s="315" t="n">
        <x:v>0.34881</x:v>
      </x:c>
      <x:c r="H113" s="315" t="n">
        <x:v>0.34714</x:v>
      </x:c>
      <x:c r="I113" s="316" t="n">
        <x:v>0.004810739183038557</x:v>
      </x:c>
      <x:c r="J113" s="317" t="n">
        <x:f>IF(NOT(ISNUMBER(I113)),"",IFERROR(PERCENTRANK.INC($I$5:$I$121,I113),""))</x:f>
        <x:v>0.672</x:v>
      </x:c>
      <x:c r="K113" s="52" t="n">
        <x:f>IF(NOT(ISNUMBER(J113)),"",1+9*J113)</x:f>
        <x:v>7.048</x:v>
      </x:c>
      <x:c r="L113" s="12" t="str">
        <x:v>OK</x:v>
      </x:c>
      <x:c r="M113" s="20" t="str">
        <x:v>https://finance.yahoo.com/quote/WTRG/analysis/</x:v>
      </x:c>
    </x:row>
    <x:row r="114">
      <x:c r="A114" s="53" t="n">
        <x:f>IF(ISNUMBER(K114),1+COUNTIF($K$5:$K$121,"&gt;"&amp;K114),"")</x:f>
        <x:v>76</x:v>
      </x:c>
      <x:c r="B114" s="12" t="str">
        <x:v>MCD</x:v>
      </x:c>
      <x:c r="C114" s="12" t="str">
        <x:v>McDonald's Corp.</x:v>
      </x:c>
      <x:c r="D114" s="312" t="str">
        <x:v>MCD</x:v>
      </x:c>
      <x:c r="E114" s="313" t="n">
        <x:v>46243.69803204861</x:v>
      </x:c>
      <x:c r="F114" s="314" t="n">
        <x:v>26</x:v>
      </x:c>
      <x:c r="G114" s="315" t="n">
        <x:v>3.39735</x:v>
      </x:c>
      <x:c r="H114" s="315" t="n">
        <x:v>3.45181</x:v>
      </x:c>
      <x:c r="I114" s="316" t="n">
        <x:v>-0.015777229917058058</x:v>
      </x:c>
      <x:c r="J114" s="317" t="n">
        <x:f>IF(NOT(ISNUMBER(I114)),"",IFERROR(PERCENTRANK.INC($I$5:$I$121,I114),""))</x:f>
        <x:v>0.336</x:v>
      </x:c>
      <x:c r="K114" s="52" t="n">
        <x:f>IF(NOT(ISNUMBER(J114)),"",1+9*J114)</x:f>
        <x:v>4.024</x:v>
      </x:c>
      <x:c r="L114" s="12" t="str">
        <x:v>OK</x:v>
      </x:c>
      <x:c r="M114" s="20" t="str">
        <x:v>https://finance.yahoo.com/quote/MCD/analysis/</x:v>
      </x:c>
    </x:row>
    <x:row r="115">
      <x:c r="A115" s="53" t="n">
        <x:f>IF(ISNUMBER(K115),1+COUNTIF($K$5:$K$121,"&gt;"&amp;K115),"")</x:f>
        <x:v>7</x:v>
      </x:c>
      <x:c r="B115" s="12" t="str">
        <x:v>CMS</x:v>
      </x:c>
      <x:c r="C115" s="12" t="str">
        <x:v>CMS Energy Corp.</x:v>
      </x:c>
      <x:c r="D115" s="312" t="str">
        <x:v>CMS</x:v>
      </x:c>
      <x:c r="E115" s="313" t="n">
        <x:v>46243.69803204861</x:v>
      </x:c>
      <x:c r="F115" s="314" t="n">
        <x:v>11</x:v>
      </x:c>
      <x:c r="G115" s="315" t="n">
        <x:v>1.12489</x:v>
      </x:c>
      <x:c r="H115" s="315" t="n">
        <x:v>1.06053</x:v>
      </x:c>
      <x:c r="I115" s="316" t="n">
        <x:v>0.06068663781316886</x:v>
      </x:c>
      <x:c r="J115" s="317" t="n">
        <x:f>IF(NOT(ISNUMBER(I115)),"",IFERROR(PERCENTRANK.INC($I$5:$I$121,I115),""))</x:f>
        <x:v>0.948</x:v>
      </x:c>
      <x:c r="K115" s="52" t="n">
        <x:f>IF(NOT(ISNUMBER(J115)),"",1+9*J115)</x:f>
        <x:v>9.532</x:v>
      </x:c>
      <x:c r="L115" s="12" t="str">
        <x:v>OK</x:v>
      </x:c>
      <x:c r="M115" s="20" t="str">
        <x:v>https://finance.yahoo.com/quote/CMS/analysis/</x:v>
      </x:c>
    </x:row>
    <x:row r="116">
      <x:c r="A116" s="53" t="n">
        <x:f>IF(ISNUMBER(K116),1+COUNTIF($K$5:$K$121,"&gt;"&amp;K116),"")</x:f>
        <x:v>27</x:v>
      </x:c>
      <x:c r="B116" s="12" t="str">
        <x:v>ORLY</x:v>
      </x:c>
      <x:c r="C116" s="12" t="str">
        <x:v>O'Reilly Automotive Inc.</x:v>
      </x:c>
      <x:c r="D116" s="312" t="str">
        <x:v>ORLY</x:v>
      </x:c>
      <x:c r="E116" s="313" t="n">
        <x:v>46243.69803204861</x:v>
      </x:c>
      <x:c r="F116" s="314" t="n">
        <x:v>19</x:v>
      </x:c>
      <x:c r="G116" s="315" t="n">
        <x:v>0.92478</x:v>
      </x:c>
      <x:c r="H116" s="315" t="n">
        <x:v>0.90951</x:v>
      </x:c>
      <x:c r="I116" s="316" t="n">
        <x:v>0.01678926015107036</x:v>
      </x:c>
      <x:c r="J116" s="317" t="n">
        <x:f>IF(NOT(ISNUMBER(I116)),"",IFERROR(PERCENTRANK.INC($I$5:$I$121,I116),""))</x:f>
        <x:v>0.775</x:v>
      </x:c>
      <x:c r="K116" s="52" t="n">
        <x:f>IF(NOT(ISNUMBER(J116)),"",1+9*J116)</x:f>
        <x:v>7.9750000000000005</x:v>
      </x:c>
      <x:c r="L116" s="12" t="str">
        <x:v>OK</x:v>
      </x:c>
      <x:c r="M116" s="20" t="str">
        <x:v>https://finance.yahoo.com/quote/ORLY/analysis/</x:v>
      </x:c>
    </x:row>
    <x:row r="117">
      <x:c r="A117" s="53" t="n">
        <x:f>IF(ISNUMBER(K117),1+COUNTIF($K$5:$K$121,"&gt;"&amp;K117),"")</x:f>
        <x:v>92</x:v>
      </x:c>
      <x:c r="B117" s="12" t="str">
        <x:v>EXC</x:v>
      </x:c>
      <x:c r="C117" s="12" t="str">
        <x:v>Exelon Corp.</x:v>
      </x:c>
      <x:c r="D117" s="312" t="str">
        <x:v>EXC</x:v>
      </x:c>
      <x:c r="E117" s="313" t="n">
        <x:v>46243.69803204861</x:v>
      </x:c>
      <x:c r="F117" s="314" t="n">
        <x:v>12</x:v>
      </x:c>
      <x:c r="G117" s="315" t="n">
        <x:v>0.84854</x:v>
      </x:c>
      <x:c r="H117" s="315" t="n">
        <x:v>0.8828</x:v>
      </x:c>
      <x:c r="I117" s="316" t="n">
        <x:v>-0.03880833710919808</x:v>
      </x:c>
      <x:c r="J117" s="317" t="n">
        <x:f>IF(NOT(ISNUMBER(I117)),"",IFERROR(PERCENTRANK.INC($I$5:$I$121,I117),""))</x:f>
        <x:v>0.198</x:v>
      </x:c>
      <x:c r="K117" s="52" t="n">
        <x:f>IF(NOT(ISNUMBER(J117)),"",1+9*J117)</x:f>
        <x:v>2.782</x:v>
      </x:c>
      <x:c r="L117" s="12" t="str">
        <x:v>OK</x:v>
      </x:c>
      <x:c r="M117" s="20" t="str">
        <x:v>https://finance.yahoo.com/quote/EXC/analysis/</x:v>
      </x:c>
    </x:row>
    <x:row r="118">
      <x:c r="A118" s="53" t="n">
        <x:f>IF(ISNUMBER(K118),1+COUNTIF($K$5:$K$121,"&gt;"&amp;K118),"")</x:f>
        <x:v>53</x:v>
      </x:c>
      <x:c r="B118" s="12" t="str">
        <x:v>AZO</x:v>
      </x:c>
      <x:c r="C118" s="12" t="str">
        <x:v>AutoZone Inc.</x:v>
      </x:c>
      <x:c r="D118" s="312" t="str">
        <x:v>AZO</x:v>
      </x:c>
      <x:c r="E118" s="313" t="n">
        <x:v>46243.69803204861</x:v>
      </x:c>
      <x:c r="F118" s="314" t="n">
        <x:v>21</x:v>
      </x:c>
      <x:c r="G118" s="315" t="n">
        <x:v>54.53667</x:v>
      </x:c>
      <x:c r="H118" s="315" t="n">
        <x:v>54.61534</x:v>
      </x:c>
      <x:c r="I118" s="316" t="n">
        <x:v>-0.0014404377964140195</x:v>
      </x:c>
      <x:c r="J118" s="317" t="n">
        <x:f>IF(NOT(ISNUMBER(I118)),"",IFERROR(PERCENTRANK.INC($I$5:$I$121,I118),""))</x:f>
        <x:v>0.534</x:v>
      </x:c>
      <x:c r="K118" s="52" t="n">
        <x:f>IF(NOT(ISNUMBER(J118)),"",1+9*J118)</x:f>
        <x:v>5.806</x:v>
      </x:c>
      <x:c r="L118" s="12" t="str">
        <x:v>OK</x:v>
      </x:c>
      <x:c r="M118" s="20" t="str">
        <x:v>https://finance.yahoo.com/quote/AZO/analysis/</x:v>
      </x:c>
    </x:row>
    <x:row r="119">
      <x:c r="A119" s="53" t="n">
        <x:f>IF(ISNUMBER(K119),1+COUNTIF($K$5:$K$121,"&gt;"&amp;K119),"")</x:f>
        <x:v>106</x:v>
      </x:c>
      <x:c r="B119" s="12" t="str">
        <x:v>MTDR</x:v>
      </x:c>
      <x:c r="C119" s="12" t="str">
        <x:v>Matador Resources Co.</x:v>
      </x:c>
      <x:c r="D119" s="312" t="str">
        <x:v>MTDR</x:v>
      </x:c>
      <x:c r="E119" s="313" t="n">
        <x:v>46243.69803204861</x:v>
      </x:c>
      <x:c r="F119" s="314" t="n">
        <x:v>19</x:v>
      </x:c>
      <x:c r="G119" s="315" t="n">
        <x:v>1.62434</x:v>
      </x:c>
      <x:c r="H119" s="315" t="n">
        <x:v>1.95213</x:v>
      </x:c>
      <x:c r="I119" s="316" t="n">
        <x:v>-0.16791402211942855</x:v>
      </x:c>
      <x:c r="J119" s="317" t="n">
        <x:f>IF(NOT(ISNUMBER(I119)),"",IFERROR(PERCENTRANK.INC($I$5:$I$121,I119),""))</x:f>
        <x:v>0.077</x:v>
      </x:c>
      <x:c r="K119" s="52" t="n">
        <x:f>IF(NOT(ISNUMBER(J119)),"",1+9*J119)</x:f>
        <x:v>1.693</x:v>
      </x:c>
      <x:c r="L119" s="12" t="str">
        <x:v>OK</x:v>
      </x:c>
      <x:c r="M119" s="20" t="str">
        <x:v>https://finance.yahoo.com/quote/MTDR/analysis/</x:v>
      </x:c>
    </x:row>
    <x:row r="120">
      <x:c r="A120" s="53" t="n">
        <x:f>IF(ISNUMBER(K120),1+COUNTIF($K$5:$K$121,"&gt;"&amp;K120),"")</x:f>
        <x:v>84</x:v>
      </x:c>
      <x:c r="B120" s="12" t="str">
        <x:v>VNOM</x:v>
      </x:c>
      <x:c r="C120" s="12" t="str">
        <x:v>Viper Energy Inc.</x:v>
      </x:c>
      <x:c r="D120" s="312" t="str">
        <x:v>VNOM</x:v>
      </x:c>
      <x:c r="E120" s="313" t="n">
        <x:v>46243.69803204861</x:v>
      </x:c>
      <x:c r="F120" s="314" t="n">
        <x:v>13</x:v>
      </x:c>
      <x:c r="G120" s="315" t="n">
        <x:v>0.65801</x:v>
      </x:c>
      <x:c r="H120" s="315" t="n">
        <x:v>0.67297</x:v>
      </x:c>
      <x:c r="I120" s="316" t="n">
        <x:v>-0.022229817079513166</x:v>
      </x:c>
      <x:c r="J120" s="317" t="n">
        <x:f>IF(NOT(ISNUMBER(I120)),"",IFERROR(PERCENTRANK.INC($I$5:$I$121,I120),""))</x:f>
        <x:v>0.267</x:v>
      </x:c>
      <x:c r="K120" s="52" t="n">
        <x:f>IF(NOT(ISNUMBER(J120)),"",1+9*J120)</x:f>
        <x:v>3.403</x:v>
      </x:c>
      <x:c r="L120" s="12" t="str">
        <x:v>OK</x:v>
      </x:c>
      <x:c r="M120" s="20" t="str">
        <x:v>https://finance.yahoo.com/quote/VNOM/analysis/</x:v>
      </x:c>
    </x:row>
    <x:row r="121">
      <x:c r="A121" s="53" t="n">
        <x:f>IF(ISNUMBER(K121),1+COUNTIF($K$5:$K$121,"&gt;"&amp;K121),"")</x:f>
        <x:v>1</x:v>
      </x:c>
      <x:c r="B121" s="12" t="str">
        <x:v>LNG</x:v>
      </x:c>
      <x:c r="C121" s="12" t="str">
        <x:v>Cheniere Energy Inc.</x:v>
      </x:c>
      <x:c r="D121" s="312" t="str">
        <x:v>LNG</x:v>
      </x:c>
      <x:c r="E121" s="313" t="n">
        <x:v>46243.69803204861</x:v>
      </x:c>
      <x:c r="F121" s="314" t="n">
        <x:v>3</x:v>
      </x:c>
      <x:c r="G121" s="315" t="n">
        <x:v>4.80154</x:v>
      </x:c>
      <x:c r="H121" s="315" t="n">
        <x:v>3.76424</x:v>
      </x:c>
      <x:c r="I121" s="316" t="n">
        <x:v>0.27556691390559584</x:v>
      </x:c>
      <x:c r="J121" s="317" t="n">
        <x:f>IF(NOT(ISNUMBER(I121)),"",IFERROR(PERCENTRANK.INC($I$5:$I$121,I121),""))</x:f>
        <x:v>1</x:v>
      </x:c>
      <x:c r="K121" s="52" t="n">
        <x:f>IF(NOT(ISNUMBER(J121)),"",1+9*J121)</x:f>
        <x:v>10</x:v>
      </x:c>
      <x:c r="L121" s="12" t="str">
        <x:v>OK</x:v>
      </x:c>
      <x:c r="M121" s="20" t="str">
        <x:v>https://finance.yahoo.com/quote/LNG/analysis/</x:v>
      </x:c>
    </x:row>
  </x:sheetData>
  <x:mergeCells>
    <x:mergeCell ref="A1:M1"/>
    <x:mergeCell ref="A2:M2"/>
    <x:mergeCell ref="A3:M3"/>
  </x:mergeCells>
  <x:conditionalFormatting sqref="K5:K12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L5:L121">
    <x:cfRule type="containsText" dxfId="4" priority="2" operator="containsText" text="OK"/>
    <x:cfRule type="containsText" dxfId="5" priority="3" operator="containsText" text="THIN"/>
    <x:cfRule type="containsText" dxfId="6" priority="4" operator="containsText" text="NO CURRENT"/>
  </x:conditionalFormatting>
  <x:pageMargins left="0.7" right="0.7" top="0.75" bottom="0.75" header="0.3" footer="0.3"/>
  <x:legacyDrawing xmlns:r="http://schemas.openxmlformats.org/officeDocument/2006/relationships" r:id="Rd8db648f45d64b42"/>
  <x:tableParts count="1">
    <x:tablePart xmlns:r="http://schemas.openxmlformats.org/officeDocument/2006/relationships" r:id="R352bb1ce28c144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9" hidden="0" customWidth="1"/>
    <x:col min="4" max="4" width="11" hidden="0" customWidth="1"/>
    <x:col min="5" max="5" width="13" hidden="0" customWidth="1"/>
    <x:col min="6" max="6" width="10" hidden="0" customWidth="1"/>
    <x:col min="7" max="7" width="11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6" hidden="0" customWidth="1"/>
    <x:col min="13" max="13" width="10" hidden="0" customWidth="1"/>
    <x:col min="14" max="14" width="18" hidden="0" customWidth="1"/>
    <x:col min="15" max="15" width="17" hidden="0" customWidth="1"/>
    <x:col min="16" max="16" width="10" hidden="0" customWidth="1"/>
    <x:col min="17" max="17" width="17" hidden="0" customWidth="1"/>
    <x:col min="18" max="18" width="19" hidden="0" customWidth="1"/>
    <x:col min="19" max="19" width="16" hidden="0" customWidth="1"/>
    <x:col min="20" max="20" width="18" hidden="0" customWidth="1"/>
    <x:col min="21" max="21" width="11" hidden="0" customWidth="1"/>
    <x:col min="22" max="22" width="12" hidden="0" customWidth="1"/>
    <x:col min="23" max="23" width="18" hidden="0" customWidth="1"/>
    <x:col min="24" max="24" width="9" hidden="0" customWidth="1"/>
    <x:col min="25" max="25" width="17" hidden="0" customWidth="1"/>
    <x:col min="26" max="26" width="9" hidden="0" customWidth="1"/>
    <x:col min="27" max="27" width="17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</x:cols>
  <x:sheetData>
    <x:row r="1" ht="34" customHeight="1">
      <x:c r="A1" s="283" t="str">
        <x:v>Six-Factor Calculation Support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  <x:c r="P1" s="283"/>
      <x:c r="Q1" s="283"/>
      <x:c r="R1" s="283"/>
      <x:c r="S1" s="283"/>
      <x:c r="T1" s="283"/>
      <x:c r="U1" s="283"/>
      <x:c r="V1" s="283"/>
      <x:c r="W1" s="283"/>
      <x:c r="X1" s="283"/>
      <x:c r="Y1" s="283"/>
      <x:c r="Z1" s="283"/>
      <x:c r="AA1" s="283"/>
      <x:c r="AB1" s="283"/>
      <x:c r="AC1" s="283"/>
      <x:c r="AD1" s="283"/>
      <x:c r="AE1" s="283"/>
    </x:row>
    <x:row r="2">
      <x:c r="A2" s="292" t="str">
        <x:v>Formula-driven support sheet. Quality and Fundamental Momentum are 25% each; Analyst Revisions is 16.67%; Valuation, Conservative Investment and Shareholder Yield are 11.11% each. Missing factors are renormalized.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  <x:c r="O2" s="293"/>
      <x:c r="P2" s="293"/>
      <x:c r="Q2" s="293"/>
      <x:c r="R2" s="293"/>
      <x:c r="S2" s="293"/>
      <x:c r="T2" s="293"/>
      <x:c r="U2" s="293"/>
      <x:c r="V2" s="293"/>
      <x:c r="W2" s="293"/>
      <x:c r="X2" s="293"/>
      <x:c r="Y2" s="293"/>
      <x:c r="Z2" s="293"/>
      <x:c r="AA2" s="293"/>
      <x:c r="AB2" s="293"/>
      <x:c r="AC2" s="293"/>
      <x:c r="AD2" s="293"/>
      <x:c r="AE2" s="294"/>
    </x:row>
    <x:row r="3">
      <x:c r="A3" s="326" t="str">
        <x:v>The original five factors and cohort classification are frozen at 2026-07-10. Analyst revisions are populated from Yahoo Finance via yfinance 1.5.2, retrieved 2026-08-09T16:45:09.969552Z.</x:v>
      </x:c>
      <x:c r="B3" s="327"/>
      <x:c r="C3" s="327"/>
      <x:c r="D3" s="327"/>
      <x:c r="E3" s="327"/>
      <x:c r="F3" s="327"/>
      <x:c r="G3" s="327"/>
      <x:c r="H3" s="327"/>
      <x:c r="I3" s="327"/>
      <x:c r="J3" s="327"/>
      <x:c r="K3" s="327"/>
      <x:c r="L3" s="327"/>
      <x:c r="M3" s="327"/>
      <x:c r="N3" s="327"/>
      <x:c r="O3" s="327"/>
      <x:c r="P3" s="327"/>
      <x:c r="Q3" s="327"/>
      <x:c r="R3" s="327"/>
      <x:c r="S3" s="327"/>
      <x:c r="T3" s="327"/>
      <x:c r="U3" s="327"/>
      <x:c r="V3" s="327"/>
      <x:c r="W3" s="327"/>
      <x:c r="X3" s="327"/>
      <x:c r="Y3" s="327"/>
      <x:c r="Z3" s="327"/>
      <x:c r="AA3" s="327"/>
      <x:c r="AB3" s="327"/>
      <x:c r="AC3" s="327"/>
      <x:c r="AD3" s="327"/>
      <x:c r="AE3" s="328"/>
    </x:row>
    <x:row r="4">
      <x:c r="A4" s="311" t="str">
        <x:v>Overall Rank</x:v>
      </x:c>
      <x:c r="B4" s="311" t="str">
        <x:v>Ticker</x:v>
      </x:c>
      <x:c r="C4" s="311" t="str">
        <x:v>Company</x:v>
      </x:c>
      <x:c r="D4" s="311" t="str">
        <x:v>BTAL Side</x:v>
      </x:c>
      <x:c r="E4" s="311" t="str">
        <x:v>BTAL Weight</x:v>
      </x:c>
      <x:c r="F4" s="311" t="str">
        <x:v>Beta</x:v>
      </x:c>
      <x:c r="G4" s="311" t="str">
        <x:v>Bad Beta</x:v>
      </x:c>
      <x:c r="H4" s="311" t="str">
        <x:v>Overall Score</x:v>
      </x:c>
      <x:c r="I4" s="311" t="str">
        <x:v>Score Coverage</x:v>
      </x:c>
      <x:c r="J4" s="311" t="str">
        <x:v>Quality</x:v>
      </x:c>
      <x:c r="K4" s="311" t="str">
        <x:v>Quality Rank</x:v>
      </x:c>
      <x:c r="L4" s="311" t="str">
        <x:v>Fund. Momentum</x:v>
      </x:c>
      <x:c r="M4" s="311" t="str">
        <x:v>FM Rank</x:v>
      </x:c>
      <x:c r="N4" s="311" t="str">
        <x:v>FM Method</x:v>
      </x:c>
      <x:c r="O4" s="311" t="str">
        <x:v>Analyst Revisions</x:v>
      </x:c>
      <x:c r="P4" s="311" t="str">
        <x:v>AR Rank</x:v>
      </x:c>
      <x:c r="Q4" s="311" t="str">
        <x:v>Current FQ EPS Est.</x:v>
      </x:c>
      <x:c r="R4" s="311" t="str">
        <x:v>30D-Prior EPS Est.</x:v>
      </x:c>
      <x:c r="S4" s="311" t="str">
        <x:v>EPS Revision 30D</x:v>
      </x:c>
      <x:c r="T4" s="311" t="str">
        <x:v>Revision Status</x:v>
      </x:c>
      <x:c r="U4" s="311" t="str">
        <x:v>Valuation</x:v>
      </x:c>
      <x:c r="V4" s="311" t="str">
        <x:v>Valuation Rank</x:v>
      </x:c>
      <x:c r="W4" s="311" t="str">
        <x:v>Conservative Invest.</x:v>
      </x:c>
      <x:c r="X4" s="311" t="str">
        <x:v>CI Rank</x:v>
      </x:c>
      <x:c r="Y4" s="311" t="str">
        <x:v>Shareholder Yield</x:v>
      </x:c>
      <x:c r="Z4" s="311" t="str">
        <x:v>SY Rank</x:v>
      </x:c>
      <x:c r="AA4" s="311" t="str">
        <x:v>Sector</x:v>
      </x:c>
      <x:c r="AB4" s="311" t="str">
        <x:v>Price Date</x:v>
      </x:c>
      <x:c r="AC4" s="311" t="str">
        <x:v>Latest Quarter</x:v>
      </x:c>
      <x:c r="AD4" s="311" t="str">
        <x:v>Latest Annual</x:v>
      </x:c>
      <x:c r="AE4" s="311" t="str">
        <x:v>Data Status</x:v>
      </x:c>
    </x:row>
    <x:row r="5">
      <x:c r="A5" s="47" t="n">
        <x:f>IF(ISNUMBER(H5),1+COUNTIF($H$5:$H$121,"&gt;"&amp;H5),"")</x:f>
        <x:v>1</x:v>
      </x:c>
      <x:c r="B5" s="47" t="str">
        <x:v>MUSA</x:v>
      </x:c>
      <x:c r="C5" s="47" t="str">
        <x:v>Murphy USA Inc.</x:v>
      </x:c>
      <x:c r="D5" s="49" t="str">
        <x:v>Long</x:v>
      </x:c>
      <x:c r="E5" s="49" t="n">
        <x:v>0.00406</x:v>
      </x:c>
      <x:c r="F5" s="50" t="n">
        <x:v>-0.10241867773758018</x:v>
      </x:c>
      <x:c r="G5" s="50" t="n">
        <x:v>-0.011647095910803866</x:v>
      </x:c>
      <x:c r="H5" s="329" t="n">
        <x:f>IFERROR((IF(ISNUMBER(J5),J5*'Methodology'!$C$5,0)+IF(ISNUMBER(L5),L5*'Methodology'!$C$6,0)+IF(ISNUMBER(O5),O5*'Methodology'!$C$7,0)+IF(ISNUMBER(U5),U5*'Methodology'!$C$8,0)+IF(ISNUMBER(W5),W5*'Methodology'!$C$9,0)+IF(ISNUMBER(Y5),Y5*'Methodology'!$C$10,0))/(IF(ISNUMBER(J5),'Methodology'!$C$5,0)+IF(ISNUMBER(L5),'Methodology'!$C$6,0)+IF(ISNUMBER(O5),'Methodology'!$C$7,0)+IF(ISNUMBER(U5),'Methodology'!$C$8,0)+IF(ISNUMBER(W5),'Methodology'!$C$9,0)+IF(ISNUMBER(Y5),'Methodology'!$C$10,0)),"")</x:f>
        <x:v>8.44484203352869</x:v>
      </x:c>
      <x:c r="I5" s="47" t="n">
        <x:f>COUNT(J5,L5,O5,U5,W5,Y5)</x:f>
        <x:v>6</x:v>
      </x:c>
      <x:c r="J5" s="52" t="n">
        <x:v>10</x:v>
      </x:c>
      <x:c r="K5" s="47" t="n">
        <x:f>IF(ISNUMBER(J5),1+COUNTIF($J$5:$J$121,"&gt;"&amp;J5),"")</x:f>
        <x:v>1</x:v>
      </x:c>
      <x:c r="L5" s="52" t="n">
        <x:v>9.797233201581028</x:v>
      </x:c>
      <x:c r="M5" s="47" t="n">
        <x:f>IF(ISNUMBER(L5),1+COUNTIF($L$5:$L$121,"&gt;"&amp;L5),"")</x:f>
        <x:v>1</x:v>
      </x:c>
      <x:c r="N5" s="47" t="str">
        <x:v>SUE + CAR3</x:v>
      </x:c>
      <x:c r="O5" s="52" t="n">
        <x:f>IFERROR(INDEX('Analyst Revisions'!$K$5:$K$121,MATCH(B5,'Analyst Revisions'!$B$5:$B$121,0)),"")</x:f>
        <x:v>8.758</x:v>
      </x:c>
      <x:c r="P5" s="47" t="n">
        <x:f>IF(ISNUMBER(O5),1+COUNTIF($O$5:$O$121,"&gt;"&amp;O5),"")</x:f>
        <x:v>17</x:v>
      </x:c>
      <x:c r="Q5" s="50" t="n">
        <x:f>IFERROR(INDEX('Analyst Revisions'!$G$5:$G$121,MATCH(B5,'Analyst Revisions'!$B$5:$B$121,0)),"")</x:f>
        <x:v>8.355</x:v>
      </x:c>
      <x:c r="R5" s="50" t="n">
        <x:f>IFERROR(INDEX('Analyst Revisions'!$H$5:$H$121,MATCH(B5,'Analyst Revisions'!$B$5:$B$121,0)),"")</x:f>
        <x:v>8.1332</x:v>
      </x:c>
      <x:c r="S5" s="317" t="n">
        <x:f>IFERROR(INDEX('Analyst Revisions'!$I$5:$I$121,MATCH(B5,'Analyst Revisions'!$B$5:$B$121,0)),"")</x:f>
        <x:v>0.02727093886785029</x:v>
      </x:c>
      <x:c r="T5" s="47" t="str">
        <x:f>IFERROR(INDEX('Analyst Revisions'!$L$5:$L$121,MATCH(B5,'Analyst Revisions'!$B$5:$B$121,0)),"")</x:f>
        <x:v>OK</x:v>
      </x:c>
      <x:c r="U5" s="52" t="n">
        <x:v>5.617458770614693</x:v>
      </x:c>
      <x:c r="V5" s="47" t="n">
        <x:f>IF(ISNUMBER(U5),1+COUNTIF($U$5:$U$121,"&gt;"&amp;U5),"")</x:f>
        <x:v>54</x:v>
      </x:c>
      <x:c r="W5" s="52" t="n">
        <x:v>4.489827586206896</x:v>
      </x:c>
      <x:c r="X5" s="47" t="n">
        <x:f>IF(ISNUMBER(W5),1+COUNTIF($W$5:$W$121,"&gt;"&amp;W5),"")</x:f>
        <x:v>70</x:v>
      </x:c>
      <x:c r="Y5" s="52" t="n">
        <x:v>8.21551724137931</x:v>
      </x:c>
      <x:c r="Z5" s="47" t="n">
        <x:f>IF(ISNUMBER(Y5),1+COUNTIF($Y$5:$Y$121,"&gt;"&amp;Y5),"")</x:f>
        <x:v>24</x:v>
      </x:c>
      <x:c r="AA5" s="47" t="str">
        <x:v>Consumer Discretionary</x:v>
      </x:c>
      <x:c r="AB5" s="54" t="n">
        <x:v>46213</x:v>
      </x:c>
      <x:c r="AC5" s="54" t="n">
        <x:v>46112</x:v>
      </x:c>
      <x:c r="AD5" s="54" t="n">
        <x:v>46022</x:v>
      </x:c>
      <x:c r="AE5" s="47" t="str">
        <x:v>OK</x:v>
      </x:c>
    </x:row>
    <x:row r="6">
      <x:c r="A6" s="47" t="n">
        <x:f>IF(ISNUMBER(H6),1+COUNTIF($H$5:$H$121,"&gt;"&amp;H6),"")</x:f>
        <x:v>11</x:v>
      </x:c>
      <x:c r="B6" s="47" t="str">
        <x:v>RRC</x:v>
      </x:c>
      <x:c r="C6" s="47" t="str">
        <x:v>Range Resources Corp.</x:v>
      </x:c>
      <x:c r="D6" s="49" t="str">
        <x:v>Long</x:v>
      </x:c>
      <x:c r="E6" s="49" t="n">
        <x:v>0.003479</x:v>
      </x:c>
      <x:c r="F6" s="50" t="n">
        <x:v>-0.21338788091285485</x:v>
      </x:c>
      <x:c r="G6" s="50" t="n">
        <x:v>-0.20767088610862813</x:v>
      </x:c>
      <x:c r="H6" s="329" t="n">
        <x:f>IFERROR((IF(ISNUMBER(J6),J6*'Methodology'!$C$5,0)+IF(ISNUMBER(L6),L6*'Methodology'!$C$6,0)+IF(ISNUMBER(O6),O6*'Methodology'!$C$7,0)+IF(ISNUMBER(U6),U6*'Methodology'!$C$8,0)+IF(ISNUMBER(W6),W6*'Methodology'!$C$9,0)+IF(ISNUMBER(Y6),Y6*'Methodology'!$C$10,0))/(IF(ISNUMBER(J6),'Methodology'!$C$5,0)+IF(ISNUMBER(L6),'Methodology'!$C$6,0)+IF(ISNUMBER(O6),'Methodology'!$C$7,0)+IF(ISNUMBER(U6),'Methodology'!$C$8,0)+IF(ISNUMBER(W6),'Methodology'!$C$9,0)+IF(ISNUMBER(Y6),'Methodology'!$C$10,0)),"")</x:f>
        <x:v>7.091795147880605</x:v>
      </x:c>
      <x:c r="I6" s="47" t="n">
        <x:f>COUNT(J6,L6,O6,U6,W6,Y6)</x:f>
        <x:v>6</x:v>
      </x:c>
      <x:c r="J6" s="52" t="n">
        <x:v>7.051724137931035</x:v>
      </x:c>
      <x:c r="K6" s="47" t="n">
        <x:f>IF(ISNUMBER(J6),1+COUNTIF($J$5:$J$121,"&gt;"&amp;J6),"")</x:f>
        <x:v>39</x:v>
      </x:c>
      <x:c r="L6" s="52" t="n">
        <x:v>8.363636363636363</x:v>
      </x:c>
      <x:c r="M6" s="47" t="n">
        <x:f>IF(ISNUMBER(L6),1+COUNTIF($L$5:$L$121,"&gt;"&amp;L6),"")</x:f>
        <x:v>11</x:v>
      </x:c>
      <x:c r="N6" s="47" t="str">
        <x:v>SUE only</x:v>
      </x:c>
      <x:c r="O6" s="52" t="n">
        <x:f>IFERROR(INDEX('Analyst Revisions'!$K$5:$K$121,MATCH(B6,'Analyst Revisions'!$B$5:$B$121,0)),"")</x:f>
        <x:v>2.233</x:v>
      </x:c>
      <x:c r="P6" s="47" t="n">
        <x:f>IF(ISNUMBER(O6),1+COUNTIF($O$5:$O$121,"&gt;"&amp;O6),"")</x:f>
        <x:v>99</x:v>
      </x:c>
      <x:c r="Q6" s="50" t="n">
        <x:f>IFERROR(INDEX('Analyst Revisions'!$G$5:$G$121,MATCH(B6,'Analyst Revisions'!$B$5:$B$121,0)),"")</x:f>
        <x:v>0.79558</x:v>
      </x:c>
      <x:c r="R6" s="50" t="n">
        <x:f>IFERROR(INDEX('Analyst Revisions'!$H$5:$H$121,MATCH(B6,'Analyst Revisions'!$B$5:$B$121,0)),"")</x:f>
        <x:v>0.85599</x:v>
      </x:c>
      <x:c r="S6" s="317" t="n">
        <x:f>IFERROR(INDEX('Analyst Revisions'!$I$5:$I$121,MATCH(B6,'Analyst Revisions'!$B$5:$B$121,0)),"")</x:f>
        <x:v>-0.07057325436044821</x:v>
      </x:c>
      <x:c r="T6" s="47" t="str">
        <x:f>IFERROR(INDEX('Analyst Revisions'!$L$5:$L$121,MATCH(B6,'Analyst Revisions'!$B$5:$B$121,0)),"")</x:f>
        <x:v>OK</x:v>
      </x:c>
      <x:c r="U6" s="52" t="n">
        <x:v>7.925715892053972</x:v>
      </x:c>
      <x:c r="V6" s="47" t="n">
        <x:f>IF(ISNUMBER(U6),1+COUNTIF($U$5:$U$121,"&gt;"&amp;U6),"")</x:f>
        <x:v>23</x:v>
      </x:c>
      <x:c r="W6" s="52" t="n">
        <x:v>9.262931034482758</x:v>
      </x:c>
      <x:c r="X6" s="47" t="n">
        <x:f>IF(ISNUMBER(W6),1+COUNTIF($W$5:$W$121,"&gt;"&amp;W6),"")</x:f>
        <x:v>2</x:v>
      </x:c>
      <x:c r="Y6" s="52" t="n">
        <x:v>8.60344827586207</x:v>
      </x:c>
      <x:c r="Z6" s="47" t="n">
        <x:f>IF(ISNUMBER(Y6),1+COUNTIF($Y$5:$Y$121,"&gt;"&amp;Y6),"")</x:f>
        <x:v>19</x:v>
      </x:c>
      <x:c r="AA6" s="47" t="str">
        <x:v>Energy</x:v>
      </x:c>
      <x:c r="AB6" s="54" t="n">
        <x:v>46213</x:v>
      </x:c>
      <x:c r="AC6" s="54" t="n">
        <x:v>46112</x:v>
      </x:c>
      <x:c r="AD6" s="54" t="n">
        <x:v>46022</x:v>
      </x:c>
      <x:c r="AE6" s="47" t="str">
        <x:v>OK</x:v>
      </x:c>
    </x:row>
    <x:row r="7">
      <x:c r="A7" s="47" t="n">
        <x:f>IF(ISNUMBER(H7),1+COUNTIF($H$5:$H$121,"&gt;"&amp;H7),"")</x:f>
        <x:v>2</x:v>
      </x:c>
      <x:c r="B7" s="47" t="str">
        <x:v>ALL</x:v>
      </x:c>
      <x:c r="C7" s="47" t="str">
        <x:v>The Allstate Corp.</x:v>
      </x:c>
      <x:c r="D7" s="49" t="str">
        <x:v>Long</x:v>
      </x:c>
      <x:c r="E7" s="49" t="n">
        <x:v>0.004759</x:v>
      </x:c>
      <x:c r="F7" s="50" t="n">
        <x:v>0.09241455785349885</x:v>
      </x:c>
      <x:c r="G7" s="50" t="n">
        <x:v>-0.06648622060810297</x:v>
      </x:c>
      <x:c r="H7" s="329" t="n">
        <x:f>IFERROR((IF(ISNUMBER(J7),J7*'Methodology'!$C$5,0)+IF(ISNUMBER(L7),L7*'Methodology'!$C$6,0)+IF(ISNUMBER(O7),O7*'Methodology'!$C$7,0)+IF(ISNUMBER(U7),U7*'Methodology'!$C$8,0)+IF(ISNUMBER(W7),W7*'Methodology'!$C$9,0)+IF(ISNUMBER(Y7),Y7*'Methodology'!$C$10,0))/(IF(ISNUMBER(J7),'Methodology'!$C$5,0)+IF(ISNUMBER(L7),'Methodology'!$C$6,0)+IF(ISNUMBER(O7),'Methodology'!$C$7,0)+IF(ISNUMBER(U7),'Methodology'!$C$8,0)+IF(ISNUMBER(W7),'Methodology'!$C$9,0)+IF(ISNUMBER(Y7),'Methodology'!$C$10,0)),"")</x:f>
        <x:v>8.138734564535914</x:v>
      </x:c>
      <x:c r="I7" s="47" t="n">
        <x:f>COUNT(J7,L7,O7,U7,W7,Y7)</x:f>
        <x:v>6</x:v>
      </x:c>
      <x:c r="J7" s="52" t="n">
        <x:v>9.689655172413794</x:v>
      </x:c>
      <x:c r="K7" s="47" t="n">
        <x:f>IF(ISNUMBER(J7),1+COUNTIF($J$5:$J$121,"&gt;"&amp;J7),"")</x:f>
        <x:v>5</x:v>
      </x:c>
      <x:c r="L7" s="52" t="n">
        <x:v>7.97411067193676</x:v>
      </x:c>
      <x:c r="M7" s="47" t="n">
        <x:f>IF(ISNUMBER(L7),1+COUNTIF($L$5:$L$121,"&gt;"&amp;L7),"")</x:f>
        <x:v>14</x:v>
      </x:c>
      <x:c r="N7" s="47" t="str">
        <x:v>SUE + CAR3</x:v>
      </x:c>
      <x:c r="O7" s="52" t="n">
        <x:f>IFERROR(INDEX('Analyst Revisions'!$K$5:$K$121,MATCH(B7,'Analyst Revisions'!$B$5:$B$121,0)),"")</x:f>
        <x:v>9.604</x:v>
      </x:c>
      <x:c r="P7" s="47" t="n">
        <x:f>IF(ISNUMBER(O7),1+COUNTIF($O$5:$O$121,"&gt;"&amp;O7),"")</x:f>
        <x:v>6</x:v>
      </x:c>
      <x:c r="Q7" s="50" t="n">
        <x:f>IFERROR(INDEX('Analyst Revisions'!$G$5:$G$121,MATCH(B7,'Analyst Revisions'!$B$5:$B$121,0)),"")</x:f>
        <x:v>6.2408</x:v>
      </x:c>
      <x:c r="R7" s="50" t="n">
        <x:f>IFERROR(INDEX('Analyst Revisions'!$H$5:$H$121,MATCH(B7,'Analyst Revisions'!$B$5:$B$121,0)),"")</x:f>
        <x:v>5.88215</x:v>
      </x:c>
      <x:c r="S7" s="317" t="n">
        <x:f>IFERROR(INDEX('Analyst Revisions'!$I$5:$I$121,MATCH(B7,'Analyst Revisions'!$B$5:$B$121,0)),"")</x:f>
        <x:v>0.060972603554822626</x:v>
      </x:c>
      <x:c r="T7" s="47" t="str">
        <x:f>IFERROR(INDEX('Analyst Revisions'!$L$5:$L$121,MATCH(B7,'Analyst Revisions'!$B$5:$B$121,0)),"")</x:f>
        <x:v>OK</x:v>
      </x:c>
      <x:c r="U7" s="52" t="n">
        <x:v>8.40948275862069</x:v>
      </x:c>
      <x:c r="V7" s="47" t="n">
        <x:f>IF(ISNUMBER(U7),1+COUNTIF($U$5:$U$121,"&gt;"&amp;U7),"")</x:f>
        <x:v>14</x:v>
      </x:c>
      <x:c r="W7" s="52" t="n">
        <x:v>5.0344827586206895</x:v>
      </x:c>
      <x:c r="X7" s="47" t="n">
        <x:f>IF(ISNUMBER(W7),1+COUNTIF($W$5:$W$121,"&gt;"&amp;W7),"")</x:f>
        <x:v>59</x:v>
      </x:c>
      <x:c r="Y7" s="52" t="n">
        <x:v>5.655172413793104</x:v>
      </x:c>
      <x:c r="Z7" s="47" t="n">
        <x:f>IF(ISNUMBER(Y7),1+COUNTIF($Y$5:$Y$121,"&gt;"&amp;Y7),"")</x:f>
        <x:v>57</x:v>
      </x:c>
      <x:c r="AA7" s="47" t="str">
        <x:v>Finance</x:v>
      </x:c>
      <x:c r="AB7" s="54" t="n">
        <x:v>46213</x:v>
      </x:c>
      <x:c r="AC7" s="54" t="n">
        <x:v>46112</x:v>
      </x:c>
      <x:c r="AD7" s="54" t="n">
        <x:v>46022</x:v>
      </x:c>
      <x:c r="AE7" s="47" t="str">
        <x:v>OK</x:v>
      </x:c>
    </x:row>
    <x:row r="8">
      <x:c r="A8" s="47" t="n">
        <x:f>IF(ISNUMBER(H8),1+COUNTIF($H$5:$H$121,"&gt;"&amp;H8),"")</x:f>
        <x:v>17</x:v>
      </x:c>
      <x:c r="B8" s="47" t="str">
        <x:v>APA</x:v>
      </x:c>
      <x:c r="C8" s="47" t="str">
        <x:v>APA Corp.</x:v>
      </x:c>
      <x:c r="D8" s="49" t="str">
        <x:v>Long</x:v>
      </x:c>
      <x:c r="E8" s="49" t="n">
        <x:v>0.003508</x:v>
      </x:c>
      <x:c r="F8" s="50" t="n">
        <x:v>-0.22899850532026103</x:v>
      </x:c>
      <x:c r="G8" s="50" t="n">
        <x:v>-0.38476295014005296</x:v>
      </x:c>
      <x:c r="H8" s="329" t="n">
        <x:f>IFERROR((IF(ISNUMBER(J8),J8*'Methodology'!$C$5,0)+IF(ISNUMBER(L8),L8*'Methodology'!$C$6,0)+IF(ISNUMBER(O8),O8*'Methodology'!$C$7,0)+IF(ISNUMBER(U8),U8*'Methodology'!$C$8,0)+IF(ISNUMBER(W8),W8*'Methodology'!$C$9,0)+IF(ISNUMBER(Y8),Y8*'Methodology'!$C$10,0))/(IF(ISNUMBER(J8),'Methodology'!$C$5,0)+IF(ISNUMBER(L8),'Methodology'!$C$6,0)+IF(ISNUMBER(O8),'Methodology'!$C$7,0)+IF(ISNUMBER(U8),'Methodology'!$C$8,0)+IF(ISNUMBER(W8),'Methodology'!$C$9,0)+IF(ISNUMBER(Y8),'Methodology'!$C$10,0)),"")</x:f>
        <x:v>6.7976895188769255</x:v>
      </x:c>
      <x:c r="I8" s="47" t="n">
        <x:f>COUNT(J8,L8,O8,U8,W8,Y8)</x:f>
        <x:v>6</x:v>
      </x:c>
      <x:c r="J8" s="52" t="n">
        <x:v>9.14655172413793</x:v>
      </x:c>
      <x:c r="K8" s="47" t="n">
        <x:f>IF(ISNUMBER(J8),1+COUNTIF($J$5:$J$121,"&gt;"&amp;J8),"")</x:f>
        <x:v>12</x:v>
      </x:c>
      <x:c r="L8" s="52" t="n">
        <x:v>6.476482213438736</x:v>
      </x:c>
      <x:c r="M8" s="47" t="n">
        <x:f>IF(ISNUMBER(L8),1+COUNTIF($L$5:$L$121,"&gt;"&amp;L8),"")</x:f>
        <x:v>35</x:v>
      </x:c>
      <x:c r="N8" s="47" t="str">
        <x:v>SUE + CAR3</x:v>
      </x:c>
      <x:c r="O8" s="52" t="n">
        <x:f>IFERROR(INDEX('Analyst Revisions'!$K$5:$K$121,MATCH(B8,'Analyst Revisions'!$B$5:$B$121,0)),"")</x:f>
        <x:v>1.774</x:v>
      </x:c>
      <x:c r="P8" s="47" t="n">
        <x:f>IF(ISNUMBER(O8),1+COUNTIF($O$5:$O$121,"&gt;"&amp;O8),"")</x:f>
        <x:v>105</x:v>
      </x:c>
      <x:c r="Q8" s="50" t="n">
        <x:f>IFERROR(INDEX('Analyst Revisions'!$G$5:$G$121,MATCH(B8,'Analyst Revisions'!$B$5:$B$121,0)),"")</x:f>
        <x:v>1.18139</x:v>
      </x:c>
      <x:c r="R8" s="50" t="n">
        <x:f>IFERROR(INDEX('Analyst Revisions'!$H$5:$H$121,MATCH(B8,'Analyst Revisions'!$B$5:$B$121,0)),"")</x:f>
        <x:v>1.41955</x:v>
      </x:c>
      <x:c r="S8" s="317" t="n">
        <x:f>IFERROR(INDEX('Analyst Revisions'!$I$5:$I$121,MATCH(B8,'Analyst Revisions'!$B$5:$B$121,0)),"")</x:f>
        <x:v>-0.16777147687647503</x:v>
      </x:c>
      <x:c r="T8" s="47" t="str">
        <x:f>IFERROR(INDEX('Analyst Revisions'!$L$5:$L$121,MATCH(B8,'Analyst Revisions'!$B$5:$B$121,0)),"")</x:f>
        <x:v>OK</x:v>
      </x:c>
      <x:c r="U8" s="52" t="n">
        <x:v>8.254310344827587</x:v>
      </x:c>
      <x:c r="V8" s="47" t="n">
        <x:f>IF(ISNUMBER(U8),1+COUNTIF($U$5:$U$121,"&gt;"&amp;U8),"")</x:f>
        <x:v>19</x:v>
      </x:c>
      <x:c r="W8" s="52" t="n">
        <x:v>10</x:v>
      </x:c>
      <x:c r="X8" s="47" t="n">
        <x:f>IF(ISNUMBER(W8),1+COUNTIF($W$5:$W$121,"&gt;"&amp;W8),"")</x:f>
        <x:v>1</x:v>
      </x:c>
      <x:c r="Y8" s="52" t="n">
        <x:v>5.112068965517242</x:v>
      </x:c>
      <x:c r="Z8" s="47" t="n">
        <x:f>IF(ISNUMBER(Y8),1+COUNTIF($Y$5:$Y$121,"&gt;"&amp;Y8),"")</x:f>
        <x:v>64</x:v>
      </x:c>
      <x:c r="AA8" s="47" t="str">
        <x:v>Energy</x:v>
      </x:c>
      <x:c r="AB8" s="54" t="n">
        <x:v>46213</x:v>
      </x:c>
      <x:c r="AC8" s="54" t="n">
        <x:v>46112</x:v>
      </x:c>
      <x:c r="AD8" s="54" t="n">
        <x:v>46022</x:v>
      </x:c>
      <x:c r="AE8" s="47" t="str">
        <x:v>OK</x:v>
      </x:c>
    </x:row>
    <x:row r="9">
      <x:c r="A9" s="47" t="n">
        <x:f>IF(ISNUMBER(H9),1+COUNTIF($H$5:$H$121,"&gt;"&amp;H9),"")</x:f>
        <x:v>16</x:v>
      </x:c>
      <x:c r="B9" s="47" t="str">
        <x:v>AXS</x:v>
      </x:c>
      <x:c r="C9" s="47" t="str">
        <x:v>Axis Capital Holdings Ltd.</x:v>
      </x:c>
      <x:c r="D9" s="49" t="str">
        <x:v>Long</x:v>
      </x:c>
      <x:c r="E9" s="49" t="n">
        <x:v>0.004472</x:v>
      </x:c>
      <x:c r="F9" s="50" t="n">
        <x:v>0.2108012748123158</x:v>
      </x:c>
      <x:c r="G9" s="50" t="n">
        <x:v>-0.032398004123842576</x:v>
      </x:c>
      <x:c r="H9" s="329" t="n">
        <x:f>IFERROR((IF(ISNUMBER(J9),J9*'Methodology'!$C$5,0)+IF(ISNUMBER(L9),L9*'Methodology'!$C$6,0)+IF(ISNUMBER(O9),O9*'Methodology'!$C$7,0)+IF(ISNUMBER(U9),U9*'Methodology'!$C$8,0)+IF(ISNUMBER(W9),W9*'Methodology'!$C$9,0)+IF(ISNUMBER(Y9),Y9*'Methodology'!$C$10,0))/(IF(ISNUMBER(J9),'Methodology'!$C$5,0)+IF(ISNUMBER(L9),'Methodology'!$C$6,0)+IF(ISNUMBER(O9),'Methodology'!$C$7,0)+IF(ISNUMBER(U9),'Methodology'!$C$8,0)+IF(ISNUMBER(W9),'Methodology'!$C$9,0)+IF(ISNUMBER(Y9),'Methodology'!$C$10,0)),"")</x:f>
        <x:v>6.81357700695107</x:v>
      </x:c>
      <x:c r="I9" s="47" t="n">
        <x:f>COUNT(J9,L9,O9,U9,W9,Y9)</x:f>
        <x:v>6</x:v>
      </x:c>
      <x:c r="J9" s="52" t="n">
        <x:v>7.905172413793104</x:v>
      </x:c>
      <x:c r="K9" s="47" t="n">
        <x:f>IF(ISNUMBER(J9),1+COUNTIF($J$5:$J$121,"&gt;"&amp;J9),"")</x:f>
        <x:v>28</x:v>
      </x:c>
      <x:c r="L9" s="52" t="n">
        <x:v>6.387549407114625</x:v>
      </x:c>
      <x:c r="M9" s="47" t="n">
        <x:f>IF(ISNUMBER(L9),1+COUNTIF($L$5:$L$121,"&gt;"&amp;L9),"")</x:f>
        <x:v>38</x:v>
      </x:c>
      <x:c r="N9" s="47" t="str">
        <x:v>SUE + CAR3</x:v>
      </x:c>
      <x:c r="O9" s="52" t="n">
        <x:f>IFERROR(INDEX('Analyst Revisions'!$K$5:$K$121,MATCH(B9,'Analyst Revisions'!$B$5:$B$121,0)),"")</x:f>
        <x:v>2.701</x:v>
      </x:c>
      <x:c r="P9" s="47" t="n">
        <x:f>IF(ISNUMBER(O9),1+COUNTIF($O$5:$O$121,"&gt;"&amp;O9),"")</x:f>
        <x:v>93</x:v>
      </x:c>
      <x:c r="Q9" s="50" t="n">
        <x:f>IFERROR(INDEX('Analyst Revisions'!$G$5:$G$121,MATCH(B9,'Analyst Revisions'!$B$5:$B$121,0)),"")</x:f>
        <x:v>2.84947</x:v>
      </x:c>
      <x:c r="R9" s="50" t="n">
        <x:f>IFERROR(INDEX('Analyst Revisions'!$H$5:$H$121,MATCH(B9,'Analyst Revisions'!$B$5:$B$121,0)),"")</x:f>
        <x:v>2.98368</x:v>
      </x:c>
      <x:c r="S9" s="317" t="n">
        <x:f>IFERROR(INDEX('Analyst Revisions'!$I$5:$I$121,MATCH(B9,'Analyst Revisions'!$B$5:$B$121,0)),"")</x:f>
        <x:v>-0.044981365293865275</x:v>
      </x:c>
      <x:c r="T9" s="47" t="str">
        <x:f>IFERROR(INDEX('Analyst Revisions'!$L$5:$L$121,MATCH(B9,'Analyst Revisions'!$B$5:$B$121,0)),"")</x:f>
        <x:v>OK</x:v>
      </x:c>
      <x:c r="U9" s="52" t="n">
        <x:v>9.301724137931034</x:v>
      </x:c>
      <x:c r="V9" s="47" t="n">
        <x:f>IF(ISNUMBER(U9),1+COUNTIF($U$5:$U$121,"&gt;"&amp;U9),"")</x:f>
        <x:v>5</x:v>
      </x:c>
      <x:c r="W9" s="52" t="n">
        <x:v>6.431034482758621</x:v>
      </x:c>
      <x:c r="X9" s="47" t="n">
        <x:f>IF(ISNUMBER(W9),1+COUNTIF($W$5:$W$121,"&gt;"&amp;W9),"")</x:f>
        <x:v>34</x:v>
      </x:c>
      <x:c r="Y9" s="52" t="n">
        <x:v>9.379310344827585</x:v>
      </x:c>
      <x:c r="Z9" s="47" t="n">
        <x:f>IF(ISNUMBER(Y9),1+COUNTIF($Y$5:$Y$121,"&gt;"&amp;Y9),"")</x:f>
        <x:v>9</x:v>
      </x:c>
      <x:c r="AA9" s="47" t="str">
        <x:v>Finance</x:v>
      </x:c>
      <x:c r="AB9" s="54" t="n">
        <x:v>46213</x:v>
      </x:c>
      <x:c r="AC9" s="54" t="n">
        <x:v>46112</x:v>
      </x:c>
      <x:c r="AD9" s="54" t="n">
        <x:v>46022</x:v>
      </x:c>
      <x:c r="AE9" s="47" t="str">
        <x:v>OK</x:v>
      </x:c>
    </x:row>
    <x:row r="10">
      <x:c r="A10" s="47" t="n">
        <x:f>IF(ISNUMBER(H10),1+COUNTIF($H$5:$H$121,"&gt;"&amp;H10),"")</x:f>
        <x:v>4</x:v>
      </x:c>
      <x:c r="B10" s="47" t="str">
        <x:v>RNR</x:v>
      </x:c>
      <x:c r="C10" s="47" t="str">
        <x:v>RenaissanceRe Holdings Ltd.</x:v>
      </x:c>
      <x:c r="D10" s="49" t="str">
        <x:v>Long</x:v>
      </x:c>
      <x:c r="E10" s="49" t="n">
        <x:v>0.004333</x:v>
      </x:c>
      <x:c r="F10" s="50" t="n">
        <x:v>-0.11603347691244012</x:v>
      </x:c>
      <x:c r="G10" s="50" t="n">
        <x:v>-0.10951693535765034</x:v>
      </x:c>
      <x:c r="H10" s="329" t="n">
        <x:f>IFERROR((IF(ISNUMBER(J10),J10*'Methodology'!$C$5,0)+IF(ISNUMBER(L10),L10*'Methodology'!$C$6,0)+IF(ISNUMBER(O10),O10*'Methodology'!$C$7,0)+IF(ISNUMBER(U10),U10*'Methodology'!$C$8,0)+IF(ISNUMBER(W10),W10*'Methodology'!$C$9,0)+IF(ISNUMBER(Y10),Y10*'Methodology'!$C$10,0))/(IF(ISNUMBER(J10),'Methodology'!$C$5,0)+IF(ISNUMBER(L10),'Methodology'!$C$6,0)+IF(ISNUMBER(O10),'Methodology'!$C$7,0)+IF(ISNUMBER(U10),'Methodology'!$C$8,0)+IF(ISNUMBER(W10),'Methodology'!$C$9,0)+IF(ISNUMBER(Y10),'Methodology'!$C$10,0)),"")</x:f>
        <x:v>7.8556590568352185</x:v>
      </x:c>
      <x:c r="I10" s="47" t="n">
        <x:f>COUNT(J10,L10,O10,U10,W10,Y10)</x:f>
        <x:v>6</x:v>
      </x:c>
      <x:c r="J10" s="52" t="n">
        <x:v>8.681034482758621</x:v>
      </x:c>
      <x:c r="K10" s="47" t="n">
        <x:f>IF(ISNUMBER(J10),1+COUNTIF($J$5:$J$121,"&gt;"&amp;J10),"")</x:f>
        <x:v>18</x:v>
      </x:c>
      <x:c r="L10" s="52" t="n">
        <x:v>5.345256916996047</x:v>
      </x:c>
      <x:c r="M10" s="47" t="n">
        <x:f>IF(ISNUMBER(L10),1+COUNTIF($L$5:$L$121,"&gt;"&amp;L10),"")</x:f>
        <x:v>67</x:v>
      </x:c>
      <x:c r="N10" s="47" t="str">
        <x:v>SUE + CAR3</x:v>
      </x:c>
      <x:c r="O10" s="52" t="n">
        <x:f>IFERROR(INDEX('Analyst Revisions'!$K$5:$K$121,MATCH(B10,'Analyst Revisions'!$B$5:$B$121,0)),"")</x:f>
        <x:v>9.379000000000001</x:v>
      </x:c>
      <x:c r="P10" s="47" t="n">
        <x:f>IF(ISNUMBER(O10),1+COUNTIF($O$5:$O$121,"&gt;"&amp;O10),"")</x:f>
        <x:v>9</x:v>
      </x:c>
      <x:c r="Q10" s="50" t="n">
        <x:f>IFERROR(INDEX('Analyst Revisions'!$G$5:$G$121,MATCH(B10,'Analyst Revisions'!$B$5:$B$121,0)),"")</x:f>
        <x:v>6.73745</x:v>
      </x:c>
      <x:c r="R10" s="50" t="n">
        <x:f>IFERROR(INDEX('Analyst Revisions'!$H$5:$H$121,MATCH(B10,'Analyst Revisions'!$B$5:$B$121,0)),"")</x:f>
        <x:v>6.42601</x:v>
      </x:c>
      <x:c r="S10" s="317" t="n">
        <x:f>IFERROR(INDEX('Analyst Revisions'!$I$5:$I$121,MATCH(B10,'Analyst Revisions'!$B$5:$B$121,0)),"")</x:f>
        <x:v>0.04846553304461091</x:v>
      </x:c>
      <x:c r="T10" s="47" t="str">
        <x:f>IFERROR(INDEX('Analyst Revisions'!$L$5:$L$121,MATCH(B10,'Analyst Revisions'!$B$5:$B$121,0)),"")</x:f>
        <x:v>OK</x:v>
      </x:c>
      <x:c r="U10" s="52" t="n">
        <x:v>9.72844827586207</x:v>
      </x:c>
      <x:c r="V10" s="47" t="n">
        <x:f>IF(ISNUMBER(U10),1+COUNTIF($U$5:$U$121,"&gt;"&amp;U10),"")</x:f>
        <x:v>3</x:v>
      </x:c>
      <x:c r="W10" s="52" t="n">
        <x:v>5.887931034482759</x:v>
      </x:c>
      <x:c r="X10" s="47" t="n">
        <x:f>IF(ISNUMBER(W10),1+COUNTIF($W$5:$W$121,"&gt;"&amp;W10),"")</x:f>
        <x:v>46</x:v>
      </x:c>
      <x:c r="Y10" s="52" t="n">
        <x:v>9.456896551724139</x:v>
      </x:c>
      <x:c r="Z10" s="47" t="n">
        <x:f>IF(ISNUMBER(Y10),1+COUNTIF($Y$5:$Y$121,"&gt;"&amp;Y10),"")</x:f>
        <x:v>8</x:v>
      </x:c>
      <x:c r="AA10" s="47" t="str">
        <x:v>Finance</x:v>
      </x:c>
      <x:c r="AB10" s="54" t="n">
        <x:v>46213</x:v>
      </x:c>
      <x:c r="AC10" s="54" t="n">
        <x:v>46112</x:v>
      </x:c>
      <x:c r="AD10" s="54" t="n">
        <x:v>46022</x:v>
      </x:c>
      <x:c r="AE10" s="47" t="str">
        <x:v>OK</x:v>
      </x:c>
    </x:row>
    <x:row r="11">
      <x:c r="A11" s="47" t="n">
        <x:f>IF(ISNUMBER(H11),1+COUNTIF($H$5:$H$121,"&gt;"&amp;H11),"")</x:f>
        <x:v>3</x:v>
      </x:c>
      <x:c r="B11" s="47" t="str">
        <x:v>TRV</x:v>
      </x:c>
      <x:c r="C11" s="47" t="str">
        <x:v>The Travelers Cos. Inc.</x:v>
      </x:c>
      <x:c r="D11" s="49" t="str">
        <x:v>Long</x:v>
      </x:c>
      <x:c r="E11" s="49" t="n">
        <x:v>0.004662</x:v>
      </x:c>
      <x:c r="F11" s="50" t="n">
        <x:v>0.3653732834408291</x:v>
      </x:c>
      <x:c r="G11" s="50" t="n">
        <x:v>0.07620243007834783</x:v>
      </x:c>
      <x:c r="H11" s="329" t="n">
        <x:f>IFERROR((IF(ISNUMBER(J11),J11*'Methodology'!$C$5,0)+IF(ISNUMBER(L11),L11*'Methodology'!$C$6,0)+IF(ISNUMBER(O11),O11*'Methodology'!$C$7,0)+IF(ISNUMBER(U11),U11*'Methodology'!$C$8,0)+IF(ISNUMBER(W11),W11*'Methodology'!$C$9,0)+IF(ISNUMBER(Y11),Y11*'Methodology'!$C$10,0))/(IF(ISNUMBER(J11),'Methodology'!$C$5,0)+IF(ISNUMBER(L11),'Methodology'!$C$6,0)+IF(ISNUMBER(O11),'Methodology'!$C$7,0)+IF(ISNUMBER(U11),'Methodology'!$C$8,0)+IF(ISNUMBER(W11),'Methodology'!$C$9,0)+IF(ISNUMBER(Y11),'Methodology'!$C$10,0)),"")</x:f>
        <x:v>7.892080482486029</x:v>
      </x:c>
      <x:c r="I11" s="47" t="n">
        <x:f>COUNT(J11,L11,O11,U11,W11,Y11)</x:f>
        <x:v>6</x:v>
      </x:c>
      <x:c r="J11" s="52" t="n">
        <x:v>8.913793103448276</x:v>
      </x:c>
      <x:c r="K11" s="47" t="n">
        <x:f>IF(ISNUMBER(J11),1+COUNTIF($J$5:$J$121,"&gt;"&amp;J11),"")</x:f>
        <x:v>15</x:v>
      </x:c>
      <x:c r="L11" s="52" t="n">
        <x:v>7.362252964426878</x:v>
      </x:c>
      <x:c r="M11" s="47" t="n">
        <x:f>IF(ISNUMBER(L11),1+COUNTIF($L$5:$L$121,"&gt;"&amp;L11),"")</x:f>
        <x:v>21</x:v>
      </x:c>
      <x:c r="N11" s="47" t="str">
        <x:v>SUE + CAR3</x:v>
      </x:c>
      <x:c r="O11" s="52" t="n">
        <x:f>IFERROR(INDEX('Analyst Revisions'!$K$5:$K$121,MATCH(B11,'Analyst Revisions'!$B$5:$B$121,0)),"")</x:f>
        <x:v>9.766</x:v>
      </x:c>
      <x:c r="P11" s="47" t="n">
        <x:f>IF(ISNUMBER(O11),1+COUNTIF($O$5:$O$121,"&gt;"&amp;O11),"")</x:f>
        <x:v>4</x:v>
      </x:c>
      <x:c r="Q11" s="50" t="n">
        <x:f>IFERROR(INDEX('Analyst Revisions'!$G$5:$G$121,MATCH(B11,'Analyst Revisions'!$B$5:$B$121,0)),"")</x:f>
        <x:v>6.80782</x:v>
      </x:c>
      <x:c r="R11" s="50" t="n">
        <x:f>IFERROR(INDEX('Analyst Revisions'!$H$5:$H$121,MATCH(B11,'Analyst Revisions'!$B$5:$B$121,0)),"")</x:f>
        <x:v>6.36583</x:v>
      </x:c>
      <x:c r="S11" s="317" t="n">
        <x:f>IFERROR(INDEX('Analyst Revisions'!$I$5:$I$121,MATCH(B11,'Analyst Revisions'!$B$5:$B$121,0)),"")</x:f>
        <x:v>0.069431637351296</x:v>
      </x:c>
      <x:c r="T11" s="47" t="str">
        <x:f>IFERROR(INDEX('Analyst Revisions'!$L$5:$L$121,MATCH(B11,'Analyst Revisions'!$B$5:$B$121,0)),"")</x:f>
        <x:v>OK</x:v>
      </x:c>
      <x:c r="U11" s="52" t="n">
        <x:v>7.75</x:v>
      </x:c>
      <x:c r="V11" s="47" t="n">
        <x:f>IF(ISNUMBER(U11),1+COUNTIF($U$5:$U$121,"&gt;"&amp;U11),"")</x:f>
        <x:v>25</x:v>
      </x:c>
      <x:c r="W11" s="52" t="n">
        <x:v>4.568965517241379</x:v>
      </x:c>
      <x:c r="X11" s="47" t="n">
        <x:f>IF(ISNUMBER(W11),1+COUNTIF($W$5:$W$121,"&gt;"&amp;W11),"")</x:f>
        <x:v>67</x:v>
      </x:c>
      <x:c r="Y11" s="52" t="n">
        <x:v>7.439655172413794</x:v>
      </x:c>
      <x:c r="Z11" s="47" t="n">
        <x:f>IF(ISNUMBER(Y11),1+COUNTIF($Y$5:$Y$121,"&gt;"&amp;Y11),"")</x:f>
        <x:v>34</x:v>
      </x:c>
      <x:c r="AA11" s="47" t="str">
        <x:v>Finance</x:v>
      </x:c>
      <x:c r="AB11" s="54" t="n">
        <x:v>46213</x:v>
      </x:c>
      <x:c r="AC11" s="54" t="n">
        <x:v>46112</x:v>
      </x:c>
      <x:c r="AD11" s="54" t="n">
        <x:v>46022</x:v>
      </x:c>
      <x:c r="AE11" s="47" t="str">
        <x:v>OK</x:v>
      </x:c>
    </x:row>
    <x:row r="12">
      <x:c r="A12" s="47" t="n">
        <x:f>IF(ISNUMBER(H12),1+COUNTIF($H$5:$H$121,"&gt;"&amp;H12),"")</x:f>
        <x:v>27</x:v>
      </x:c>
      <x:c r="B12" s="47" t="str">
        <x:v>CF</x:v>
      </x:c>
      <x:c r="C12" s="47" t="str">
        <x:v>CF Industries Holdings Inc.</x:v>
      </x:c>
      <x:c r="D12" s="49" t="str">
        <x:v>Long</x:v>
      </x:c>
      <x:c r="E12" s="49" t="n">
        <x:v>0.00382</x:v>
      </x:c>
      <x:c r="F12" s="50" t="n">
        <x:v>0.06281880491654097</x:v>
      </x:c>
      <x:c r="G12" s="50" t="n">
        <x:v>-0.08195653959004089</x:v>
      </x:c>
      <x:c r="H12" s="329" t="n">
        <x:f>IFERROR((IF(ISNUMBER(J12),J12*'Methodology'!$C$5,0)+IF(ISNUMBER(L12),L12*'Methodology'!$C$6,0)+IF(ISNUMBER(O12),O12*'Methodology'!$C$7,0)+IF(ISNUMBER(U12),U12*'Methodology'!$C$8,0)+IF(ISNUMBER(W12),W12*'Methodology'!$C$9,0)+IF(ISNUMBER(Y12),Y12*'Methodology'!$C$10,0))/(IF(ISNUMBER(J12),'Methodology'!$C$5,0)+IF(ISNUMBER(L12),'Methodology'!$C$6,0)+IF(ISNUMBER(O12),'Methodology'!$C$7,0)+IF(ISNUMBER(U12),'Methodology'!$C$8,0)+IF(ISNUMBER(W12),'Methodology'!$C$9,0)+IF(ISNUMBER(Y12),'Methodology'!$C$10,0)),"")</x:f>
        <x:v>6.4682821998091855</x:v>
      </x:c>
      <x:c r="I12" s="47" t="n">
        <x:f>COUNT(J12,L12,O12,U12,W12,Y12)</x:f>
        <x:v>6</x:v>
      </x:c>
      <x:c r="J12" s="52" t="n">
        <x:v>9.456896551724139</x:v>
      </x:c>
      <x:c r="K12" s="47" t="n">
        <x:f>IF(ISNUMBER(J12),1+COUNTIF($J$5:$J$121,"&gt;"&amp;J12),"")</x:f>
        <x:v>8</x:v>
      </x:c>
      <x:c r="L12" s="52" t="n">
        <x:v>6.159881422924902</x:v>
      </x:c>
      <x:c r="M12" s="47" t="n">
        <x:f>IF(ISNUMBER(L12),1+COUNTIF($L$5:$L$121,"&gt;"&amp;L12),"")</x:f>
        <x:v>41</x:v>
      </x:c>
      <x:c r="N12" s="47" t="str">
        <x:v>SUE + CAR3</x:v>
      </x:c>
      <x:c r="O12" s="52" t="n">
        <x:f>IFERROR(INDEX('Analyst Revisions'!$K$5:$K$121,MATCH(B12,'Analyst Revisions'!$B$5:$B$121,0)),"")</x:f>
        <x:v>1.387</x:v>
      </x:c>
      <x:c r="P12" s="47" t="n">
        <x:f>IF(ISNUMBER(O12),1+COUNTIF($O$5:$O$121,"&gt;"&amp;O12),"")</x:f>
        <x:v>110</x:v>
      </x:c>
      <x:c r="Q12" s="50" t="n">
        <x:f>IFERROR(INDEX('Analyst Revisions'!$G$5:$G$121,MATCH(B12,'Analyst Revisions'!$B$5:$B$121,0)),"")</x:f>
        <x:v>3.1895</x:v>
      </x:c>
      <x:c r="R12" s="50" t="n">
        <x:f>IFERROR(INDEX('Analyst Revisions'!$H$5:$H$121,MATCH(B12,'Analyst Revisions'!$B$5:$B$121,0)),"")</x:f>
        <x:v>4.43814</x:v>
      </x:c>
      <x:c r="S12" s="317" t="n">
        <x:f>IFERROR(INDEX('Analyst Revisions'!$I$5:$I$121,MATCH(B12,'Analyst Revisions'!$B$5:$B$121,0)),"")</x:f>
        <x:v>-0.2813430851663084</x:v>
      </x:c>
      <x:c r="T12" s="47" t="str">
        <x:f>IFERROR(INDEX('Analyst Revisions'!$L$5:$L$121,MATCH(B12,'Analyst Revisions'!$B$5:$B$121,0)),"")</x:f>
        <x:v>OK</x:v>
      </x:c>
      <x:c r="U12" s="52" t="n">
        <x:v>7.16284107946027</x:v>
      </x:c>
      <x:c r="V12" s="47" t="n">
        <x:f>IF(ISNUMBER(U12),1+COUNTIF($U$5:$U$121,"&gt;"&amp;U12),"")</x:f>
        <x:v>28</x:v>
      </x:c>
      <x:c r="W12" s="52" t="n">
        <x:v>4.919655172413792</x:v>
      </x:c>
      <x:c r="X12" s="47" t="n">
        <x:f>IF(ISNUMBER(W12),1+COUNTIF($W$5:$W$121,"&gt;"&amp;W12),"")</x:f>
        <x:v>62</x:v>
      </x:c>
      <x:c r="Y12" s="52" t="n">
        <x:v>8.913793103448276</x:v>
      </x:c>
      <x:c r="Z12" s="47" t="n">
        <x:f>IF(ISNUMBER(Y12),1+COUNTIF($Y$5:$Y$121,"&gt;"&amp;Y12),"")</x:f>
        <x:v>15</x:v>
      </x:c>
      <x:c r="AA12" s="47" t="str">
        <x:v>Industrials</x:v>
      </x:c>
      <x:c r="AB12" s="54" t="n">
        <x:v>46213</x:v>
      </x:c>
      <x:c r="AC12" s="54" t="n">
        <x:v>46112</x:v>
      </x:c>
      <x:c r="AD12" s="54" t="n">
        <x:v>46022</x:v>
      </x:c>
      <x:c r="AE12" s="47" t="str">
        <x:v>OK</x:v>
      </x:c>
    </x:row>
    <x:row r="13">
      <x:c r="A13" s="47" t="n">
        <x:f>IF(ISNUMBER(H13),1+COUNTIF($H$5:$H$121,"&gt;"&amp;H13),"")</x:f>
        <x:v>6</x:v>
      </x:c>
      <x:c r="B13" s="47" t="str">
        <x:v>AFL</x:v>
      </x:c>
      <x:c r="C13" s="47" t="str">
        <x:v>Aflac Inc.</x:v>
      </x:c>
      <x:c r="D13" s="49" t="str">
        <x:v>Long</x:v>
      </x:c>
      <x:c r="E13" s="49" t="n">
        <x:v>0.004193</x:v>
      </x:c>
      <x:c r="F13" s="50" t="n">
        <x:v>0.328714212645773</x:v>
      </x:c>
      <x:c r="G13" s="50" t="n">
        <x:v>0.16481188672578836</x:v>
      </x:c>
      <x:c r="H13" s="329" t="n">
        <x:f>IFERROR((IF(ISNUMBER(J13),J13*'Methodology'!$C$5,0)+IF(ISNUMBER(L13),L13*'Methodology'!$C$6,0)+IF(ISNUMBER(O13),O13*'Methodology'!$C$7,0)+IF(ISNUMBER(U13),U13*'Methodology'!$C$8,0)+IF(ISNUMBER(W13),W13*'Methodology'!$C$9,0)+IF(ISNUMBER(Y13),Y13*'Methodology'!$C$10,0))/(IF(ISNUMBER(J13),'Methodology'!$C$5,0)+IF(ISNUMBER(L13),'Methodology'!$C$6,0)+IF(ISNUMBER(O13),'Methodology'!$C$7,0)+IF(ISNUMBER(U13),'Methodology'!$C$8,0)+IF(ISNUMBER(W13),'Methodology'!$C$9,0)+IF(ISNUMBER(Y13),'Methodology'!$C$10,0)),"")</x:f>
        <x:v>7.4741115578574355</x:v>
      </x:c>
      <x:c r="I13" s="47" t="n">
        <x:f>COUNT(J13,L13,O13,U13,W13,Y13)</x:f>
        <x:v>6</x:v>
      </x:c>
      <x:c r="J13" s="52" t="n">
        <x:v>7.362068965517241</x:v>
      </x:c>
      <x:c r="K13" s="47" t="n">
        <x:f>IF(ISNUMBER(J13),1+COUNTIF($J$5:$J$121,"&gt;"&amp;J13),"")</x:f>
        <x:v>35</x:v>
      </x:c>
      <x:c r="L13" s="52" t="n">
        <x:v>6.124308300395256</x:v>
      </x:c>
      <x:c r="M13" s="47" t="n">
        <x:f>IF(ISNUMBER(L13),1+COUNTIF($L$5:$L$121,"&gt;"&amp;L13),"")</x:f>
        <x:v>45</x:v>
      </x:c>
      <x:c r="N13" s="47" t="str">
        <x:v>SUE + CAR3</x:v>
      </x:c>
      <x:c r="O13" s="52" t="n">
        <x:f>IFERROR(INDEX('Analyst Revisions'!$K$5:$K$121,MATCH(B13,'Analyst Revisions'!$B$5:$B$121,0)),"")</x:f>
        <x:v>7.822</x:v>
      </x:c>
      <x:c r="P13" s="47" t="n">
        <x:f>IF(ISNUMBER(O13),1+COUNTIF($O$5:$O$121,"&gt;"&amp;O13),"")</x:f>
        <x:v>29</x:v>
      </x:c>
      <x:c r="Q13" s="50" t="n">
        <x:f>IFERROR(INDEX('Analyst Revisions'!$G$5:$G$121,MATCH(B13,'Analyst Revisions'!$B$5:$B$121,0)),"")</x:f>
        <x:v>1.82196</x:v>
      </x:c>
      <x:c r="R13" s="50" t="n">
        <x:f>IFERROR(INDEX('Analyst Revisions'!$H$5:$H$121,MATCH(B13,'Analyst Revisions'!$B$5:$B$121,0)),"")</x:f>
        <x:v>1.79374</x:v>
      </x:c>
      <x:c r="S13" s="317" t="n">
        <x:f>IFERROR(INDEX('Analyst Revisions'!$I$5:$I$121,MATCH(B13,'Analyst Revisions'!$B$5:$B$121,0)),"")</x:f>
        <x:v>0.015732491888456598</x:v>
      </x:c>
      <x:c r="T13" s="47" t="str">
        <x:f>IFERROR(INDEX('Analyst Revisions'!$L$5:$L$121,MATCH(B13,'Analyst Revisions'!$B$5:$B$121,0)),"")</x:f>
        <x:v>OK</x:v>
      </x:c>
      <x:c r="U13" s="52" t="n">
        <x:v>7.2844827586206895</x:v>
      </x:c>
      <x:c r="V13" s="47" t="n">
        <x:f>IF(ISNUMBER(U13),1+COUNTIF($U$5:$U$121,"&gt;"&amp;U13),"")</x:f>
        <x:v>27</x:v>
      </x:c>
      <x:c r="W13" s="52" t="n">
        <x:v>9.224137931034482</x:v>
      </x:c>
      <x:c r="X13" s="47" t="n">
        <x:f>IF(ISNUMBER(W13),1+COUNTIF($W$5:$W$121,"&gt;"&amp;W13),"")</x:f>
        <x:v>3</x:v>
      </x:c>
      <x:c r="Y13" s="52" t="n">
        <x:v>8.681034482758621</x:v>
      </x:c>
      <x:c r="Z13" s="47" t="n">
        <x:f>IF(ISNUMBER(Y13),1+COUNTIF($Y$5:$Y$121,"&gt;"&amp;Y13),"")</x:f>
        <x:v>18</x:v>
      </x:c>
      <x:c r="AA13" s="47" t="str">
        <x:v>Finance</x:v>
      </x:c>
      <x:c r="AB13" s="54" t="n">
        <x:v>46213</x:v>
      </x:c>
      <x:c r="AC13" s="54" t="n">
        <x:v>46112</x:v>
      </x:c>
      <x:c r="AD13" s="54" t="n">
        <x:v>46022</x:v>
      </x:c>
      <x:c r="AE13" s="47" t="str">
        <x:v>OK</x:v>
      </x:c>
    </x:row>
    <x:row r="14">
      <x:c r="A14" s="47" t="n">
        <x:f>IF(ISNUMBER(H14),1+COUNTIF($H$5:$H$121,"&gt;"&amp;H14),"")</x:f>
        <x:v>22</x:v>
      </x:c>
      <x:c r="B14" s="47" t="str">
        <x:v>MKTX</x:v>
      </x:c>
      <x:c r="C14" s="47" t="str">
        <x:v>MarketAxess Holdings Inc.</x:v>
      </x:c>
      <x:c r="D14" s="49" t="str">
        <x:v>Long</x:v>
      </x:c>
      <x:c r="E14" s="49" t="n">
        <x:v>0.003328</x:v>
      </x:c>
      <x:c r="F14" s="50" t="n">
        <x:v>0.2501981189783589</x:v>
      </x:c>
      <x:c r="G14" s="50" t="n">
        <x:v>0.0022505783818832096</x:v>
      </x:c>
      <x:c r="H14" s="329" t="n">
        <x:f>IFERROR((IF(ISNUMBER(J14),J14*'Methodology'!$C$5,0)+IF(ISNUMBER(L14),L14*'Methodology'!$C$6,0)+IF(ISNUMBER(O14),O14*'Methodology'!$C$7,0)+IF(ISNUMBER(U14),U14*'Methodology'!$C$8,0)+IF(ISNUMBER(W14),W14*'Methodology'!$C$9,0)+IF(ISNUMBER(Y14),Y14*'Methodology'!$C$10,0))/(IF(ISNUMBER(J14),'Methodology'!$C$5,0)+IF(ISNUMBER(L14),'Methodology'!$C$6,0)+IF(ISNUMBER(O14),'Methodology'!$C$7,0)+IF(ISNUMBER(U14),'Methodology'!$C$8,0)+IF(ISNUMBER(W14),'Methodology'!$C$9,0)+IF(ISNUMBER(Y14),'Methodology'!$C$10,0)),"")</x:f>
        <x:v>6.631129889600655</x:v>
      </x:c>
      <x:c r="I14" s="47" t="n">
        <x:f>COUNT(J14,L14,O14,U14,W14,Y14)</x:f>
        <x:v>6</x:v>
      </x:c>
      <x:c r="J14" s="52" t="n">
        <x:v>8.99137931034483</x:v>
      </x:c>
      <x:c r="K14" s="47" t="n">
        <x:f>IF(ISNUMBER(J14),1+COUNTIF($J$5:$J$121,"&gt;"&amp;J14),"")</x:f>
        <x:v>14</x:v>
      </x:c>
      <x:c r="L14" s="52" t="n">
        <x:v>6.412450592885375</x:v>
      </x:c>
      <x:c r="M14" s="47" t="n">
        <x:f>IF(ISNUMBER(L14),1+COUNTIF($L$5:$L$121,"&gt;"&amp;L14),"")</x:f>
        <x:v>37</x:v>
      </x:c>
      <x:c r="N14" s="47" t="str">
        <x:v>SUE + CAR3</x:v>
      </x:c>
      <x:c r="O14" s="52" t="n">
        <x:f>IFERROR(INDEX('Analyst Revisions'!$K$5:$K$121,MATCH(B14,'Analyst Revisions'!$B$5:$B$121,0)),"")</x:f>
        <x:v>3.25</x:v>
      </x:c>
      <x:c r="P14" s="47" t="n">
        <x:f>IF(ISNUMBER(O14),1+COUNTIF($O$5:$O$121,"&gt;"&amp;O14),"")</x:f>
        <x:v>86</x:v>
      </x:c>
      <x:c r="Q14" s="50" t="n">
        <x:f>IFERROR(INDEX('Analyst Revisions'!$G$5:$G$121,MATCH(B14,'Analyst Revisions'!$B$5:$B$121,0)),"")</x:f>
        <x:v>1.96738</x:v>
      </x:c>
      <x:c r="R14" s="50" t="n">
        <x:f>IFERROR(INDEX('Analyst Revisions'!$H$5:$H$121,MATCH(B14,'Analyst Revisions'!$B$5:$B$121,0)),"")</x:f>
        <x:v>2.01392</x:v>
      </x:c>
      <x:c r="S14" s="317" t="n">
        <x:f>IFERROR(INDEX('Analyst Revisions'!$I$5:$I$121,MATCH(B14,'Analyst Revisions'!$B$5:$B$121,0)),"")</x:f>
        <x:v>-0.02310916024469703</x:v>
      </x:c>
      <x:c r="T14" s="47" t="str">
        <x:f>IFERROR(INDEX('Analyst Revisions'!$L$5:$L$121,MATCH(B14,'Analyst Revisions'!$B$5:$B$121,0)),"")</x:f>
        <x:v>OK</x:v>
      </x:c>
      <x:c r="U14" s="52" t="n">
        <x:v>6.353448275862069</x:v>
      </x:c>
      <x:c r="V14" s="47" t="n">
        <x:f>IF(ISNUMBER(U14),1+COUNTIF($U$5:$U$121,"&gt;"&amp;U14),"")</x:f>
        <x:v>38</x:v>
      </x:c>
      <x:c r="W14" s="52" t="n">
        <x:v>4.258620689655172</x:v>
      </x:c>
      <x:c r="X14" s="47" t="n">
        <x:f>IF(ISNUMBER(W14),1+COUNTIF($W$5:$W$121,"&gt;"&amp;W14),"")</x:f>
        <x:v>79</x:v>
      </x:c>
      <x:c r="Y14" s="52" t="n">
        <x:v>9.53448275862069</x:v>
      </x:c>
      <x:c r="Z14" s="47" t="n">
        <x:f>IF(ISNUMBER(Y14),1+COUNTIF($Y$5:$Y$121,"&gt;"&amp;Y14),"")</x:f>
        <x:v>7</x:v>
      </x:c>
      <x:c r="AA14" s="47" t="str">
        <x:v>Finance</x:v>
      </x:c>
      <x:c r="AB14" s="54" t="n">
        <x:v>46213</x:v>
      </x:c>
      <x:c r="AC14" s="54" t="n">
        <x:v>46112</x:v>
      </x:c>
      <x:c r="AD14" s="54" t="n">
        <x:v>46022</x:v>
      </x:c>
      <x:c r="AE14" s="47" t="str">
        <x:v>OK</x:v>
      </x:c>
    </x:row>
    <x:row r="15">
      <x:c r="A15" s="47" t="n">
        <x:f>IF(ISNUMBER(H15),1+COUNTIF($H$5:$H$121,"&gt;"&amp;H15),"")</x:f>
        <x:v>5</x:v>
      </x:c>
      <x:c r="B15" s="47" t="str">
        <x:v>FTI</x:v>
      </x:c>
      <x:c r="C15" s="47" t="str">
        <x:v>TechnipFMC PLC</x:v>
      </x:c>
      <x:c r="D15" s="49" t="str">
        <x:v>Short</x:v>
      </x:c>
      <x:c r="E15" s="49" t="n">
        <x:v>-0.003583</x:v>
      </x:c>
      <x:c r="F15" s="50" t="n">
        <x:v>0.34049164933344184</x:v>
      </x:c>
      <x:c r="G15" s="50" t="n">
        <x:v>-0.08781656685977221</x:v>
      </x:c>
      <x:c r="H15" s="329" t="n">
        <x:f>IFERROR((IF(ISNUMBER(J15),J15*'Methodology'!$C$5,0)+IF(ISNUMBER(L15),L15*'Methodology'!$C$6,0)+IF(ISNUMBER(O15),O15*'Methodology'!$C$7,0)+IF(ISNUMBER(U15),U15*'Methodology'!$C$8,0)+IF(ISNUMBER(W15),W15*'Methodology'!$C$9,0)+IF(ISNUMBER(Y15),Y15*'Methodology'!$C$10,0))/(IF(ISNUMBER(J15),'Methodology'!$C$5,0)+IF(ISNUMBER(L15),'Methodology'!$C$6,0)+IF(ISNUMBER(O15),'Methodology'!$C$7,0)+IF(ISNUMBER(U15),'Methodology'!$C$8,0)+IF(ISNUMBER(W15),'Methodology'!$C$9,0)+IF(ISNUMBER(Y15),'Methodology'!$C$10,0)),"")</x:f>
        <x:v>7.575827041024942</x:v>
      </x:c>
      <x:c r="I15" s="47" t="n">
        <x:f>COUNT(J15,L15,O15,U15,W15,Y15)</x:f>
        <x:v>6</x:v>
      </x:c>
      <x:c r="J15" s="52" t="n">
        <x:v>9.224137931034484</x:v>
      </x:c>
      <x:c r="K15" s="47" t="n">
        <x:f>IF(ISNUMBER(J15),1+COUNTIF($J$5:$J$121,"&gt;"&amp;J15),"")</x:f>
        <x:v>11</x:v>
      </x:c>
      <x:c r="L15" s="52" t="n">
        <x:v>6.979841897233201</x:v>
      </x:c>
      <x:c r="M15" s="47" t="n">
        <x:f>IF(ISNUMBER(L15),1+COUNTIF($L$5:$L$121,"&gt;"&amp;L15),"")</x:f>
        <x:v>25</x:v>
      </x:c>
      <x:c r="N15" s="47" t="str">
        <x:v>SUE + CAR3</x:v>
      </x:c>
      <x:c r="O15" s="52" t="n">
        <x:f>IFERROR(INDEX('Analyst Revisions'!$K$5:$K$121,MATCH(B15,'Analyst Revisions'!$B$5:$B$121,0)),"")</x:f>
        <x:v>9.064</x:v>
      </x:c>
      <x:c r="P15" s="47" t="n">
        <x:f>IF(ISNUMBER(O15),1+COUNTIF($O$5:$O$121,"&gt;"&amp;O15),"")</x:f>
        <x:v>13</x:v>
      </x:c>
      <x:c r="Q15" s="50" t="n">
        <x:f>IFERROR(INDEX('Analyst Revisions'!$G$5:$G$121,MATCH(B15,'Analyst Revisions'!$B$5:$B$121,0)),"")</x:f>
        <x:v>0.87386</x:v>
      </x:c>
      <x:c r="R15" s="50" t="n">
        <x:f>IFERROR(INDEX('Analyst Revisions'!$H$5:$H$121,MATCH(B15,'Analyst Revisions'!$B$5:$B$121,0)),"")</x:f>
        <x:v>0.84262</x:v>
      </x:c>
      <x:c r="S15" s="317" t="n">
        <x:f>IFERROR(INDEX('Analyst Revisions'!$I$5:$I$121,MATCH(B15,'Analyst Revisions'!$B$5:$B$121,0)),"")</x:f>
        <x:v>0.0370748380052692</x:v>
      </x:c>
      <x:c r="T15" s="47" t="str">
        <x:f>IFERROR(INDEX('Analyst Revisions'!$L$5:$L$121,MATCH(B15,'Analyst Revisions'!$B$5:$B$121,0)),"")</x:f>
        <x:v>OK</x:v>
      </x:c>
      <x:c r="U15" s="52" t="n">
        <x:v>4.4430059970014995</x:v>
      </x:c>
      <x:c r="V15" s="47" t="n">
        <x:f>IF(ISNUMBER(U15),1+COUNTIF($U$5:$U$121,"&gt;"&amp;U15),"")</x:f>
        <x:v>82</x:v>
      </x:c>
      <x:c r="W15" s="52" t="n">
        <x:v>6.477586206896552</x:v>
      </x:c>
      <x:c r="X15" s="47" t="n">
        <x:f>IF(ISNUMBER(W15),1+COUNTIF($W$5:$W$121,"&gt;"&amp;W15),"")</x:f>
        <x:v>32</x:v>
      </x:c>
      <x:c r="Y15" s="52" t="n">
        <x:v>7.206896551724139</x:v>
      </x:c>
      <x:c r="Z15" s="47" t="n">
        <x:f>IF(ISNUMBER(Y15),1+COUNTIF($Y$5:$Y$121,"&gt;"&amp;Y15),"")</x:f>
        <x:v>37</x:v>
      </x:c>
      <x:c r="AA15" s="47" t="str">
        <x:v>Consumer Discretionary</x:v>
      </x:c>
      <x:c r="AB15" s="54" t="n">
        <x:v>46213</x:v>
      </x:c>
      <x:c r="AC15" s="54" t="n">
        <x:v>46112</x:v>
      </x:c>
      <x:c r="AD15" s="54" t="n">
        <x:v>46022</x:v>
      </x:c>
      <x:c r="AE15" s="47" t="str">
        <x:v>OK</x:v>
      </x:c>
    </x:row>
    <x:row r="16">
      <x:c r="A16" s="47" t="n">
        <x:f>IF(ISNUMBER(H16),1+COUNTIF($H$5:$H$121,"&gt;"&amp;H16),"")</x:f>
        <x:v>39</x:v>
      </x:c>
      <x:c r="B16" s="47" t="str">
        <x:v>PPC</x:v>
      </x:c>
      <x:c r="C16" s="47" t="str">
        <x:v>Pilgrim's Pride Corp.</x:v>
      </x:c>
      <x:c r="D16" s="49" t="str">
        <x:v>Long</x:v>
      </x:c>
      <x:c r="E16" s="49" t="n">
        <x:v>0.003886</x:v>
      </x:c>
      <x:c r="F16" s="50" t="n">
        <x:v>-0.2612609556854732</x:v>
      </x:c>
      <x:c r="G16" s="50" t="n">
        <x:v>-0.1242459558289768</x:v>
      </x:c>
      <x:c r="H16" s="329" t="n">
        <x:f>IFERROR((IF(ISNUMBER(J16),J16*'Methodology'!$C$5,0)+IF(ISNUMBER(L16),L16*'Methodology'!$C$6,0)+IF(ISNUMBER(O16),O16*'Methodology'!$C$7,0)+IF(ISNUMBER(U16),U16*'Methodology'!$C$8,0)+IF(ISNUMBER(W16),W16*'Methodology'!$C$9,0)+IF(ISNUMBER(Y16),Y16*'Methodology'!$C$10,0))/(IF(ISNUMBER(J16),'Methodology'!$C$5,0)+IF(ISNUMBER(L16),'Methodology'!$C$6,0)+IF(ISNUMBER(O16),'Methodology'!$C$7,0)+IF(ISNUMBER(U16),'Methodology'!$C$8,0)+IF(ISNUMBER(W16),'Methodology'!$C$9,0)+IF(ISNUMBER(Y16),'Methodology'!$C$10,0)),"")</x:f>
        <x:v>6.136033460542455</x:v>
      </x:c>
      <x:c r="I16" s="47" t="n">
        <x:f>COUNT(J16,L16,O16,U16,W16,Y16)</x:f>
        <x:v>6</x:v>
      </x:c>
      <x:c r="J16" s="52" t="n">
        <x:v>9.922413793103448</x:v>
      </x:c>
      <x:c r="K16" s="47" t="n">
        <x:f>IF(ISNUMBER(J16),1+COUNTIF($J$5:$J$121,"&gt;"&amp;J16),"")</x:f>
        <x:v>2</x:v>
      </x:c>
      <x:c r="L16" s="52" t="n">
        <x:v>2.933399209486166</x:v>
      </x:c>
      <x:c r="M16" s="47" t="n">
        <x:f>IF(ISNUMBER(L16),1+COUNTIF($L$5:$L$121,"&gt;"&amp;L16),"")</x:f>
        <x:v>104</x:v>
      </x:c>
      <x:c r="N16" s="47" t="str">
        <x:v>SUE + CAR3</x:v>
      </x:c>
      <x:c r="O16" s="52" t="n">
        <x:f>IFERROR(INDEX('Analyst Revisions'!$K$5:$K$121,MATCH(B16,'Analyst Revisions'!$B$5:$B$121,0)),"")</x:f>
        <x:v>1.225</x:v>
      </x:c>
      <x:c r="P16" s="47" t="n">
        <x:f>IF(ISNUMBER(O16),1+COUNTIF($O$5:$O$121,"&gt;"&amp;O16),"")</x:f>
        <x:v>112</x:v>
      </x:c>
      <x:c r="Q16" s="50" t="n">
        <x:f>IFERROR(INDEX('Analyst Revisions'!$G$5:$G$121,MATCH(B16,'Analyst Revisions'!$B$5:$B$121,0)),"")</x:f>
        <x:v>0.7175</x:v>
      </x:c>
      <x:c r="R16" s="50" t="n">
        <x:f>IFERROR(INDEX('Analyst Revisions'!$H$5:$H$121,MATCH(B16,'Analyst Revisions'!$B$5:$B$121,0)),"")</x:f>
        <x:v>1.045</x:v>
      </x:c>
      <x:c r="S16" s="317" t="n">
        <x:f>IFERROR(INDEX('Analyst Revisions'!$I$5:$I$121,MATCH(B16,'Analyst Revisions'!$B$5:$B$121,0)),"")</x:f>
        <x:v>-0.3133971291866028</x:v>
      </x:c>
      <x:c r="T16" s="47" t="str">
        <x:f>IFERROR(INDEX('Analyst Revisions'!$L$5:$L$121,MATCH(B16,'Analyst Revisions'!$B$5:$B$121,0)),"")</x:f>
        <x:v>OK</x:v>
      </x:c>
      <x:c r="U16" s="52" t="n">
        <x:v>8.563980509745127</x:v>
      </x:c>
      <x:c r="V16" s="47" t="n">
        <x:f>IF(ISNUMBER(U16),1+COUNTIF($U$5:$U$121,"&gt;"&amp;U16),"")</x:f>
        <x:v>10</x:v>
      </x:c>
      <x:c r="W16" s="52" t="n">
        <x:v>5.897241379310344</x:v>
      </x:c>
      <x:c r="X16" s="47" t="n">
        <x:f>IF(ISNUMBER(W16),1+COUNTIF($W$5:$W$121,"&gt;"&amp;W16),"")</x:f>
        <x:v>45</x:v>
      </x:c>
      <x:c r="Y16" s="52" t="n">
        <x:v>10</x:v>
      </x:c>
      <x:c r="Z16" s="47" t="n">
        <x:f>IF(ISNUMBER(Y16),1+COUNTIF($Y$5:$Y$121,"&gt;"&amp;Y16),"")</x:f>
        <x:v>1</x:v>
      </x:c>
      <x:c r="AA16" s="47" t="str">
        <x:v>Consumer Staples</x:v>
      </x:c>
      <x:c r="AB16" s="54" t="n">
        <x:v>46213</x:v>
      </x:c>
      <x:c r="AC16" s="54" t="n">
        <x:v>46110</x:v>
      </x:c>
      <x:c r="AD16" s="54" t="n">
        <x:v>46019</x:v>
      </x:c>
      <x:c r="AE16" s="47" t="str">
        <x:v>OK</x:v>
      </x:c>
    </x:row>
    <x:row r="17">
      <x:c r="A17" s="47" t="n">
        <x:f>IF(ISNUMBER(H17),1+COUNTIF($H$5:$H$121,"&gt;"&amp;H17),"")</x:f>
        <x:v>31</x:v>
      </x:c>
      <x:c r="B17" s="47" t="str">
        <x:v>NYT</x:v>
      </x:c>
      <x:c r="C17" s="47" t="str">
        <x:v>The New York Times Co.</x:v>
      </x:c>
      <x:c r="D17" s="49" t="str">
        <x:v>Long</x:v>
      </x:c>
      <x:c r="E17" s="49" t="n">
        <x:v>0.003996</x:v>
      </x:c>
      <x:c r="F17" s="50" t="n">
        <x:v>0.13647740685504287</x:v>
      </x:c>
      <x:c r="G17" s="50" t="n">
        <x:v>-0.0835871115874492</x:v>
      </x:c>
      <x:c r="H17" s="329" t="n">
        <x:f>IFERROR((IF(ISNUMBER(J17),J17*'Methodology'!$C$5,0)+IF(ISNUMBER(L17),L17*'Methodology'!$C$6,0)+IF(ISNUMBER(O17),O17*'Methodology'!$C$7,0)+IF(ISNUMBER(U17),U17*'Methodology'!$C$8,0)+IF(ISNUMBER(W17),W17*'Methodology'!$C$9,0)+IF(ISNUMBER(Y17),Y17*'Methodology'!$C$10,0))/(IF(ISNUMBER(J17),'Methodology'!$C$5,0)+IF(ISNUMBER(L17),'Methodology'!$C$6,0)+IF(ISNUMBER(O17),'Methodology'!$C$7,0)+IF(ISNUMBER(U17),'Methodology'!$C$8,0)+IF(ISNUMBER(W17),'Methodology'!$C$9,0)+IF(ISNUMBER(Y17),'Methodology'!$C$10,0)),"")</x:f>
        <x:v>6.321973763118441</x:v>
      </x:c>
      <x:c r="I17" s="47" t="n">
        <x:f>COUNT(J17,L17,O17,U17,W17,Y17)</x:f>
        <x:v>6</x:v>
      </x:c>
      <x:c r="J17" s="52" t="n">
        <x:v>8.293103448275861</x:v>
      </x:c>
      <x:c r="K17" s="47" t="n">
        <x:f>IF(ISNUMBER(J17),1+COUNTIF($J$5:$J$121,"&gt;"&amp;J17),"")</x:f>
        <x:v>23</x:v>
      </x:c>
      <x:c r="L17" s="52" t="n">
        <x:v>8.747826086956522</x:v>
      </x:c>
      <x:c r="M17" s="47" t="n">
        <x:f>IF(ISNUMBER(L17),1+COUNTIF($L$5:$L$121,"&gt;"&amp;L17),"")</x:f>
        <x:v>7</x:v>
      </x:c>
      <x:c r="N17" s="47" t="str">
        <x:v>SUE + CAR3</x:v>
      </x:c>
      <x:c r="O17" s="52" t="n">
        <x:f>IFERROR(INDEX('Analyst Revisions'!$K$5:$K$121,MATCH(B17,'Analyst Revisions'!$B$5:$B$121,0)),"")</x:f>
        <x:v>2.467</x:v>
      </x:c>
      <x:c r="P17" s="47" t="n">
        <x:f>IF(ISNUMBER(O17),1+COUNTIF($O$5:$O$121,"&gt;"&amp;O17),"")</x:f>
        <x:v>96</x:v>
      </x:c>
      <x:c r="Q17" s="50" t="n">
        <x:f>IFERROR(INDEX('Analyst Revisions'!$G$5:$G$121,MATCH(B17,'Analyst Revisions'!$B$5:$B$121,0)),"")</x:f>
        <x:v>0.63958</x:v>
      </x:c>
      <x:c r="R17" s="50" t="n">
        <x:f>IFERROR(INDEX('Analyst Revisions'!$H$5:$H$121,MATCH(B17,'Analyst Revisions'!$B$5:$B$121,0)),"")</x:f>
        <x:v>0.6739</x:v>
      </x:c>
      <x:c r="S17" s="317" t="n">
        <x:f>IFERROR(INDEX('Analyst Revisions'!$I$5:$I$121,MATCH(B17,'Analyst Revisions'!$B$5:$B$121,0)),"")</x:f>
        <x:v>-0.05092743730523819</x:v>
      </x:c>
      <x:c r="T17" s="47" t="str">
        <x:f>IFERROR(INDEX('Analyst Revisions'!$L$5:$L$121,MATCH(B17,'Analyst Revisions'!$B$5:$B$121,0)),"")</x:f>
        <x:v>OK</x:v>
      </x:c>
      <x:c r="U17" s="52" t="n">
        <x:v>3.7698275862068966</x:v>
      </x:c>
      <x:c r="V17" s="47" t="n">
        <x:f>IF(ISNUMBER(U17),1+COUNTIF($U$5:$U$121,"&gt;"&amp;U17),"")</x:f>
        <x:v>93</x:v>
      </x:c>
      <x:c r="W17" s="52" t="n">
        <x:v>6.826724137931034</x:v>
      </x:c>
      <x:c r="X17" s="47" t="n">
        <x:f>IF(ISNUMBER(W17),1+COUNTIF($W$5:$W$121,"&gt;"&amp;W17),"")</x:f>
        <x:v>25</x:v>
      </x:c>
      <x:c r="Y17" s="52" t="n">
        <x:v>4.258620689655173</x:v>
      </x:c>
      <x:c r="Z17" s="47" t="n">
        <x:f>IF(ISNUMBER(Y17),1+COUNTIF($Y$5:$Y$121,"&gt;"&amp;Y17),"")</x:f>
        <x:v>75</x:v>
      </x:c>
      <x:c r="AA17" s="47" t="str">
        <x:v>Consumer Discretionary</x:v>
      </x:c>
      <x:c r="AB17" s="54" t="n">
        <x:v>46213</x:v>
      </x:c>
      <x:c r="AC17" s="54" t="n">
        <x:v>46112</x:v>
      </x:c>
      <x:c r="AD17" s="54" t="n">
        <x:v>46022</x:v>
      </x:c>
      <x:c r="AE17" s="47" t="str">
        <x:v>OK</x:v>
      </x:c>
    </x:row>
    <x:row r="18">
      <x:c r="A18" s="47" t="n">
        <x:f>IF(ISNUMBER(H18),1+COUNTIF($H$5:$H$121,"&gt;"&amp;H18),"")</x:f>
        <x:v>29</x:v>
      </x:c>
      <x:c r="B18" s="47" t="str">
        <x:v>EG</x:v>
      </x:c>
      <x:c r="C18" s="47" t="str">
        <x:v>Everest Group Ltd.</x:v>
      </x:c>
      <x:c r="D18" s="49" t="str">
        <x:v>Long</x:v>
      </x:c>
      <x:c r="E18" s="49" t="n">
        <x:v>0.003823</x:v>
      </x:c>
      <x:c r="F18" s="50" t="n">
        <x:v>0.04222716363000919</x:v>
      </x:c>
      <x:c r="G18" s="50" t="n">
        <x:v>-0.07710932241574243</x:v>
      </x:c>
      <x:c r="H18" s="329" t="n">
        <x:f>IFERROR((IF(ISNUMBER(J18),J18*'Methodology'!$C$5,0)+IF(ISNUMBER(L18),L18*'Methodology'!$C$6,0)+IF(ISNUMBER(O18),O18*'Methodology'!$C$7,0)+IF(ISNUMBER(U18),U18*'Methodology'!$C$8,0)+IF(ISNUMBER(W18),W18*'Methodology'!$C$9,0)+IF(ISNUMBER(Y18),Y18*'Methodology'!$C$10,0))/(IF(ISNUMBER(J18),'Methodology'!$C$5,0)+IF(ISNUMBER(L18),'Methodology'!$C$6,0)+IF(ISNUMBER(O18),'Methodology'!$C$7,0)+IF(ISNUMBER(U18),'Methodology'!$C$8,0)+IF(ISNUMBER(W18),'Methodology'!$C$9,0)+IF(ISNUMBER(Y18),'Methodology'!$C$10,0)),"")</x:f>
        <x:v>6.432566171459724</x:v>
      </x:c>
      <x:c r="I18" s="47" t="n">
        <x:f>COUNT(J18,L18,O18,U18,W18,Y18)</x:f>
        <x:v>6</x:v>
      </x:c>
      <x:c r="J18" s="52" t="n">
        <x:v>6.663793103448276</x:v>
      </x:c>
      <x:c r="K18" s="47" t="n">
        <x:f>IF(ISNUMBER(J18),1+COUNTIF($J$5:$J$121,"&gt;"&amp;J18),"")</x:f>
        <x:v>44</x:v>
      </x:c>
      <x:c r="L18" s="52" t="n">
        <x:v>7.292885375494071</x:v>
      </x:c>
      <x:c r="M18" s="47" t="n">
        <x:f>IF(ISNUMBER(L18),1+COUNTIF($L$5:$L$121,"&gt;"&amp;L18),"")</x:f>
        <x:v>22</x:v>
      </x:c>
      <x:c r="N18" s="47" t="str">
        <x:v>SUE + CAR3</x:v>
      </x:c>
      <x:c r="O18" s="52" t="n">
        <x:f>IFERROR(INDEX('Analyst Revisions'!$K$5:$K$121,MATCH(B18,'Analyst Revisions'!$B$5:$B$121,0)),"")</x:f>
        <x:v>3.169</x:v>
      </x:c>
      <x:c r="P18" s="47" t="n">
        <x:f>IF(ISNUMBER(O18),1+COUNTIF($O$5:$O$121,"&gt;"&amp;O18),"")</x:f>
        <x:v>87</x:v>
      </x:c>
      <x:c r="Q18" s="50" t="n">
        <x:f>IFERROR(INDEX('Analyst Revisions'!$G$5:$G$121,MATCH(B18,'Analyst Revisions'!$B$5:$B$121,0)),"")</x:f>
        <x:v>8.13645</x:v>
      </x:c>
      <x:c r="R18" s="50" t="n">
        <x:f>IFERROR(INDEX('Analyst Revisions'!$H$5:$H$121,MATCH(B18,'Analyst Revisions'!$B$5:$B$121,0)),"")</x:f>
        <x:v>8.33097</x:v>
      </x:c>
      <x:c r="S18" s="317" t="n">
        <x:f>IFERROR(INDEX('Analyst Revisions'!$I$5:$I$121,MATCH(B18,'Analyst Revisions'!$B$5:$B$121,0)),"")</x:f>
        <x:v>-0.023349021782577622</x:v>
      </x:c>
      <x:c r="T18" s="47" t="str">
        <x:f>IFERROR(INDEX('Analyst Revisions'!$L$5:$L$121,MATCH(B18,'Analyst Revisions'!$B$5:$B$121,0)),"")</x:f>
        <x:v>OK</x:v>
      </x:c>
      <x:c r="U18" s="52" t="n">
        <x:v>9.72844827586207</x:v>
      </x:c>
      <x:c r="V18" s="47" t="n">
        <x:f>IF(ISNUMBER(U18),1+COUNTIF($U$5:$U$121,"&gt;"&amp;U18),"")</x:f>
        <x:v>3</x:v>
      </x:c>
      <x:c r="W18" s="52" t="n">
        <x:v>3.25</x:v>
      </x:c>
      <x:c r="X18" s="47" t="n">
        <x:f>IF(ISNUMBER(W18),1+COUNTIF($W$5:$W$121,"&gt;"&amp;W18),"")</x:f>
        <x:v>96</x:v>
      </x:c>
      <x:c r="Y18" s="52" t="n">
        <x:v>8.75862068965517</x:v>
      </x:c>
      <x:c r="Z18" s="47" t="n">
        <x:f>IF(ISNUMBER(Y18),1+COUNTIF($Y$5:$Y$121,"&gt;"&amp;Y18),"")</x:f>
        <x:v>17</x:v>
      </x:c>
      <x:c r="AA18" s="47" t="str">
        <x:v>Finance</x:v>
      </x:c>
      <x:c r="AB18" s="54" t="n">
        <x:v>46213</x:v>
      </x:c>
      <x:c r="AC18" s="54" t="n">
        <x:v>46112</x:v>
      </x:c>
      <x:c r="AD18" s="54" t="n">
        <x:v>46022</x:v>
      </x:c>
      <x:c r="AE18" s="47" t="str">
        <x:v>OK</x:v>
      </x:c>
    </x:row>
    <x:row r="19">
      <x:c r="A19" s="47" t="n">
        <x:f>IF(ISNUMBER(H19),1+COUNTIF($H$5:$H$121,"&gt;"&amp;H19),"")</x:f>
        <x:v>24</x:v>
      </x:c>
      <x:c r="B19" s="47" t="str">
        <x:v>HIG</x:v>
      </x:c>
      <x:c r="C19" s="47" t="str">
        <x:v>The Hartford Insurance Group Inc.</x:v>
      </x:c>
      <x:c r="D19" s="49" t="str">
        <x:v>Long</x:v>
      </x:c>
      <x:c r="E19" s="49" t="n">
        <x:v>0.004057</x:v>
      </x:c>
      <x:c r="F19" s="50" t="n">
        <x:v>0.33558431649839665</x:v>
      </x:c>
      <x:c r="G19" s="50" t="n">
        <x:v>0.06299913447400146</x:v>
      </x:c>
      <x:c r="H19" s="329" t="n">
        <x:f>IFERROR((IF(ISNUMBER(J19),J19*'Methodology'!$C$5,0)+IF(ISNUMBER(L19),L19*'Methodology'!$C$6,0)+IF(ISNUMBER(O19),O19*'Methodology'!$C$7,0)+IF(ISNUMBER(U19),U19*'Methodology'!$C$8,0)+IF(ISNUMBER(W19),W19*'Methodology'!$C$9,0)+IF(ISNUMBER(Y19),Y19*'Methodology'!$C$10,0))/(IF(ISNUMBER(J19),'Methodology'!$C$5,0)+IF(ISNUMBER(L19),'Methodology'!$C$6,0)+IF(ISNUMBER(O19),'Methodology'!$C$7,0)+IF(ISNUMBER(U19),'Methodology'!$C$8,0)+IF(ISNUMBER(W19),'Methodology'!$C$9,0)+IF(ISNUMBER(Y19),'Methodology'!$C$10,0)),"")</x:f>
        <x:v>6.598824996592612</x:v>
      </x:c>
      <x:c r="I19" s="47" t="n">
        <x:f>COUNT(J19,L19,O19,U19,W19,Y19)</x:f>
        <x:v>6</x:v>
      </x:c>
      <x:c r="J19" s="52" t="n">
        <x:v>7.982758620689655</x:v>
      </x:c>
      <x:c r="K19" s="47" t="n">
        <x:f>IF(ISNUMBER(J19),1+COUNTIF($J$5:$J$121,"&gt;"&amp;J19),"")</x:f>
        <x:v>27</x:v>
      </x:c>
      <x:c r="L19" s="52" t="n">
        <x:v>6.053162055335968</x:v>
      </x:c>
      <x:c r="M19" s="47" t="n">
        <x:f>IF(ISNUMBER(L19),1+COUNTIF($L$5:$L$121,"&gt;"&amp;L19),"")</x:f>
        <x:v>49</x:v>
      </x:c>
      <x:c r="N19" s="47" t="str">
        <x:v>SUE + CAR3</x:v>
      </x:c>
      <x:c r="O19" s="52" t="n">
        <x:f>IFERROR(INDEX('Analyst Revisions'!$K$5:$K$121,MATCH(B19,'Analyst Revisions'!$B$5:$B$121,0)),"")</x:f>
        <x:v>4.177</x:v>
      </x:c>
      <x:c r="P19" s="47" t="n">
        <x:f>IF(ISNUMBER(O19),1+COUNTIF($O$5:$O$121,"&gt;"&amp;O19),"")</x:f>
        <x:v>74</x:v>
      </x:c>
      <x:c r="Q19" s="50" t="n">
        <x:f>IFERROR(INDEX('Analyst Revisions'!$G$5:$G$121,MATCH(B19,'Analyst Revisions'!$B$5:$B$121,0)),"")</x:f>
        <x:v>3.06153</x:v>
      </x:c>
      <x:c r="R19" s="50" t="n">
        <x:f>IFERROR(INDEX('Analyst Revisions'!$H$5:$H$121,MATCH(B19,'Analyst Revisions'!$B$5:$B$121,0)),"")</x:f>
        <x:v>3.10025</x:v>
      </x:c>
      <x:c r="S19" s="317" t="n">
        <x:f>IFERROR(INDEX('Analyst Revisions'!$I$5:$I$121,MATCH(B19,'Analyst Revisions'!$B$5:$B$121,0)),"")</x:f>
        <x:v>-0.012489315377792142</x:v>
      </x:c>
      <x:c r="T19" s="47" t="str">
        <x:f>IFERROR(INDEX('Analyst Revisions'!$L$5:$L$121,MATCH(B19,'Analyst Revisions'!$B$5:$B$121,0)),"")</x:f>
        <x:v>OK</x:v>
      </x:c>
      <x:c r="U19" s="52" t="n">
        <x:v>8.060344827586206</x:v>
      </x:c>
      <x:c r="V19" s="47" t="n">
        <x:f>IF(ISNUMBER(U19),1+COUNTIF($U$5:$U$121,"&gt;"&amp;U19),"")</x:f>
        <x:v>20</x:v>
      </x:c>
      <x:c r="W19" s="52" t="n">
        <x:v>5.655172413793103</x:v>
      </x:c>
      <x:c r="X19" s="47" t="n">
        <x:f>IF(ISNUMBER(W19),1+COUNTIF($W$5:$W$121,"&gt;"&amp;W19),"")</x:f>
        <x:v>48</x:v>
      </x:c>
      <x:c r="Y19" s="52" t="n">
        <x:v>7.827586206896552</x:v>
      </x:c>
      <x:c r="Z19" s="47" t="n">
        <x:f>IF(ISNUMBER(Y19),1+COUNTIF($Y$5:$Y$121,"&gt;"&amp;Y19),"")</x:f>
        <x:v>29</x:v>
      </x:c>
      <x:c r="AA19" s="47" t="str">
        <x:v>Finance</x:v>
      </x:c>
      <x:c r="AB19" s="54" t="n">
        <x:v>46213</x:v>
      </x:c>
      <x:c r="AC19" s="54" t="n">
        <x:v>46112</x:v>
      </x:c>
      <x:c r="AD19" s="54" t="n">
        <x:v>46022</x:v>
      </x:c>
      <x:c r="AE19" s="47" t="str">
        <x:v>OK</x:v>
      </x:c>
    </x:row>
    <x:row r="20">
      <x:c r="A20" s="47" t="n">
        <x:f>IF(ISNUMBER(H20),1+COUNTIF($H$5:$H$121,"&gt;"&amp;H20),"")</x:f>
        <x:v>9</x:v>
      </x:c>
      <x:c r="B20" s="47" t="str">
        <x:v>GD</x:v>
      </x:c>
      <x:c r="C20" s="47" t="str">
        <x:v>General Dynamics Corp.</x:v>
      </x:c>
      <x:c r="D20" s="49" t="str">
        <x:v>Long</x:v>
      </x:c>
      <x:c r="E20" s="49" t="n">
        <x:v>0.004515</x:v>
      </x:c>
      <x:c r="F20" s="50" t="n">
        <x:v>0.10481431251629507</x:v>
      </x:c>
      <x:c r="G20" s="50" t="n">
        <x:v>0.034009374445236884</x:v>
      </x:c>
      <x:c r="H20" s="329" t="n">
        <x:f>IFERROR((IF(ISNUMBER(J20),J20*'Methodology'!$C$5,0)+IF(ISNUMBER(L20),L20*'Methodology'!$C$6,0)+IF(ISNUMBER(O20),O20*'Methodology'!$C$7,0)+IF(ISNUMBER(U20),U20*'Methodology'!$C$8,0)+IF(ISNUMBER(W20),W20*'Methodology'!$C$9,0)+IF(ISNUMBER(Y20),Y20*'Methodology'!$C$10,0))/(IF(ISNUMBER(J20),'Methodology'!$C$5,0)+IF(ISNUMBER(L20),'Methodology'!$C$6,0)+IF(ISNUMBER(O20),'Methodology'!$C$7,0)+IF(ISNUMBER(U20),'Methodology'!$C$8,0)+IF(ISNUMBER(W20),'Methodology'!$C$9,0)+IF(ISNUMBER(Y20),'Methodology'!$C$10,0)),"")</x:f>
        <x:v>7.153814024805778</x:v>
      </x:c>
      <x:c r="I20" s="47" t="n">
        <x:f>COUNT(J20,L20,O20,U20,W20,Y20)</x:f>
        <x:v>6</x:v>
      </x:c>
      <x:c r="J20" s="52" t="n">
        <x:v>5.810344827586206</x:v>
      </x:c>
      <x:c r="K20" s="47" t="n">
        <x:f>IF(ISNUMBER(J20),1+COUNTIF($J$5:$J$121,"&gt;"&amp;J20),"")</x:f>
        <x:v>55</x:v>
      </x:c>
      <x:c r="L20" s="52" t="n">
        <x:v>9.598023715415021</x:v>
      </x:c>
      <x:c r="M20" s="47" t="n">
        <x:f>IF(ISNUMBER(L20),1+COUNTIF($L$5:$L$121,"&gt;"&amp;L20),"")</x:f>
        <x:v>2</x:v>
      </x:c>
      <x:c r="N20" s="47" t="str">
        <x:v>SUE + CAR3</x:v>
      </x:c>
      <x:c r="O20" s="52" t="n">
        <x:f>IFERROR(INDEX('Analyst Revisions'!$K$5:$K$121,MATCH(B20,'Analyst Revisions'!$B$5:$B$121,0)),"")</x:f>
        <x:v>7.9030000000000005</x:v>
      </x:c>
      <x:c r="P20" s="47" t="n">
        <x:f>IF(ISNUMBER(O20),1+COUNTIF($O$5:$O$121,"&gt;"&amp;O20),"")</x:f>
        <x:v>28</x:v>
      </x:c>
      <x:c r="Q20" s="50" t="n">
        <x:f>IFERROR(INDEX('Analyst Revisions'!$G$5:$G$121,MATCH(B20,'Analyst Revisions'!$B$5:$B$121,0)),"")</x:f>
        <x:v>4.13535</x:v>
      </x:c>
      <x:c r="R20" s="50" t="n">
        <x:f>IFERROR(INDEX('Analyst Revisions'!$H$5:$H$121,MATCH(B20,'Analyst Revisions'!$B$5:$B$121,0)),"")</x:f>
        <x:v>4.07078</x:v>
      </x:c>
      <x:c r="S20" s="317" t="n">
        <x:f>IFERROR(INDEX('Analyst Revisions'!$I$5:$I$121,MATCH(B20,'Analyst Revisions'!$B$5:$B$121,0)),"")</x:f>
        <x:v>0.015861825006509758</x:v>
      </x:c>
      <x:c r="T20" s="47" t="str">
        <x:f>IFERROR(INDEX('Analyst Revisions'!$L$5:$L$121,MATCH(B20,'Analyst Revisions'!$B$5:$B$121,0)),"")</x:f>
        <x:v>OK</x:v>
      </x:c>
      <x:c r="U20" s="52" t="n">
        <x:v>5.892721139430285</x:v>
      </x:c>
      <x:c r="V20" s="47" t="n">
        <x:f>IF(ISNUMBER(U20),1+COUNTIF($U$5:$U$121,"&gt;"&amp;U20),"")</x:f>
        <x:v>47</x:v>
      </x:c>
      <x:c r="W20" s="52" t="n">
        <x:v>7.011379310344829</x:v>
      </x:c>
      <x:c r="X20" s="47" t="n">
        <x:f>IF(ISNUMBER(W20),1+COUNTIF($W$5:$W$121,"&gt;"&amp;W20),"")</x:f>
        <x:v>22</x:v>
      </x:c>
      <x:c r="Y20" s="52" t="n">
        <x:v>4.956896551724138</x:v>
      </x:c>
      <x:c r="Z20" s="47" t="n">
        <x:f>IF(ISNUMBER(Y20),1+COUNTIF($Y$5:$Y$121,"&gt;"&amp;Y20),"")</x:f>
        <x:v>66</x:v>
      </x:c>
      <x:c r="AA20" s="47" t="str">
        <x:v>Industrials</x:v>
      </x:c>
      <x:c r="AB20" s="54" t="n">
        <x:v>46213</x:v>
      </x:c>
      <x:c r="AC20" s="54" t="n">
        <x:v>43830</x:v>
      </x:c>
      <x:c r="AD20" s="54" t="n">
        <x:v>46022</x:v>
      </x:c>
      <x:c r="AE20" s="47" t="str">
        <x:v>OK</x:v>
      </x:c>
    </x:row>
    <x:row r="21">
      <x:c r="A21" s="47" t="n">
        <x:f>IF(ISNUMBER(H21),1+COUNTIF($H$5:$H$121,"&gt;"&amp;H21),"")</x:f>
        <x:v>34</x:v>
      </x:c>
      <x:c r="B21" s="47" t="str">
        <x:v>SFM</x:v>
      </x:c>
      <x:c r="C21" s="47" t="str">
        <x:v>Sprouts Farmers Market Inc.</x:v>
      </x:c>
      <x:c r="D21" s="49" t="str">
        <x:v>Long</x:v>
      </x:c>
      <x:c r="E21" s="49" t="n">
        <x:v>0.003754</x:v>
      </x:c>
      <x:c r="F21" s="50" t="n">
        <x:v>0.31831153534311635</x:v>
      </x:c>
      <x:c r="G21" s="50" t="n">
        <x:v>0.14842046574174902</x:v>
      </x:c>
      <x:c r="H21" s="329" t="n">
        <x:f>IFERROR((IF(ISNUMBER(J21),J21*'Methodology'!$C$5,0)+IF(ISNUMBER(L21),L21*'Methodology'!$C$6,0)+IF(ISNUMBER(O21),O21*'Methodology'!$C$7,0)+IF(ISNUMBER(U21),U21*'Methodology'!$C$8,0)+IF(ISNUMBER(W21),W21*'Methodology'!$C$9,0)+IF(ISNUMBER(Y21),Y21*'Methodology'!$C$10,0))/(IF(ISNUMBER(J21),'Methodology'!$C$5,0)+IF(ISNUMBER(L21),'Methodology'!$C$6,0)+IF(ISNUMBER(O21),'Methodology'!$C$7,0)+IF(ISNUMBER(U21),'Methodology'!$C$8,0)+IF(ISNUMBER(W21),'Methodology'!$C$9,0)+IF(ISNUMBER(Y21),'Methodology'!$C$10,0)),"")</x:f>
        <x:v>6.23603053018945</x:v>
      </x:c>
      <x:c r="I21" s="47" t="n">
        <x:f>COUNT(J21,L21,O21,U21,W21,Y21)</x:f>
        <x:v>6</x:v>
      </x:c>
      <x:c r="J21" s="52" t="n">
        <x:v>9.301724137931034</x:v>
      </x:c>
      <x:c r="K21" s="47" t="n">
        <x:f>IF(ISNUMBER(J21),1+COUNTIF($J$5:$J$121,"&gt;"&amp;J21),"")</x:f>
        <x:v>10</x:v>
      </x:c>
      <x:c r="L21" s="52" t="n">
        <x:v>6.113636363636363</x:v>
      </x:c>
      <x:c r="M21" s="47" t="n">
        <x:f>IF(ISNUMBER(L21),1+COUNTIF($L$5:$L$121,"&gt;"&amp;L21),"")</x:f>
        <x:v>47</x:v>
      </x:c>
      <x:c r="N21" s="47" t="str">
        <x:v>SUE + CAR3</x:v>
      </x:c>
      <x:c r="O21" s="52" t="n">
        <x:f>IFERROR(INDEX('Analyst Revisions'!$K$5:$K$121,MATCH(B21,'Analyst Revisions'!$B$5:$B$121,0)),"")</x:f>
        <x:v>2.548</x:v>
      </x:c>
      <x:c r="P21" s="47" t="n">
        <x:f>IF(ISNUMBER(O21),1+COUNTIF($O$5:$O$121,"&gt;"&amp;O21),"")</x:f>
        <x:v>95</x:v>
      </x:c>
      <x:c r="Q21" s="50" t="n">
        <x:f>IFERROR(INDEX('Analyst Revisions'!$G$5:$G$121,MATCH(B21,'Analyst Revisions'!$B$5:$B$121,0)),"")</x:f>
        <x:v>1.23869</x:v>
      </x:c>
      <x:c r="R21" s="50" t="n">
        <x:f>IFERROR(INDEX('Analyst Revisions'!$H$5:$H$121,MATCH(B21,'Analyst Revisions'!$B$5:$B$121,0)),"")</x:f>
        <x:v>1.30289</x:v>
      </x:c>
      <x:c r="S21" s="317" t="n">
        <x:f>IFERROR(INDEX('Analyst Revisions'!$I$5:$I$121,MATCH(B21,'Analyst Revisions'!$B$5:$B$121,0)),"")</x:f>
        <x:v>-0.04927507310670896</x:v>
      </x:c>
      <x:c r="T21" s="47" t="str">
        <x:f>IFERROR(INDEX('Analyst Revisions'!$L$5:$L$121,MATCH(B21,'Analyst Revisions'!$B$5:$B$121,0)),"")</x:f>
        <x:v>OK</x:v>
      </x:c>
      <x:c r="U21" s="52" t="n">
        <x:v>6.5323688155922035</x:v>
      </x:c>
      <x:c r="V21" s="47" t="n">
        <x:f>IF(ISNUMBER(U21),1+COUNTIF($U$5:$U$121,"&gt;"&amp;U21),"")</x:f>
        <x:v>36</x:v>
      </x:c>
      <x:c r="W21" s="52" t="n">
        <x:v>2.5594827586206894</x:v>
      </x:c>
      <x:c r="X21" s="47" t="n">
        <x:f>IF(ISNUMBER(W21),1+COUNTIF($W$5:$W$121,"&gt;"&amp;W21),"")</x:f>
        <x:v>105</x:v>
      </x:c>
      <x:c r="Y21" s="52" t="n">
        <x:v>8.525862068965516</x:v>
      </x:c>
      <x:c r="Z21" s="47" t="n">
        <x:f>IF(ISNUMBER(Y21),1+COUNTIF($Y$5:$Y$121,"&gt;"&amp;Y21),"")</x:f>
        <x:v>20</x:v>
      </x:c>
      <x:c r="AA21" s="47" t="str">
        <x:v>Consumer Staples</x:v>
      </x:c>
      <x:c r="AB21" s="54" t="n">
        <x:v>46213</x:v>
      </x:c>
      <x:c r="AC21" s="54" t="n">
        <x:v>46110</x:v>
      </x:c>
      <x:c r="AD21" s="54" t="n">
        <x:v>46019</x:v>
      </x:c>
      <x:c r="AE21" s="47" t="str">
        <x:v>OK</x:v>
      </x:c>
    </x:row>
    <x:row r="22">
      <x:c r="A22" s="47" t="n">
        <x:f>IF(ISNUMBER(H22),1+COUNTIF($H$5:$H$121,"&gt;"&amp;H22),"")</x:f>
        <x:v>7</x:v>
      </x:c>
      <x:c r="B22" s="47" t="str">
        <x:v>THG</x:v>
      </x:c>
      <x:c r="C22" s="47" t="str">
        <x:v>The Hanover Insurance Group Inc.</x:v>
      </x:c>
      <x:c r="D22" s="49" t="str">
        <x:v>Long</x:v>
      </x:c>
      <x:c r="E22" s="49" t="n">
        <x:v>0.004416</x:v>
      </x:c>
      <x:c r="F22" s="50" t="n">
        <x:v>0.2606331626106742</x:v>
      </x:c>
      <x:c r="G22" s="50" t="n">
        <x:v>-0.01113446028315607</x:v>
      </x:c>
      <x:c r="H22" s="329" t="n">
        <x:f>IFERROR((IF(ISNUMBER(J22),J22*'Methodology'!$C$5,0)+IF(ISNUMBER(L22),L22*'Methodology'!$C$6,0)+IF(ISNUMBER(O22),O22*'Methodology'!$C$7,0)+IF(ISNUMBER(U22),U22*'Methodology'!$C$8,0)+IF(ISNUMBER(W22),W22*'Methodology'!$C$9,0)+IF(ISNUMBER(Y22),Y22*'Methodology'!$C$10,0))/(IF(ISNUMBER(J22),'Methodology'!$C$5,0)+IF(ISNUMBER(L22),'Methodology'!$C$6,0)+IF(ISNUMBER(O22),'Methodology'!$C$7,0)+IF(ISNUMBER(U22),'Methodology'!$C$8,0)+IF(ISNUMBER(W22),'Methodology'!$C$9,0)+IF(ISNUMBER(Y22),'Methodology'!$C$10,0)),"")</x:f>
        <x:v>7.410257257734768</x:v>
      </x:c>
      <x:c r="I22" s="47" t="n">
        <x:f>COUNT(J22,L22,O22,U22,W22,Y22)</x:f>
        <x:v>6</x:v>
      </x:c>
      <x:c r="J22" s="52" t="n">
        <x:v>7.2844827586206895</x:v>
      </x:c>
      <x:c r="K22" s="47" t="n">
        <x:f>IF(ISNUMBER(J22),1+COUNTIF($J$5:$J$121,"&gt;"&amp;J22),"")</x:f>
        <x:v>36</x:v>
      </x:c>
      <x:c r="L22" s="52" t="n">
        <x:v>8.514822134387352</x:v>
      </x:c>
      <x:c r="M22" s="47" t="n">
        <x:f>IF(ISNUMBER(L22),1+COUNTIF($L$5:$L$121,"&gt;"&amp;L22),"")</x:f>
        <x:v>9</x:v>
      </x:c>
      <x:c r="N22" s="47" t="str">
        <x:v>SUE + CAR3</x:v>
      </x:c>
      <x:c r="O22" s="52" t="n">
        <x:f>IFERROR(INDEX('Analyst Revisions'!$K$5:$K$121,MATCH(B22,'Analyst Revisions'!$B$5:$B$121,0)),"")</x:f>
        <x:v>9.685</x:v>
      </x:c>
      <x:c r="P22" s="47" t="n">
        <x:f>IF(ISNUMBER(O22),1+COUNTIF($O$5:$O$121,"&gt;"&amp;O22),"")</x:f>
        <x:v>5</x:v>
      </x:c>
      <x:c r="Q22" s="50" t="n">
        <x:f>IFERROR(INDEX('Analyst Revisions'!$G$5:$G$121,MATCH(B22,'Analyst Revisions'!$B$5:$B$121,0)),"")</x:f>
        <x:v>4.45714</x:v>
      </x:c>
      <x:c r="R22" s="50" t="n">
        <x:f>IFERROR(INDEX('Analyst Revisions'!$H$5:$H$121,MATCH(B22,'Analyst Revisions'!$B$5:$B$121,0)),"")</x:f>
        <x:v>4.17429</x:v>
      </x:c>
      <x:c r="S22" s="317" t="n">
        <x:f>IFERROR(INDEX('Analyst Revisions'!$I$5:$I$121,MATCH(B22,'Analyst Revisions'!$B$5:$B$121,0)),"")</x:f>
        <x:v>0.06776002625596204</x:v>
      </x:c>
      <x:c r="T22" s="47" t="str">
        <x:f>IFERROR(INDEX('Analyst Revisions'!$L$5:$L$121,MATCH(B22,'Analyst Revisions'!$B$5:$B$121,0)),"")</x:f>
        <x:v>OK</x:v>
      </x:c>
      <x:c r="U22" s="52" t="n">
        <x:v>7.788793103448276</x:v>
      </x:c>
      <x:c r="V22" s="47" t="n">
        <x:f>IF(ISNUMBER(U22),1+COUNTIF($U$5:$U$121,"&gt;"&amp;U22),"")</x:f>
        <x:v>24</x:v>
      </x:c>
      <x:c r="W22" s="52" t="n">
        <x:v>3.3275862068965516</x:v>
      </x:c>
      <x:c r="X22" s="47" t="n">
        <x:f>IF(ISNUMBER(W22),1+COUNTIF($W$5:$W$121,"&gt;"&amp;W22),"")</x:f>
        <x:v>93</x:v>
      </x:c>
      <x:c r="Y22" s="52" t="n">
        <x:v>5.5</x:v>
      </x:c>
      <x:c r="Z22" s="47" t="n">
        <x:f>IF(ISNUMBER(Y22),1+COUNTIF($Y$5:$Y$121,"&gt;"&amp;Y22),"")</x:f>
        <x:v>59</x:v>
      </x:c>
      <x:c r="AA22" s="47" t="str">
        <x:v>Finance</x:v>
      </x:c>
      <x:c r="AB22" s="54" t="n">
        <x:v>46213</x:v>
      </x:c>
      <x:c r="AC22" s="54" t="n">
        <x:v>46112</x:v>
      </x:c>
      <x:c r="AD22" s="54" t="n">
        <x:v>46022</x:v>
      </x:c>
      <x:c r="AE22" s="47" t="str">
        <x:v>OK</x:v>
      </x:c>
    </x:row>
    <x:row r="23">
      <x:c r="A23" s="47" t="n">
        <x:f>IF(ISNUMBER(H23),1+COUNTIF($H$5:$H$121,"&gt;"&amp;H23),"")</x:f>
        <x:v>23</x:v>
      </x:c>
      <x:c r="B23" s="47" t="str">
        <x:v>AIG</x:v>
      </x:c>
      <x:c r="C23" s="47" t="str">
        <x:v>American International Group Inc.</x:v>
      </x:c>
      <x:c r="D23" s="49" t="str">
        <x:v>Long</x:v>
      </x:c>
      <x:c r="E23" s="49" t="n">
        <x:v>0.004084</x:v>
      </x:c>
      <x:c r="F23" s="50" t="n">
        <x:v>0.12996000382650574</x:v>
      </x:c>
      <x:c r="G23" s="50" t="n">
        <x:v>-0.10806174081467458</x:v>
      </x:c>
      <x:c r="H23" s="329" t="n">
        <x:f>IFERROR((IF(ISNUMBER(J23),J23*'Methodology'!$C$5,0)+IF(ISNUMBER(L23),L23*'Methodology'!$C$6,0)+IF(ISNUMBER(O23),O23*'Methodology'!$C$7,0)+IF(ISNUMBER(U23),U23*'Methodology'!$C$8,0)+IF(ISNUMBER(W23),W23*'Methodology'!$C$9,0)+IF(ISNUMBER(Y23),Y23*'Methodology'!$C$10,0))/(IF(ISNUMBER(J23),'Methodology'!$C$5,0)+IF(ISNUMBER(L23),'Methodology'!$C$6,0)+IF(ISNUMBER(O23),'Methodology'!$C$7,0)+IF(ISNUMBER(U23),'Methodology'!$C$8,0)+IF(ISNUMBER(W23),'Methodology'!$C$9,0)+IF(ISNUMBER(Y23),'Methodology'!$C$10,0)),"")</x:f>
        <x:v>6.617624982963064</x:v>
      </x:c>
      <x:c r="I23" s="47" t="n">
        <x:f>COUNT(J23,L23,O23,U23,W23,Y23)</x:f>
        <x:v>6</x:v>
      </x:c>
      <x:c r="J23" s="52" t="n">
        <x:v>4.491379310344827</x:v>
      </x:c>
      <x:c r="K23" s="47" t="n">
        <x:f>IF(ISNUMBER(J23),1+COUNTIF($J$5:$J$121,"&gt;"&amp;J23),"")</x:f>
        <x:v>72</x:v>
      </x:c>
      <x:c r="L23" s="52" t="n">
        <x:v>6.465810276679842</x:v>
      </x:c>
      <x:c r="M23" s="47" t="n">
        <x:f>IF(ISNUMBER(L23),1+COUNTIF($L$5:$L$121,"&gt;"&amp;L23),"")</x:f>
        <x:v>36</x:v>
      </x:c>
      <x:c r="N23" s="47" t="str">
        <x:v>SUE + CAR3</x:v>
      </x:c>
      <x:c r="O23" s="52" t="n">
        <x:f>IFERROR(INDEX('Analyst Revisions'!$K$5:$K$121,MATCH(B23,'Analyst Revisions'!$B$5:$B$121,0)),"")</x:f>
        <x:v>4.9510000000000005</x:v>
      </x:c>
      <x:c r="P23" s="47" t="n">
        <x:f>IF(ISNUMBER(O23),1+COUNTIF($O$5:$O$121,"&gt;"&amp;O23),"")</x:f>
        <x:v>64</x:v>
      </x:c>
      <x:c r="Q23" s="50" t="n">
        <x:f>IFERROR(INDEX('Analyst Revisions'!$G$5:$G$121,MATCH(B23,'Analyst Revisions'!$B$5:$B$121,0)),"")</x:f>
        <x:v>1.8173</x:v>
      </x:c>
      <x:c r="R23" s="50" t="n">
        <x:f>IFERROR(INDEX('Analyst Revisions'!$H$5:$H$121,MATCH(B23,'Analyst Revisions'!$B$5:$B$121,0)),"")</x:f>
        <x:v>1.82927</x:v>
      </x:c>
      <x:c r="S23" s="317" t="n">
        <x:f>IFERROR(INDEX('Analyst Revisions'!$I$5:$I$121,MATCH(B23,'Analyst Revisions'!$B$5:$B$121,0)),"")</x:f>
        <x:v>-0.00654359389264572</x:v>
      </x:c>
      <x:c r="T23" s="47" t="str">
        <x:f>IFERROR(INDEX('Analyst Revisions'!$L$5:$L$121,MATCH(B23,'Analyst Revisions'!$B$5:$B$121,0)),"")</x:f>
        <x:v>OK</x:v>
      </x:c>
      <x:c r="U23" s="52" t="n">
        <x:v>8.875</x:v>
      </x:c>
      <x:c r="V23" s="47" t="n">
        <x:f>IF(ISNUMBER(U23),1+COUNTIF($U$5:$U$121,"&gt;"&amp;U23),"")</x:f>
        <x:v>8</x:v>
      </x:c>
      <x:c r="W23" s="52" t="n">
        <x:v>8.836206896551724</x:v>
      </x:c>
      <x:c r="X23" s="47" t="n">
        <x:f>IF(ISNUMBER(W23),1+COUNTIF($W$5:$W$121,"&gt;"&amp;W23),"")</x:f>
        <x:v>4</x:v>
      </x:c>
      <x:c r="Y23" s="52" t="n">
        <x:v>9.767241379310345</x:v>
      </x:c>
      <x:c r="Z23" s="47" t="n">
        <x:f>IF(ISNUMBER(Y23),1+COUNTIF($Y$5:$Y$121,"&gt;"&amp;Y23),"")</x:f>
        <x:v>4</x:v>
      </x:c>
      <x:c r="AA23" s="47" t="str">
        <x:v>Finance</x:v>
      </x:c>
      <x:c r="AB23" s="54" t="n">
        <x:v>46213</x:v>
      </x:c>
      <x:c r="AC23" s="54" t="n">
        <x:v>46112</x:v>
      </x:c>
      <x:c r="AD23" s="54" t="n">
        <x:v>46022</x:v>
      </x:c>
      <x:c r="AE23" s="47" t="str">
        <x:v>OK</x:v>
      </x:c>
    </x:row>
    <x:row r="24">
      <x:c r="A24" s="47" t="n">
        <x:f>IF(ISNUMBER(H24),1+COUNTIF($H$5:$H$121,"&gt;"&amp;H24),"")</x:f>
        <x:v>10</x:v>
      </x:c>
      <x:c r="B24" s="47" t="str">
        <x:v>RTX</x:v>
      </x:c>
      <x:c r="C24" s="47" t="str">
        <x:v>RTX Corp.</x:v>
      </x:c>
      <x:c r="D24" s="49" t="str">
        <x:v>Long</x:v>
      </x:c>
      <x:c r="E24" s="49" t="n">
        <x:v>0.00438</x:v>
      </x:c>
      <x:c r="F24" s="50" t="n">
        <x:v>0.29713149831694907</x:v>
      </x:c>
      <x:c r="G24" s="50" t="n">
        <x:v>0.06182903360399839</x:v>
      </x:c>
      <x:c r="H24" s="329" t="n">
        <x:f>IFERROR((IF(ISNUMBER(J24),J24*'Methodology'!$C$5,0)+IF(ISNUMBER(L24),L24*'Methodology'!$C$6,0)+IF(ISNUMBER(O24),O24*'Methodology'!$C$7,0)+IF(ISNUMBER(U24),U24*'Methodology'!$C$8,0)+IF(ISNUMBER(W24),W24*'Methodology'!$C$9,0)+IF(ISNUMBER(Y24),Y24*'Methodology'!$C$10,0))/(IF(ISNUMBER(J24),'Methodology'!$C$5,0)+IF(ISNUMBER(L24),'Methodology'!$C$6,0)+IF(ISNUMBER(O24),'Methodology'!$C$7,0)+IF(ISNUMBER(U24),'Methodology'!$C$8,0)+IF(ISNUMBER(W24),'Methodology'!$C$9,0)+IF(ISNUMBER(Y24),'Methodology'!$C$10,0)),"")</x:f>
        <x:v>7.110699809186316</x:v>
      </x:c>
      <x:c r="I24" s="47" t="n">
        <x:f>COUNT(J24,L24,O24,U24,W24,Y24)</x:f>
        <x:v>6</x:v>
      </x:c>
      <x:c r="J24" s="52" t="n">
        <x:v>9.844827586206897</x:v>
      </x:c>
      <x:c r="K24" s="47" t="n">
        <x:f>IF(ISNUMBER(J24),1+COUNTIF($J$5:$J$121,"&gt;"&amp;J24),"")</x:f>
        <x:v>3</x:v>
      </x:c>
      <x:c r="L24" s="52" t="n">
        <x:v>4.077075098814229</x:v>
      </x:c>
      <x:c r="M24" s="47" t="n">
        <x:f>IF(ISNUMBER(L24),1+COUNTIF($L$5:$L$121,"&gt;"&amp;L24),"")</x:f>
        <x:v>88</x:v>
      </x:c>
      <x:c r="N24" s="47" t="str">
        <x:v>SUE + CAR3</x:v>
      </x:c>
      <x:c r="O24" s="52" t="n">
        <x:f>IFERROR(INDEX('Analyst Revisions'!$K$5:$K$121,MATCH(B24,'Analyst Revisions'!$B$5:$B$121,0)),"")</x:f>
        <x:v>8.056000000000001</x:v>
      </x:c>
      <x:c r="P24" s="47" t="n">
        <x:f>IF(ISNUMBER(O24),1+COUNTIF($O$5:$O$121,"&gt;"&amp;O24),"")</x:f>
        <x:v>26</x:v>
      </x:c>
      <x:c r="Q24" s="50" t="n">
        <x:f>IFERROR(INDEX('Analyst Revisions'!$G$5:$G$121,MATCH(B24,'Analyst Revisions'!$B$5:$B$121,0)),"")</x:f>
        <x:v>1.76732</x:v>
      </x:c>
      <x:c r="R24" s="50" t="n">
        <x:f>IFERROR(INDEX('Analyst Revisions'!$H$5:$H$121,MATCH(B24,'Analyst Revisions'!$B$5:$B$121,0)),"")</x:f>
        <x:v>1.73017</x:v>
      </x:c>
      <x:c r="S24" s="317" t="n">
        <x:f>IFERROR(INDEX('Analyst Revisions'!$I$5:$I$121,MATCH(B24,'Analyst Revisions'!$B$5:$B$121,0)),"")</x:f>
        <x:v>0.021471878485929137</x:v>
      </x:c>
      <x:c r="T24" s="47" t="str">
        <x:f>IFERROR(INDEX('Analyst Revisions'!$L$5:$L$121,MATCH(B24,'Analyst Revisions'!$B$5:$B$121,0)),"")</x:f>
        <x:v>OK</x:v>
      </x:c>
      <x:c r="U24" s="52" t="n">
        <x:v>3.998706896551724</x:v>
      </x:c>
      <x:c r="V24" s="47" t="n">
        <x:f>IF(ISNUMBER(U24),1+COUNTIF($U$5:$U$121,"&gt;"&amp;U24),"")</x:f>
        <x:v>91</x:v>
      </x:c>
      <x:c r="W24" s="52" t="n">
        <x:v>6.7444827586206895</x:v>
      </x:c>
      <x:c r="X24" s="47" t="n">
        <x:f>IF(ISNUMBER(W24),1+COUNTIF($W$5:$W$121,"&gt;"&amp;W24),"")</x:f>
        <x:v>28</x:v>
      </x:c>
      <x:c r="Y24" s="52" t="n">
        <x:v>9.844827586206897</x:v>
      </x:c>
      <x:c r="Z24" s="47" t="n">
        <x:f>IF(ISNUMBER(Y24),1+COUNTIF($Y$5:$Y$121,"&gt;"&amp;Y24),"")</x:f>
        <x:v>3</x:v>
      </x:c>
      <x:c r="AA24" s="47" t="str">
        <x:v>Industrials</x:v>
      </x:c>
      <x:c r="AB24" s="54" t="n">
        <x:v>46213</x:v>
      </x:c>
      <x:c r="AC24" s="54" t="n">
        <x:v>46112</x:v>
      </x:c>
      <x:c r="AD24" s="54" t="n">
        <x:v>46022</x:v>
      </x:c>
      <x:c r="AE24" s="47" t="str">
        <x:v>OK</x:v>
      </x:c>
    </x:row>
    <x:row r="25">
      <x:c r="A25" s="47" t="n">
        <x:f>IF(ISNUMBER(H25),1+COUNTIF($H$5:$H$121,"&gt;"&amp;H25),"")</x:f>
        <x:v>15</x:v>
      </x:c>
      <x:c r="B25" s="47" t="str">
        <x:v>ACGL</x:v>
      </x:c>
      <x:c r="C25" s="47" t="str">
        <x:v>Arch Capital Group Ltd.</x:v>
      </x:c>
      <x:c r="D25" s="49" t="str">
        <x:v>Long</x:v>
      </x:c>
      <x:c r="E25" s="49" t="n">
        <x:v>0.004171</x:v>
      </x:c>
      <x:c r="F25" s="50" t="n">
        <x:v>-0.060329701783588305</x:v>
      </x:c>
      <x:c r="G25" s="50" t="n">
        <x:v>-0.0601623252097205</x:v>
      </x:c>
      <x:c r="H25" s="329" t="n">
        <x:f>IFERROR((IF(ISNUMBER(J25),J25*'Methodology'!$C$5,0)+IF(ISNUMBER(L25),L25*'Methodology'!$C$6,0)+IF(ISNUMBER(O25),O25*'Methodology'!$C$7,0)+IF(ISNUMBER(U25),U25*'Methodology'!$C$8,0)+IF(ISNUMBER(W25),W25*'Methodology'!$C$9,0)+IF(ISNUMBER(Y25),Y25*'Methodology'!$C$10,0))/(IF(ISNUMBER(J25),'Methodology'!$C$5,0)+IF(ISNUMBER(L25),'Methodology'!$C$6,0)+IF(ISNUMBER(O25),'Methodology'!$C$7,0)+IF(ISNUMBER(U25),'Methodology'!$C$8,0)+IF(ISNUMBER(W25),'Methodology'!$C$9,0)+IF(ISNUMBER(Y25),'Methodology'!$C$10,0)),"")</x:f>
        <x:v>6.825768842851302</x:v>
      </x:c>
      <x:c r="I25" s="47" t="n">
        <x:f>COUNT(J25,L25,O25,U25,W25,Y25)</x:f>
        <x:v>6</x:v>
      </x:c>
      <x:c r="J25" s="52" t="n">
        <x:v>8.60344827586207</x:v>
      </x:c>
      <x:c r="K25" s="47" t="n">
        <x:f>IF(ISNUMBER(J25),1+COUNTIF($J$5:$J$121,"&gt;"&amp;J25),"")</x:f>
        <x:v>19</x:v>
      </x:c>
      <x:c r="L25" s="52" t="n">
        <x:v>5.613833992094861</x:v>
      </x:c>
      <x:c r="M25" s="47" t="n">
        <x:f>IF(ISNUMBER(L25),1+COUNTIF($L$5:$L$121,"&gt;"&amp;L25),"")</x:f>
        <x:v>62</x:v>
      </x:c>
      <x:c r="N25" s="47" t="str">
        <x:v>SUE + CAR3</x:v>
      </x:c>
      <x:c r="O25" s="52" t="n">
        <x:f>IFERROR(INDEX('Analyst Revisions'!$K$5:$K$121,MATCH(B25,'Analyst Revisions'!$B$5:$B$121,0)),"")</x:f>
        <x:v>6.508</x:v>
      </x:c>
      <x:c r="P25" s="47" t="n">
        <x:f>IF(ISNUMBER(O25),1+COUNTIF($O$5:$O$121,"&gt;"&amp;O25),"")</x:f>
        <x:v>46</x:v>
      </x:c>
      <x:c r="Q25" s="50" t="n">
        <x:f>IFERROR(INDEX('Analyst Revisions'!$G$5:$G$121,MATCH(B25,'Analyst Revisions'!$B$5:$B$121,0)),"")</x:f>
        <x:v>1.84167</x:v>
      </x:c>
      <x:c r="R25" s="50" t="n">
        <x:f>IFERROR(INDEX('Analyst Revisions'!$H$5:$H$121,MATCH(B25,'Analyst Revisions'!$B$5:$B$121,0)),"")</x:f>
        <x:v>1.84103</x:v>
      </x:c>
      <x:c r="S25" s="317" t="n">
        <x:f>IFERROR(INDEX('Analyst Revisions'!$I$5:$I$121,MATCH(B25,'Analyst Revisions'!$B$5:$B$121,0)),"")</x:f>
        <x:v>0.0003476314888947893</x:v>
      </x:c>
      <x:c r="T25" s="47" t="str">
        <x:f>IFERROR(INDEX('Analyst Revisions'!$L$5:$L$121,MATCH(B25,'Analyst Revisions'!$B$5:$B$121,0)),"")</x:f>
        <x:v>OK</x:v>
      </x:c>
      <x:c r="U25" s="52" t="n">
        <x:v>9.224137931034482</x:v>
      </x:c>
      <x:c r="V25" s="47" t="n">
        <x:f>IF(ISNUMBER(U25),1+COUNTIF($U$5:$U$121,"&gt;"&amp;U25),"")</x:f>
        <x:v>6</x:v>
      </x:c>
      <x:c r="W25" s="52" t="n">
        <x:v>2.9396551724137936</x:v>
      </x:c>
      <x:c r="X25" s="47" t="n">
        <x:f>IF(ISNUMBER(W25),1+COUNTIF($W$5:$W$121,"&gt;"&amp;W25),"")</x:f>
        <x:v>99</x:v>
      </x:c>
      <x:c r="Y25" s="52" t="n">
        <x:v>7.517241379310345</x:v>
      </x:c>
      <x:c r="Z25" s="47" t="n">
        <x:f>IF(ISNUMBER(Y25),1+COUNTIF($Y$5:$Y$121,"&gt;"&amp;Y25),"")</x:f>
        <x:v>33</x:v>
      </x:c>
      <x:c r="AA25" s="47" t="str">
        <x:v>Finance</x:v>
      </x:c>
      <x:c r="AB25" s="54" t="n">
        <x:v>46213</x:v>
      </x:c>
      <x:c r="AC25" s="54" t="n">
        <x:v>46112</x:v>
      </x:c>
      <x:c r="AD25" s="54" t="n">
        <x:v>46022</x:v>
      </x:c>
      <x:c r="AE25" s="47" t="str">
        <x:v>OK</x:v>
      </x:c>
    </x:row>
    <x:row r="26">
      <x:c r="A26" s="47" t="n">
        <x:f>IF(ISNUMBER(H26),1+COUNTIF($H$5:$H$121,"&gt;"&amp;H26),"")</x:f>
        <x:v>13</x:v>
      </x:c>
      <x:c r="B26" s="47" t="str">
        <x:v>DOX</x:v>
      </x:c>
      <x:c r="C26" s="47" t="str">
        <x:v>Amdocs Ltd.</x:v>
      </x:c>
      <x:c r="D26" s="49" t="str">
        <x:v>Long</x:v>
      </x:c>
      <x:c r="E26" s="49" t="n">
        <x:v>0.003303</x:v>
      </x:c>
      <x:c r="F26" s="50" t="n">
        <x:v>0.35228648369974686</x:v>
      </x:c>
      <x:c r="G26" s="50" t="n">
        <x:v>0.10773295420929727</x:v>
      </x:c>
      <x:c r="H26" s="329" t="n">
        <x:f>IFERROR((IF(ISNUMBER(J26),J26*'Methodology'!$C$5,0)+IF(ISNUMBER(L26),L26*'Methodology'!$C$6,0)+IF(ISNUMBER(O26),O26*'Methodology'!$C$7,0)+IF(ISNUMBER(U26),U26*'Methodology'!$C$8,0)+IF(ISNUMBER(W26),W26*'Methodology'!$C$9,0)+IF(ISNUMBER(Y26),Y26*'Methodology'!$C$10,0))/(IF(ISNUMBER(J26),'Methodology'!$C$5,0)+IF(ISNUMBER(L26),'Methodology'!$C$6,0)+IF(ISNUMBER(O26),'Methodology'!$C$7,0)+IF(ISNUMBER(U26),'Methodology'!$C$8,0)+IF(ISNUMBER(W26),'Methodology'!$C$9,0)+IF(ISNUMBER(Y26),'Methodology'!$C$10,0)),"")</x:f>
        <x:v>6.9172646176911545</x:v>
      </x:c>
      <x:c r="I26" s="47" t="n">
        <x:f>COUNT(J26,L26,O26,U26,W26,Y26)</x:f>
        <x:v>6</x:v>
      </x:c>
      <x:c r="J26" s="52" t="n">
        <x:v>6.198275862068965</x:v>
      </x:c>
      <x:c r="K26" s="47" t="n">
        <x:f>IF(ISNUMBER(J26),1+COUNTIF($J$5:$J$121,"&gt;"&amp;J26),"")</x:f>
        <x:v>50</x:v>
      </x:c>
      <x:c r="L26" s="52" t="n">
        <x:v>5.22608695652174</x:v>
      </x:c>
      <x:c r="M26" s="47" t="n">
        <x:f>IF(ISNUMBER(L26),1+COUNTIF($L$5:$L$121,"&gt;"&amp;L26),"")</x:f>
        <x:v>69</x:v>
      </x:c>
      <x:c r="N26" s="47" t="str">
        <x:v>CAR3 only</x:v>
      </x:c>
      <x:c r="O26" s="52" t="n">
        <x:f>IFERROR(INDEX('Analyst Revisions'!$K$5:$K$121,MATCH(B26,'Analyst Revisions'!$B$5:$B$121,0)),"")</x:f>
        <x:v>7.1290000000000004</x:v>
      </x:c>
      <x:c r="P26" s="47" t="n">
        <x:f>IF(ISNUMBER(O26),1+COUNTIF($O$5:$O$121,"&gt;"&amp;O26),"")</x:f>
        <x:v>38</x:v>
      </x:c>
      <x:c r="Q26" s="50" t="n">
        <x:f>IFERROR(INDEX('Analyst Revisions'!$G$5:$G$121,MATCH(B26,'Analyst Revisions'!$B$5:$B$121,0)),"")</x:f>
        <x:v>1.978</x:v>
      </x:c>
      <x:c r="R26" s="50" t="n">
        <x:f>IFERROR(INDEX('Analyst Revisions'!$H$5:$H$121,MATCH(B26,'Analyst Revisions'!$B$5:$B$121,0)),"")</x:f>
        <x:v>1.9675</x:v>
      </x:c>
      <x:c r="S26" s="317" t="n">
        <x:f>IFERROR(INDEX('Analyst Revisions'!$I$5:$I$121,MATCH(B26,'Analyst Revisions'!$B$5:$B$121,0)),"")</x:f>
        <x:v>0.0053367217280812975</x:v>
      </x:c>
      <x:c r="T26" s="47" t="str">
        <x:f>IFERROR(INDEX('Analyst Revisions'!$L$5:$L$121,MATCH(B26,'Analyst Revisions'!$B$5:$B$121,0)),"")</x:f>
        <x:v>OK</x:v>
      </x:c>
      <x:c r="U26" s="52" t="n">
        <x:v>8.420513493253374</x:v>
      </x:c>
      <x:c r="V26" s="47" t="n">
        <x:f>IF(ISNUMBER(U26),1+COUNTIF($U$5:$U$121,"&gt;"&amp;U26),"")</x:f>
        <x:v>13</x:v>
      </x:c>
      <x:c r="W26" s="52" t="n">
        <x:v>7.82448275862069</x:v>
      </x:c>
      <x:c r="X26" s="47" t="n">
        <x:f>IF(ISNUMBER(W26),1+COUNTIF($W$5:$W$121,"&gt;"&amp;W26),"")</x:f>
        <x:v>15</x:v>
      </x:c>
      <x:c r="Y26" s="52" t="n">
        <x:v>9.612068965517242</x:v>
      </x:c>
      <x:c r="Z26" s="47" t="n">
        <x:f>IF(ISNUMBER(Y26),1+COUNTIF($Y$5:$Y$121,"&gt;"&amp;Y26),"")</x:f>
        <x:v>6</x:v>
      </x:c>
      <x:c r="AA26" s="47" t="str">
        <x:v>Technology</x:v>
      </x:c>
      <x:c r="AB26" s="54" t="n">
        <x:v>46213</x:v>
      </x:c>
      <x:c r="AC26" s="54"/>
      <x:c r="AD26" s="54" t="n">
        <x:v>45565</x:v>
      </x:c>
      <x:c r="AE26" s="47" t="str">
        <x:v>OK</x:v>
      </x:c>
    </x:row>
    <x:row r="27">
      <x:c r="A27" s="47" t="n">
        <x:f>IF(ISNUMBER(H27),1+COUNTIF($H$5:$H$121,"&gt;"&amp;H27),"")</x:f>
        <x:v>26</x:v>
      </x:c>
      <x:c r="B27" s="47" t="str">
        <x:v>VZ</x:v>
      </x:c>
      <x:c r="C27" s="47" t="str">
        <x:v>Verizon Communications Inc.</x:v>
      </x:c>
      <x:c r="D27" s="49" t="str">
        <x:v>Long</x:v>
      </x:c>
      <x:c r="E27" s="49" t="n">
        <x:v>0.003477</x:v>
      </x:c>
      <x:c r="F27" s="50" t="n">
        <x:v>0.006982987901506233</x:v>
      </x:c>
      <x:c r="G27" s="50" t="n">
        <x:v>-0.03572572732825695</x:v>
      </x:c>
      <x:c r="H27" s="329" t="n">
        <x:f>IFERROR((IF(ISNUMBER(J27),J27*'Methodology'!$C$5,0)+IF(ISNUMBER(L27),L27*'Methodology'!$C$6,0)+IF(ISNUMBER(O27),O27*'Methodology'!$C$7,0)+IF(ISNUMBER(U27),U27*'Methodology'!$C$8,0)+IF(ISNUMBER(W27),W27*'Methodology'!$C$9,0)+IF(ISNUMBER(Y27),Y27*'Methodology'!$C$10,0))/(IF(ISNUMBER(J27),'Methodology'!$C$5,0)+IF(ISNUMBER(L27),'Methodology'!$C$6,0)+IF(ISNUMBER(O27),'Methodology'!$C$7,0)+IF(ISNUMBER(U27),'Methodology'!$C$8,0)+IF(ISNUMBER(W27),'Methodology'!$C$9,0)+IF(ISNUMBER(Y27),'Methodology'!$C$10,0)),"")</x:f>
        <x:v>6.516511653264276</x:v>
      </x:c>
      <x:c r="I27" s="47" t="n">
        <x:f>COUNT(J27,L27,O27,U27,W27,Y27)</x:f>
        <x:v>6</x:v>
      </x:c>
      <x:c r="J27" s="52" t="n">
        <x:v>7.672413793103448</x:v>
      </x:c>
      <x:c r="K27" s="47" t="n">
        <x:f>IF(ISNUMBER(J27),1+COUNTIF($J$5:$J$121,"&gt;"&amp;J27),"")</x:f>
        <x:v>31</x:v>
      </x:c>
      <x:c r="L27" s="52" t="n">
        <x:v>5.368379446640316</x:v>
      </x:c>
      <x:c r="M27" s="47" t="n">
        <x:f>IF(ISNUMBER(L27),1+COUNTIF($L$5:$L$121,"&gt;"&amp;L27),"")</x:f>
        <x:v>66</x:v>
      </x:c>
      <x:c r="N27" s="47" t="str">
        <x:v>SUE + CAR3</x:v>
      </x:c>
      <x:c r="O27" s="52" t="n">
        <x:f>IFERROR(INDEX('Analyst Revisions'!$K$5:$K$121,MATCH(B27,'Analyst Revisions'!$B$5:$B$121,0)),"")</x:f>
        <x:v>4.798</x:v>
      </x:c>
      <x:c r="P27" s="47" t="n">
        <x:f>IF(ISNUMBER(O27),1+COUNTIF($O$5:$O$121,"&gt;"&amp;O27),"")</x:f>
        <x:v>66</x:v>
      </x:c>
      <x:c r="Q27" s="50" t="n">
        <x:f>IFERROR(INDEX('Analyst Revisions'!$G$5:$G$121,MATCH(B27,'Analyst Revisions'!$B$5:$B$121,0)),"")</x:f>
        <x:v>1.28508</x:v>
      </x:c>
      <x:c r="R27" s="50" t="n">
        <x:f>IFERROR(INDEX('Analyst Revisions'!$H$5:$H$121,MATCH(B27,'Analyst Revisions'!$B$5:$B$121,0)),"")</x:f>
        <x:v>1.29526</x:v>
      </x:c>
      <x:c r="S27" s="317" t="n">
        <x:f>IFERROR(INDEX('Analyst Revisions'!$I$5:$I$121,MATCH(B27,'Analyst Revisions'!$B$5:$B$121,0)),"")</x:f>
        <x:v>-0.007859425906767813</x:v>
      </x:c>
      <x:c r="T27" s="47" t="str">
        <x:f>IFERROR(INDEX('Analyst Revisions'!$L$5:$L$121,MATCH(B27,'Analyst Revisions'!$B$5:$B$121,0)),"")</x:f>
        <x:v>OK</x:v>
      </x:c>
      <x:c r="U27" s="52" t="n">
        <x:v>8.423785607196402</x:v>
      </x:c>
      <x:c r="V27" s="47" t="n">
        <x:f>IF(ISNUMBER(U27),1+COUNTIF($U$5:$U$121,"&gt;"&amp;U27),"")</x:f>
        <x:v>12</x:v>
      </x:c>
      <x:c r="W27" s="52" t="n">
        <x:v>5.625689655172414</x:v>
      </x:c>
      <x:c r="X27" s="47" t="n">
        <x:f>IF(ISNUMBER(W27),1+COUNTIF($W$5:$W$121,"&gt;"&amp;W27),"")</x:f>
        <x:v>49</x:v>
      </x:c>
      <x:c r="Y27" s="52" t="n">
        <x:v>8.060344827586206</x:v>
      </x:c>
      <x:c r="Z27" s="47" t="n">
        <x:f>IF(ISNUMBER(Y27),1+COUNTIF($Y$5:$Y$121,"&gt;"&amp;Y27),"")</x:f>
        <x:v>26</x:v>
      </x:c>
      <x:c r="AA27" s="47" t="str">
        <x:v>Telecommunications</x:v>
      </x:c>
      <x:c r="AB27" s="54" t="n">
        <x:v>46213</x:v>
      </x:c>
      <x:c r="AC27" s="54" t="n">
        <x:v>46112</x:v>
      </x:c>
      <x:c r="AD27" s="54" t="n">
        <x:v>46022</x:v>
      </x:c>
      <x:c r="AE27" s="47" t="str">
        <x:v>OK</x:v>
      </x:c>
    </x:row>
    <x:row r="28">
      <x:c r="A28" s="47" t="n">
        <x:f>IF(ISNUMBER(H28),1+COUNTIF($H$5:$H$121,"&gt;"&amp;H28),"")</x:f>
        <x:v>35</x:v>
      </x:c>
      <x:c r="B28" s="47" t="str">
        <x:v>CMCSA</x:v>
      </x:c>
      <x:c r="C28" s="47" t="str">
        <x:v>Comcast Corp.</x:v>
      </x:c>
      <x:c r="D28" s="49" t="str">
        <x:v>Long</x:v>
      </x:c>
      <x:c r="E28" s="49" t="n">
        <x:v>0.003769</x:v>
      </x:c>
      <x:c r="F28" s="50" t="n">
        <x:v>0.19325854156422623</x:v>
      </x:c>
      <x:c r="G28" s="50" t="n">
        <x:v>-0.14527561962653748</x:v>
      </x:c>
      <x:c r="H28" s="329" t="n">
        <x:f>IFERROR((IF(ISNUMBER(J28),J28*'Methodology'!$C$5,0)+IF(ISNUMBER(L28),L28*'Methodology'!$C$6,0)+IF(ISNUMBER(O28),O28*'Methodology'!$C$7,0)+IF(ISNUMBER(U28),U28*'Methodology'!$C$8,0)+IF(ISNUMBER(W28),W28*'Methodology'!$C$9,0)+IF(ISNUMBER(Y28),Y28*'Methodology'!$C$10,0))/(IF(ISNUMBER(J28),'Methodology'!$C$5,0)+IF(ISNUMBER(L28),'Methodology'!$C$6,0)+IF(ISNUMBER(O28),'Methodology'!$C$7,0)+IF(ISNUMBER(U28),'Methodology'!$C$8,0)+IF(ISNUMBER(W28),'Methodology'!$C$9,0)+IF(ISNUMBER(Y28),'Methodology'!$C$10,0)),"")</x:f>
        <x:v>6.220057789287173</x:v>
      </x:c>
      <x:c r="I28" s="47" t="n">
        <x:f>COUNT(J28,L28,O28,U28,W28,Y28)</x:f>
        <x:v>6</x:v>
      </x:c>
      <x:c r="J28" s="52" t="n">
        <x:v>8.448275862068964</x:v>
      </x:c>
      <x:c r="K28" s="47" t="n">
        <x:f>IF(ISNUMBER(J28),1+COUNTIF($J$5:$J$121,"&gt;"&amp;J28),"")</x:f>
        <x:v>21</x:v>
      </x:c>
      <x:c r="L28" s="52" t="n">
        <x:v>2.791106719367589</x:v>
      </x:c>
      <x:c r="M28" s="47" t="n">
        <x:f>IF(ISNUMBER(L28),1+COUNTIF($L$5:$L$121,"&gt;"&amp;L28),"")</x:f>
        <x:v>106</x:v>
      </x:c>
      <x:c r="N28" s="47" t="str">
        <x:v>SUE + CAR3</x:v>
      </x:c>
      <x:c r="O28" s="52" t="n">
        <x:f>IFERROR(INDEX('Analyst Revisions'!$K$5:$K$121,MATCH(B28,'Analyst Revisions'!$B$5:$B$121,0)),"")</x:f>
        <x:v>3.322</x:v>
      </x:c>
      <x:c r="P28" s="47" t="n">
        <x:f>IF(ISNUMBER(O28),1+COUNTIF($O$5:$O$121,"&gt;"&amp;O28),"")</x:f>
        <x:v>85</x:v>
      </x:c>
      <x:c r="Q28" s="50" t="n">
        <x:f>IFERROR(INDEX('Analyst Revisions'!$G$5:$G$121,MATCH(B28,'Analyst Revisions'!$B$5:$B$121,0)),"")</x:f>
        <x:v>1.00292</x:v>
      </x:c>
      <x:c r="R28" s="50" t="n">
        <x:f>IFERROR(INDEX('Analyst Revisions'!$H$5:$H$121,MATCH(B28,'Analyst Revisions'!$B$5:$B$121,0)),"")</x:f>
        <x:v>1.02577</x:v>
      </x:c>
      <x:c r="S28" s="317" t="n">
        <x:f>IFERROR(INDEX('Analyst Revisions'!$I$5:$I$121,MATCH(B28,'Analyst Revisions'!$B$5:$B$121,0)),"")</x:f>
        <x:v>-0.022275948799438505</x:v>
      </x:c>
      <x:c r="T28" s="47" t="str">
        <x:f>IFERROR(INDEX('Analyst Revisions'!$L$5:$L$121,MATCH(B28,'Analyst Revisions'!$B$5:$B$121,0)),"")</x:f>
        <x:v>OK</x:v>
      </x:c>
      <x:c r="U28" s="52" t="n">
        <x:v>9.824081709145428</x:v>
      </x:c>
      <x:c r="V28" s="47" t="n">
        <x:f>IF(ISNUMBER(U28),1+COUNTIF($U$5:$U$121,"&gt;"&amp;U28),"")</x:f>
        <x:v>1</x:v>
      </x:c>
      <x:c r="W28" s="52" t="n">
        <x:v>6.195172413793103</x:v>
      </x:c>
      <x:c r="X28" s="47" t="n">
        <x:f>IF(ISNUMBER(W28),1+COUNTIF($W$5:$W$121,"&gt;"&amp;W28),"")</x:f>
        <x:v>40</x:v>
      </x:c>
      <x:c r="Y28" s="52" t="n">
        <x:v>9.689655172413794</x:v>
      </x:c>
      <x:c r="Z28" s="47" t="n">
        <x:f>IF(ISNUMBER(Y28),1+COUNTIF($Y$5:$Y$121,"&gt;"&amp;Y28),"")</x:f>
        <x:v>5</x:v>
      </x:c>
      <x:c r="AA28" s="47" t="str">
        <x:v>Telecommunications</x:v>
      </x:c>
      <x:c r="AB28" s="54" t="n">
        <x:v>46213</x:v>
      </x:c>
      <x:c r="AC28" s="54" t="n">
        <x:v>46112</x:v>
      </x:c>
      <x:c r="AD28" s="54" t="n">
        <x:v>46022</x:v>
      </x:c>
      <x:c r="AE28" s="47" t="str">
        <x:v>OK</x:v>
      </x:c>
    </x:row>
    <x:row r="29">
      <x:c r="A29" s="47" t="n">
        <x:f>IF(ISNUMBER(H29),1+COUNTIF($H$5:$H$121,"&gt;"&amp;H29),"")</x:f>
        <x:v>25</x:v>
      </x:c>
      <x:c r="B29" s="47" t="str">
        <x:v>ORI</x:v>
      </x:c>
      <x:c r="C29" s="47" t="str">
        <x:v>Old Republic International Corp.</x:v>
      </x:c>
      <x:c r="D29" s="49" t="str">
        <x:v>Long</x:v>
      </x:c>
      <x:c r="E29" s="49" t="n">
        <x:v>0.004203</x:v>
      </x:c>
      <x:c r="F29" s="50" t="n">
        <x:v>0.3254570303213067</x:v>
      </x:c>
      <x:c r="G29" s="50" t="n">
        <x:v>0.03553352884452829</x:v>
      </x:c>
      <x:c r="H29" s="329" t="n">
        <x:f>IFERROR((IF(ISNUMBER(J29),J29*'Methodology'!$C$5,0)+IF(ISNUMBER(L29),L29*'Methodology'!$C$6,0)+IF(ISNUMBER(O29),O29*'Methodology'!$C$7,0)+IF(ISNUMBER(U29),U29*'Methodology'!$C$8,0)+IF(ISNUMBER(W29),W29*'Methodology'!$C$9,0)+IF(ISNUMBER(Y29),Y29*'Methodology'!$C$10,0))/(IF(ISNUMBER(J29),'Methodology'!$C$5,0)+IF(ISNUMBER(L29),'Methodology'!$C$6,0)+IF(ISNUMBER(O29),'Methodology'!$C$7,0)+IF(ISNUMBER(U29),'Methodology'!$C$8,0)+IF(ISNUMBER(W29),'Methodology'!$C$9,0)+IF(ISNUMBER(Y29),'Methodology'!$C$10,0)),"")</x:f>
        <x:v>6.532966607605287</x:v>
      </x:c>
      <x:c r="I29" s="47" t="n">
        <x:f>COUNT(J29,L29,O29,U29,W29,Y29)</x:f>
        <x:v>6</x:v>
      </x:c>
      <x:c r="J29" s="52" t="n">
        <x:v>8.060344827586206</x:v>
      </x:c>
      <x:c r="K29" s="47" t="n">
        <x:f>IF(ISNUMBER(J29),1+COUNTIF($J$5:$J$121,"&gt;"&amp;J29),"")</x:f>
        <x:v>26</x:v>
      </x:c>
      <x:c r="L29" s="52" t="n">
        <x:v>4.438142292490118</x:v>
      </x:c>
      <x:c r="M29" s="47" t="n">
        <x:f>IF(ISNUMBER(L29),1+COUNTIF($L$5:$L$121,"&gt;"&amp;L29),"")</x:f>
        <x:v>81</x:v>
      </x:c>
      <x:c r="N29" s="47" t="str">
        <x:v>SUE + CAR3</x:v>
      </x:c>
      <x:c r="O29" s="52" t="n">
        <x:f>IFERROR(INDEX('Analyst Revisions'!$K$5:$K$121,MATCH(B29,'Analyst Revisions'!$B$5:$B$121,0)),"")</x:f>
        <x:v>5.338</x:v>
      </x:c>
      <x:c r="P29" s="47" t="n">
        <x:f>IF(ISNUMBER(O29),1+COUNTIF($O$5:$O$121,"&gt;"&amp;O29),"")</x:f>
        <x:v>59</x:v>
      </x:c>
      <x:c r="Q29" s="50" t="n">
        <x:f>IFERROR(INDEX('Analyst Revisions'!$G$5:$G$121,MATCH(B29,'Analyst Revisions'!$B$5:$B$121,0)),"")</x:f>
        <x:v>0.79667</x:v>
      </x:c>
      <x:c r="R29" s="50" t="n">
        <x:f>IFERROR(INDEX('Analyst Revisions'!$H$5:$H$121,MATCH(B29,'Analyst Revisions'!$B$5:$B$121,0)),"")</x:f>
        <x:v>0.8</x:v>
      </x:c>
      <x:c r="S29" s="317" t="n">
        <x:f>IFERROR(INDEX('Analyst Revisions'!$I$5:$I$121,MATCH(B29,'Analyst Revisions'!$B$5:$B$121,0)),"")</x:f>
        <x:v>-0.004162500000000069</x:v>
      </x:c>
      <x:c r="T29" s="47" t="str">
        <x:f>IFERROR(INDEX('Analyst Revisions'!$L$5:$L$121,MATCH(B29,'Analyst Revisions'!$B$5:$B$121,0)),"")</x:f>
        <x:v>OK</x:v>
      </x:c>
      <x:c r="U29" s="52" t="n">
        <x:v>8.487068965517242</x:v>
      </x:c>
      <x:c r="V29" s="47" t="n">
        <x:f>IF(ISNUMBER(U29),1+COUNTIF($U$5:$U$121,"&gt;"&amp;U29),"")</x:f>
        <x:v>11</x:v>
      </x:c>
      <x:c r="W29" s="52" t="n">
        <x:v>5.189655172413794</x:v>
      </x:c>
      <x:c r="X29" s="47" t="n">
        <x:f>IF(ISNUMBER(W29),1+COUNTIF($W$5:$W$121,"&gt;"&amp;W29),"")</x:f>
        <x:v>57</x:v>
      </x:c>
      <x:c r="Y29" s="52" t="n">
        <x:v>8.99137931034483</x:v>
      </x:c>
      <x:c r="Z29" s="47" t="n">
        <x:f>IF(ISNUMBER(Y29),1+COUNTIF($Y$5:$Y$121,"&gt;"&amp;Y29),"")</x:f>
        <x:v>14</x:v>
      </x:c>
      <x:c r="AA29" s="47" t="str">
        <x:v>Finance</x:v>
      </x:c>
      <x:c r="AB29" s="54" t="n">
        <x:v>46213</x:v>
      </x:c>
      <x:c r="AC29" s="54" t="n">
        <x:v>46112</x:v>
      </x:c>
      <x:c r="AD29" s="54" t="n">
        <x:v>46022</x:v>
      </x:c>
      <x:c r="AE29" s="47" t="str">
        <x:v>OK</x:v>
      </x:c>
    </x:row>
    <x:row r="30">
      <x:c r="A30" s="47" t="n">
        <x:f>IF(ISNUMBER(H30),1+COUNTIF($H$5:$H$121,"&gt;"&amp;H30),"")</x:f>
        <x:v>12</x:v>
      </x:c>
      <x:c r="B30" s="47" t="str">
        <x:v>WRB</x:v>
      </x:c>
      <x:c r="C30" s="47" t="str">
        <x:v>W. R. Berkley Corp.</x:v>
      </x:c>
      <x:c r="D30" s="49" t="str">
        <x:v>Long</x:v>
      </x:c>
      <x:c r="E30" s="49" t="n">
        <x:v>0.004221</x:v>
      </x:c>
      <x:c r="F30" s="50" t="n">
        <x:v>0.17279496689863422</x:v>
      </x:c>
      <x:c r="G30" s="50" t="n">
        <x:v>0.052246163128573685</x:v>
      </x:c>
      <x:c r="H30" s="329" t="n">
        <x:f>IFERROR((IF(ISNUMBER(J30),J30*'Methodology'!$C$5,0)+IF(ISNUMBER(L30),L30*'Methodology'!$C$6,0)+IF(ISNUMBER(O30),O30*'Methodology'!$C$7,0)+IF(ISNUMBER(U30),U30*'Methodology'!$C$8,0)+IF(ISNUMBER(W30),W30*'Methodology'!$C$9,0)+IF(ISNUMBER(Y30),Y30*'Methodology'!$C$10,0))/(IF(ISNUMBER(J30),'Methodology'!$C$5,0)+IF(ISNUMBER(L30),'Methodology'!$C$6,0)+IF(ISNUMBER(O30),'Methodology'!$C$7,0)+IF(ISNUMBER(U30),'Methodology'!$C$8,0)+IF(ISNUMBER(W30),'Methodology'!$C$9,0)+IF(ISNUMBER(Y30),'Methodology'!$C$10,0)),"")</x:f>
        <x:v>7.057429535232384</x:v>
      </x:c>
      <x:c r="I30" s="47" t="n">
        <x:f>COUNT(J30,L30,O30,U30,W30,Y30)</x:f>
        <x:v>6</x:v>
      </x:c>
      <x:c r="J30" s="52" t="n">
        <x:v>8.370689655172413</x:v>
      </x:c>
      <x:c r="K30" s="47" t="n">
        <x:f>IF(ISNUMBER(J30),1+COUNTIF($J$5:$J$121,"&gt;"&amp;J30),"")</x:f>
        <x:v>22</x:v>
      </x:c>
      <x:c r="L30" s="52" t="n">
        <x:v>6.791304347826087</x:v>
      </x:c>
      <x:c r="M30" s="47" t="n">
        <x:f>IF(ISNUMBER(L30),1+COUNTIF($L$5:$L$121,"&gt;"&amp;L30),"")</x:f>
        <x:v>30</x:v>
      </x:c>
      <x:c r="N30" s="47" t="str">
        <x:v>SUE + CAR3</x:v>
      </x:c>
      <x:c r="O30" s="52" t="n">
        <x:f>IFERROR(INDEX('Analyst Revisions'!$K$5:$K$121,MATCH(B30,'Analyst Revisions'!$B$5:$B$121,0)),"")</x:f>
        <x:v>8.524000000000001</x:v>
      </x:c>
      <x:c r="P30" s="47" t="n">
        <x:f>IF(ISNUMBER(O30),1+COUNTIF($O$5:$O$121,"&gt;"&amp;O30),"")</x:f>
        <x:v>20</x:v>
      </x:c>
      <x:c r="Q30" s="50" t="n">
        <x:f>IFERROR(INDEX('Analyst Revisions'!$G$5:$G$121,MATCH(B30,'Analyst Revisions'!$B$5:$B$121,0)),"")</x:f>
        <x:v>1.11568</x:v>
      </x:c>
      <x:c r="R30" s="50" t="n">
        <x:f>IFERROR(INDEX('Analyst Revisions'!$H$5:$H$121,MATCH(B30,'Analyst Revisions'!$B$5:$B$121,0)),"")</x:f>
        <x:v>1.08872</x:v>
      </x:c>
      <x:c r="S30" s="317" t="n">
        <x:f>IFERROR(INDEX('Analyst Revisions'!$I$5:$I$121,MATCH(B30,'Analyst Revisions'!$B$5:$B$121,0)),"")</x:f>
        <x:v>0.02476302446910142</x:v>
      </x:c>
      <x:c r="T30" s="47" t="str">
        <x:f>IFERROR(INDEX('Analyst Revisions'!$L$5:$L$121,MATCH(B30,'Analyst Revisions'!$B$5:$B$121,0)),"")</x:f>
        <x:v>OK</x:v>
      </x:c>
      <x:c r="U30" s="52" t="n">
        <x:v>6.780172413793103</x:v>
      </x:c>
      <x:c r="V30" s="47" t="n">
        <x:f>IF(ISNUMBER(U30),1+COUNTIF($U$5:$U$121,"&gt;"&amp;U30),"")</x:f>
        <x:v>30</x:v>
      </x:c>
      <x:c r="W30" s="52" t="n">
        <x:v>4.025862068965517</x:v>
      </x:c>
      <x:c r="X30" s="47" t="n">
        <x:f>IF(ISNUMBER(W30),1+COUNTIF($W$5:$W$121,"&gt;"&amp;W30),"")</x:f>
        <x:v>83</x:v>
      </x:c>
      <x:c r="Y30" s="52" t="n">
        <x:v>5.810344827586206</x:v>
      </x:c>
      <x:c r="Z30" s="47" t="n">
        <x:f>IF(ISNUMBER(Y30),1+COUNTIF($Y$5:$Y$121,"&gt;"&amp;Y30),"")</x:f>
        <x:v>55</x:v>
      </x:c>
      <x:c r="AA30" s="47" t="str">
        <x:v>Finance</x:v>
      </x:c>
      <x:c r="AB30" s="54" t="n">
        <x:v>46213</x:v>
      </x:c>
      <x:c r="AC30" s="54" t="n">
        <x:v>46112</x:v>
      </x:c>
      <x:c r="AD30" s="54" t="n">
        <x:v>46022</x:v>
      </x:c>
      <x:c r="AE30" s="47" t="str">
        <x:v>OK</x:v>
      </x:c>
    </x:row>
    <x:row r="31">
      <x:c r="A31" s="47" t="n">
        <x:f>IF(ISNUMBER(H31),1+COUNTIF($H$5:$H$121,"&gt;"&amp;H31),"")</x:f>
        <x:v>8</x:v>
      </x:c>
      <x:c r="B31" s="47" t="str">
        <x:v>GILD</x:v>
      </x:c>
      <x:c r="C31" s="47" t="str">
        <x:v>Gilead Sciences Inc.</x:v>
      </x:c>
      <x:c r="D31" s="49" t="str">
        <x:v>Long</x:v>
      </x:c>
      <x:c r="E31" s="49" t="n">
        <x:v>0.004019</x:v>
      </x:c>
      <x:c r="F31" s="50" t="n">
        <x:v>0.11132439474051622</x:v>
      </x:c>
      <x:c r="G31" s="50" t="n">
        <x:v>-0.06572510659574582</x:v>
      </x:c>
      <x:c r="H31" s="329" t="n">
        <x:f>IFERROR((IF(ISNUMBER(J31),J31*'Methodology'!$C$5,0)+IF(ISNUMBER(L31),L31*'Methodology'!$C$6,0)+IF(ISNUMBER(O31),O31*'Methodology'!$C$7,0)+IF(ISNUMBER(U31),U31*'Methodology'!$C$8,0)+IF(ISNUMBER(W31),W31*'Methodology'!$C$9,0)+IF(ISNUMBER(Y31),Y31*'Methodology'!$C$10,0))/(IF(ISNUMBER(J31),'Methodology'!$C$5,0)+IF(ISNUMBER(L31),'Methodology'!$C$6,0)+IF(ISNUMBER(O31),'Methodology'!$C$7,0)+IF(ISNUMBER(U31),'Methodology'!$C$8,0)+IF(ISNUMBER(W31),'Methodology'!$C$9,0)+IF(ISNUMBER(Y31),'Methodology'!$C$10,0)),"")</x:f>
        <x:v>7.167754463677252</x:v>
      </x:c>
      <x:c r="I31" s="47" t="n">
        <x:f>COUNT(J31,L31,O31,U31,W31,Y31)</x:f>
        <x:v>6</x:v>
      </x:c>
      <x:c r="J31" s="52" t="n">
        <x:v>8.525862068965516</x:v>
      </x:c>
      <x:c r="K31" s="47" t="n">
        <x:f>IF(ISNUMBER(J31),1+COUNTIF($J$5:$J$121,"&gt;"&amp;J31),"")</x:f>
        <x:v>20</x:v>
      </x:c>
      <x:c r="L31" s="52" t="n">
        <x:v>5.005533596837944</x:v>
      </x:c>
      <x:c r="M31" s="47" t="n">
        <x:f>IF(ISNUMBER(L31),1+COUNTIF($L$5:$L$121,"&gt;"&amp;L31),"")</x:f>
        <x:v>73</x:v>
      </x:c>
      <x:c r="N31" s="47" t="str">
        <x:v>SUE + CAR3</x:v>
      </x:c>
      <x:c r="O31" s="52" t="n">
        <x:f>IFERROR(INDEX('Analyst Revisions'!$K$5:$K$121,MATCH(B31,'Analyst Revisions'!$B$5:$B$121,0)),"")</x:f>
        <x:v>9.450999999999999</x:v>
      </x:c>
      <x:c r="P31" s="47" t="n">
        <x:f>IF(ISNUMBER(O31),1+COUNTIF($O$5:$O$121,"&gt;"&amp;O31),"")</x:f>
        <x:v>8</x:v>
      </x:c>
      <x:c r="Q31" s="50" t="n">
        <x:f>IFERROR(INDEX('Analyst Revisions'!$G$5:$G$121,MATCH(B31,'Analyst Revisions'!$B$5:$B$121,0)),"")</x:f>
        <x:v>2.16316</x:v>
      </x:c>
      <x:c r="R31" s="50" t="n">
        <x:f>IFERROR(INDEX('Analyst Revisions'!$H$5:$H$121,MATCH(B31,'Analyst Revisions'!$B$5:$B$121,0)),"")</x:f>
        <x:v>2.05989</x:v>
      </x:c>
      <x:c r="S31" s="317" t="n">
        <x:f>IFERROR(INDEX('Analyst Revisions'!$I$5:$I$121,MATCH(B31,'Analyst Revisions'!$B$5:$B$121,0)),"")</x:f>
        <x:v>0.05013374500580115</x:v>
      </x:c>
      <x:c r="T31" s="47" t="str">
        <x:f>IFERROR(INDEX('Analyst Revisions'!$L$5:$L$121,MATCH(B31,'Analyst Revisions'!$B$5:$B$121,0)),"")</x:f>
        <x:v>OK</x:v>
      </x:c>
      <x:c r="U31" s="52" t="n">
        <x:v>4.8531671664167915</x:v>
      </x:c>
      <x:c r="V31" s="47" t="n">
        <x:f>IF(ISNUMBER(U31),1+COUNTIF($U$5:$U$121,"&gt;"&amp;U31),"")</x:f>
        <x:v>75</x:v>
      </x:c>
      <x:c r="W31" s="52" t="n">
        <x:v>8.21551724137931</x:v>
      </x:c>
      <x:c r="X31" s="47" t="n">
        <x:f>IF(ISNUMBER(W31),1+COUNTIF($W$5:$W$121,"&gt;"&amp;W31),"")</x:f>
        <x:v>13</x:v>
      </x:c>
      <x:c r="Y31" s="52" t="n">
        <x:v>6.818965517241379</x:v>
      </x:c>
      <x:c r="Z31" s="47" t="n">
        <x:f>IF(ISNUMBER(Y31),1+COUNTIF($Y$5:$Y$121,"&gt;"&amp;Y31),"")</x:f>
        <x:v>42</x:v>
      </x:c>
      <x:c r="AA31" s="47" t="str">
        <x:v>Health Care</x:v>
      </x:c>
      <x:c r="AB31" s="54" t="n">
        <x:v>46213</x:v>
      </x:c>
      <x:c r="AC31" s="54" t="n">
        <x:v>46112</x:v>
      </x:c>
      <x:c r="AD31" s="54" t="n">
        <x:v>46022</x:v>
      </x:c>
      <x:c r="AE31" s="47" t="str">
        <x:v>OK</x:v>
      </x:c>
    </x:row>
    <x:row r="32">
      <x:c r="A32" s="47" t="n">
        <x:f>IF(ISNUMBER(H32),1+COUNTIF($H$5:$H$121,"&gt;"&amp;H32),"")</x:f>
        <x:v>21</x:v>
      </x:c>
      <x:c r="B32" s="47" t="str">
        <x:v>DG</x:v>
      </x:c>
      <x:c r="C32" s="47" t="str">
        <x:v>Dollar General Corp.</x:v>
      </x:c>
      <x:c r="D32" s="49" t="str">
        <x:v>Short</x:v>
      </x:c>
      <x:c r="E32" s="49" t="n">
        <x:v>-0.00409</x:v>
      </x:c>
      <x:c r="F32" s="50" t="n">
        <x:v>0.3848630386001466</x:v>
      </x:c>
      <x:c r="G32" s="50" t="n">
        <x:v>0.10803784964404088</x:v>
      </x:c>
      <x:c r="H32" s="329" t="n">
        <x:f>IFERROR((IF(ISNUMBER(J32),J32*'Methodology'!$C$5,0)+IF(ISNUMBER(L32),L32*'Methodology'!$C$6,0)+IF(ISNUMBER(O32),O32*'Methodology'!$C$7,0)+IF(ISNUMBER(U32),U32*'Methodology'!$C$8,0)+IF(ISNUMBER(W32),W32*'Methodology'!$C$9,0)+IF(ISNUMBER(Y32),Y32*'Methodology'!$C$10,0))/(IF(ISNUMBER(J32),'Methodology'!$C$5,0)+IF(ISNUMBER(L32),'Methodology'!$C$6,0)+IF(ISNUMBER(O32),'Methodology'!$C$7,0)+IF(ISNUMBER(U32),'Methodology'!$C$8,0)+IF(ISNUMBER(W32),'Methodology'!$C$9,0)+IF(ISNUMBER(Y32),'Methodology'!$C$10,0)),"")</x:f>
        <x:v>6.679154286493118</x:v>
      </x:c>
      <x:c r="I32" s="47" t="n">
        <x:f>COUNT(J32,L32,O32,U32,W32,Y32)</x:f>
        <x:v>6</x:v>
      </x:c>
      <x:c r="J32" s="52" t="n">
        <x:v>7.206896551724139</x:v>
      </x:c>
      <x:c r="K32" s="47" t="n">
        <x:f>IF(ISNUMBER(J32),1+COUNTIF($J$5:$J$121,"&gt;"&amp;J32),"")</x:f>
        <x:v>37</x:v>
      </x:c>
      <x:c r="L32" s="52" t="n">
        <x:v>4.500395256916995</x:v>
      </x:c>
      <x:c r="M32" s="47" t="n">
        <x:f>IF(ISNUMBER(L32),1+COUNTIF($L$5:$L$121,"&gt;"&amp;L32),"")</x:f>
        <x:v>80</x:v>
      </x:c>
      <x:c r="N32" s="47" t="str">
        <x:v>SUE + CAR3</x:v>
      </x:c>
      <x:c r="O32" s="52" t="n">
        <x:f>IFERROR(INDEX('Analyst Revisions'!$K$5:$K$121,MATCH(B32,'Analyst Revisions'!$B$5:$B$121,0)),"")</x:f>
        <x:v>6.8950000000000005</x:v>
      </x:c>
      <x:c r="P32" s="47" t="n">
        <x:f>IF(ISNUMBER(O32),1+COUNTIF($O$5:$O$121,"&gt;"&amp;O32),"")</x:f>
        <x:v>41</x:v>
      </x:c>
      <x:c r="Q32" s="50" t="n">
        <x:f>IFERROR(INDEX('Analyst Revisions'!$G$5:$G$121,MATCH(B32,'Analyst Revisions'!$B$5:$B$121,0)),"")</x:f>
        <x:v>2.00281</x:v>
      </x:c>
      <x:c r="R32" s="50" t="n">
        <x:f>IFERROR(INDEX('Analyst Revisions'!$H$5:$H$121,MATCH(B32,'Analyst Revisions'!$B$5:$B$121,0)),"")</x:f>
        <x:v>1.99483</x:v>
      </x:c>
      <x:c r="S32" s="317" t="n">
        <x:f>IFERROR(INDEX('Analyst Revisions'!$I$5:$I$121,MATCH(B32,'Analyst Revisions'!$B$5:$B$121,0)),"")</x:f>
        <x:v>0.0040003408811778935</x:v>
      </x:c>
      <x:c r="T32" s="47" t="str">
        <x:f>IFERROR(INDEX('Analyst Revisions'!$L$5:$L$121,MATCH(B32,'Analyst Revisions'!$B$5:$B$121,0)),"")</x:f>
        <x:v>OK</x:v>
      </x:c>
      <x:c r="U32" s="52" t="n">
        <x:v>7.331068215892054</x:v>
      </x:c>
      <x:c r="V32" s="47" t="n">
        <x:f>IF(ISNUMBER(U32),1+COUNTIF($U$5:$U$121,"&gt;"&amp;U32),"")</x:f>
        <x:v>26</x:v>
      </x:c>
      <x:c r="W32" s="52" t="n">
        <x:v>6.795689655172414</x:v>
      </x:c>
      <x:c r="X32" s="47" t="n">
        <x:f>IF(ISNUMBER(W32),1+COUNTIF($W$5:$W$121,"&gt;"&amp;W32),"")</x:f>
        <x:v>26</x:v>
      </x:c>
      <x:c r="Y32" s="52" t="n">
        <x:v>9.301724137931034</x:v>
      </x:c>
      <x:c r="Z32" s="47" t="n">
        <x:f>IF(ISNUMBER(Y32),1+COUNTIF($Y$5:$Y$121,"&gt;"&amp;Y32),"")</x:f>
        <x:v>10</x:v>
      </x:c>
      <x:c r="AA32" s="47" t="str">
        <x:v>Consumer Discretionary</x:v>
      </x:c>
      <x:c r="AB32" s="54" t="n">
        <x:v>46213</x:v>
      </x:c>
      <x:c r="AC32" s="54" t="n">
        <x:v>46143</x:v>
      </x:c>
      <x:c r="AD32" s="54" t="n">
        <x:v>46052</x:v>
      </x:c>
      <x:c r="AE32" s="47" t="str">
        <x:v>OK</x:v>
      </x:c>
    </x:row>
    <x:row r="33">
      <x:c r="A33" s="47" t="n">
        <x:f>IF(ISNUMBER(H33),1+COUNTIF($H$5:$H$121,"&gt;"&amp;H33),"")</x:f>
        <x:v>41</x:v>
      </x:c>
      <x:c r="B33" s="47" t="str">
        <x:v>PGR</x:v>
      </x:c>
      <x:c r="C33" s="47" t="str">
        <x:v>The Progressive Corp.</x:v>
      </x:c>
      <x:c r="D33" s="49" t="str">
        <x:v>Long</x:v>
      </x:c>
      <x:c r="E33" s="49" t="n">
        <x:v>0.004761</x:v>
      </x:c>
      <x:c r="F33" s="50" t="n">
        <x:v>-0.13923858554714336</x:v>
      </x:c>
      <x:c r="G33" s="50" t="n">
        <x:v>-0.10105273306355551</x:v>
      </x:c>
      <x:c r="H33" s="329" t="n">
        <x:f>IFERROR((IF(ISNUMBER(J33),J33*'Methodology'!$C$5,0)+IF(ISNUMBER(L33),L33*'Methodology'!$C$6,0)+IF(ISNUMBER(O33),O33*'Methodology'!$C$7,0)+IF(ISNUMBER(U33),U33*'Methodology'!$C$8,0)+IF(ISNUMBER(W33),W33*'Methodology'!$C$9,0)+IF(ISNUMBER(Y33),Y33*'Methodology'!$C$10,0))/(IF(ISNUMBER(J33),'Methodology'!$C$5,0)+IF(ISNUMBER(L33),'Methodology'!$C$6,0)+IF(ISNUMBER(O33),'Methodology'!$C$7,0)+IF(ISNUMBER(U33),'Methodology'!$C$8,0)+IF(ISNUMBER(W33),'Methodology'!$C$9,0)+IF(ISNUMBER(Y33),'Methodology'!$C$10,0)),"")</x:f>
        <x:v>6.086584980237154</x:v>
      </x:c>
      <x:c r="I33" s="47" t="n">
        <x:f>COUNT(J33,L33,O33,U33,W33,Y33)</x:f>
        <x:v>6</x:v>
      </x:c>
      <x:c r="J33" s="52" t="n">
        <x:v>9.767241379310345</x:v>
      </x:c>
      <x:c r="K33" s="47" t="n">
        <x:f>IF(ISNUMBER(J33),1+COUNTIF($J$5:$J$121,"&gt;"&amp;J33),"")</x:f>
        <x:v>4</x:v>
      </x:c>
      <x:c r="L33" s="52" t="n">
        <x:v>6.188339920948617</x:v>
      </x:c>
      <x:c r="M33" s="47" t="n">
        <x:f>IF(ISNUMBER(L33),1+COUNTIF($L$5:$L$121,"&gt;"&amp;L33),"")</x:f>
        <x:v>40</x:v>
      </x:c>
      <x:c r="N33" s="47" t="str">
        <x:v>SUE + CAR3</x:v>
      </x:c>
      <x:c r="O33" s="52" t="n">
        <x:f>IFERROR(INDEX('Analyst Revisions'!$K$5:$K$121,MATCH(B33,'Analyst Revisions'!$B$5:$B$121,0)),"")</x:f>
        <x:v>3.862</x:v>
      </x:c>
      <x:c r="P33" s="47" t="n">
        <x:f>IF(ISNUMBER(O33),1+COUNTIF($O$5:$O$121,"&gt;"&amp;O33),"")</x:f>
        <x:v>78</x:v>
      </x:c>
      <x:c r="Q33" s="50" t="n">
        <x:f>IFERROR(INDEX('Analyst Revisions'!$G$5:$G$121,MATCH(B33,'Analyst Revisions'!$B$5:$B$121,0)),"")</x:f>
        <x:v>3.6479</x:v>
      </x:c>
      <x:c r="R33" s="50" t="n">
        <x:f>IFERROR(INDEX('Analyst Revisions'!$H$5:$H$121,MATCH(B33,'Analyst Revisions'!$B$5:$B$121,0)),"")</x:f>
        <x:v>3.71983</x:v>
      </x:c>
      <x:c r="S33" s="317" t="n">
        <x:f>IFERROR(INDEX('Analyst Revisions'!$I$5:$I$121,MATCH(B33,'Analyst Revisions'!$B$5:$B$121,0)),"")</x:f>
        <x:v>-0.019336905181150766</x:v>
      </x:c>
      <x:c r="T33" s="47" t="str">
        <x:f>IFERROR(INDEX('Analyst Revisions'!$L$5:$L$121,MATCH(B33,'Analyst Revisions'!$B$5:$B$121,0)),"")</x:f>
        <x:v>OK</x:v>
      </x:c>
      <x:c r="U33" s="52" t="n">
        <x:v>6.275862068965518</x:v>
      </x:c>
      <x:c r="V33" s="47" t="n">
        <x:f>IF(ISNUMBER(U33),1+COUNTIF($U$5:$U$121,"&gt;"&amp;U33),"")</x:f>
        <x:v>40</x:v>
      </x:c>
      <x:c r="W33" s="52" t="n">
        <x:v>2.0086206896551717</x:v>
      </x:c>
      <x:c r="X33" s="47" t="n">
        <x:f>IF(ISNUMBER(W33),1+COUNTIF($W$5:$W$121,"&gt;"&amp;W33),"")</x:f>
        <x:v>111</x:v>
      </x:c>
      <x:c r="Y33" s="52" t="n">
        <x:v>4.801724137931035</x:v>
      </x:c>
      <x:c r="Z33" s="47" t="n">
        <x:f>IF(ISNUMBER(Y33),1+COUNTIF($Y$5:$Y$121,"&gt;"&amp;Y33),"")</x:f>
        <x:v>68</x:v>
      </x:c>
      <x:c r="AA33" s="47" t="str">
        <x:v>Finance</x:v>
      </x:c>
      <x:c r="AB33" s="54" t="n">
        <x:v>46213</x:v>
      </x:c>
      <x:c r="AC33" s="54" t="n">
        <x:v>46112</x:v>
      </x:c>
      <x:c r="AD33" s="54" t="n">
        <x:v>46022</x:v>
      </x:c>
      <x:c r="AE33" s="47" t="str">
        <x:v>OK</x:v>
      </x:c>
    </x:row>
    <x:row r="34">
      <x:c r="A34" s="47" t="n">
        <x:f>IF(ISNUMBER(H34),1+COUNTIF($H$5:$H$121,"&gt;"&amp;H34),"")</x:f>
        <x:v>18</x:v>
      </x:c>
      <x:c r="B34" s="47" t="str">
        <x:v>DGX</x:v>
      </x:c>
      <x:c r="C34" s="47" t="str">
        <x:v>Quest Diagnostics Inc.</x:v>
      </x:c>
      <x:c r="D34" s="49" t="str">
        <x:v>Long</x:v>
      </x:c>
      <x:c r="E34" s="49" t="n">
        <x:v>0.00428</x:v>
      </x:c>
      <x:c r="F34" s="50" t="n">
        <x:v>0.24383114136437392</x:v>
      </x:c>
      <x:c r="G34" s="50" t="n">
        <x:v>0.1519470712836267</x:v>
      </x:c>
      <x:c r="H34" s="329" t="n">
        <x:f>IFERROR((IF(ISNUMBER(J34),J34*'Methodology'!$C$5,0)+IF(ISNUMBER(L34),L34*'Methodology'!$C$6,0)+IF(ISNUMBER(O34),O34*'Methodology'!$C$7,0)+IF(ISNUMBER(U34),U34*'Methodology'!$C$8,0)+IF(ISNUMBER(W34),W34*'Methodology'!$C$9,0)+IF(ISNUMBER(Y34),Y34*'Methodology'!$C$10,0))/(IF(ISNUMBER(J34),'Methodology'!$C$5,0)+IF(ISNUMBER(L34),'Methodology'!$C$6,0)+IF(ISNUMBER(O34),'Methodology'!$C$7,0)+IF(ISNUMBER(U34),'Methodology'!$C$8,0)+IF(ISNUMBER(W34),'Methodology'!$C$9,0)+IF(ISNUMBER(Y34),'Methodology'!$C$10,0)),"")</x:f>
        <x:v>6.790407864249693</x:v>
      </x:c>
      <x:c r="I34" s="47" t="n">
        <x:f>COUNT(J34,L34,O34,U34,W34,Y34)</x:f>
        <x:v>6</x:v>
      </x:c>
      <x:c r="J34" s="52" t="n">
        <x:v>3.870689655172414</x:v>
      </x:c>
      <x:c r="K34" s="47" t="n">
        <x:f>IF(ISNUMBER(J34),1+COUNTIF($J$5:$J$121,"&gt;"&amp;J34),"")</x:f>
        <x:v>80</x:v>
      </x:c>
      <x:c r="L34" s="52" t="n">
        <x:v>8.758498023715415</x:v>
      </x:c>
      <x:c r="M34" s="47" t="n">
        <x:f>IF(ISNUMBER(L34),1+COUNTIF($L$5:$L$121,"&gt;"&amp;L34),"")</x:f>
        <x:v>6</x:v>
      </x:c>
      <x:c r="N34" s="47" t="str">
        <x:v>SUE + CAR3</x:v>
      </x:c>
      <x:c r="O34" s="52" t="n">
        <x:f>IFERROR(INDEX('Analyst Revisions'!$K$5:$K$121,MATCH(B34,'Analyst Revisions'!$B$5:$B$121,0)),"")</x:f>
        <x:v>8.290000000000001</x:v>
      </x:c>
      <x:c r="P34" s="47" t="n">
        <x:f>IF(ISNUMBER(O34),1+COUNTIF($O$5:$O$121,"&gt;"&amp;O34),"")</x:f>
        <x:v>23</x:v>
      </x:c>
      <x:c r="Q34" s="50" t="n">
        <x:f>IFERROR(INDEX('Analyst Revisions'!$G$5:$G$121,MATCH(B34,'Analyst Revisions'!$B$5:$B$121,0)),"")</x:f>
        <x:v>2.86335</x:v>
      </x:c>
      <x:c r="R34" s="50" t="n">
        <x:f>IFERROR(INDEX('Analyst Revisions'!$H$5:$H$121,MATCH(B34,'Analyst Revisions'!$B$5:$B$121,0)),"")</x:f>
        <x:v>2.80119</x:v>
      </x:c>
      <x:c r="S34" s="317" t="n">
        <x:f>IFERROR(INDEX('Analyst Revisions'!$I$5:$I$121,MATCH(B34,'Analyst Revisions'!$B$5:$B$121,0)),"")</x:f>
        <x:v>0.022190569008171523</x:v>
      </x:c>
      <x:c r="T34" s="47" t="str">
        <x:f>IFERROR(INDEX('Analyst Revisions'!$L$5:$L$121,MATCH(B34,'Analyst Revisions'!$B$5:$B$121,0)),"")</x:f>
        <x:v>OK</x:v>
      </x:c>
      <x:c r="U34" s="52" t="n">
        <x:v>5.853860569715142</x:v>
      </x:c>
      <x:c r="V34" s="47" t="n">
        <x:f>IF(ISNUMBER(U34),1+COUNTIF($U$5:$U$121,"&gt;"&amp;U34),"")</x:f>
        <x:v>50</x:v>
      </x:c>
      <x:c r="W34" s="52" t="n">
        <x:v>6.736724137931034</x:v>
      </x:c>
      <x:c r="X34" s="47" t="n">
        <x:f>IF(ISNUMBER(W34),1+COUNTIF($W$5:$W$121,"&gt;"&amp;W34),"")</x:f>
        <x:v>29</x:v>
      </x:c>
      <x:c r="Y34" s="52" t="n">
        <x:v>7.672413793103448</x:v>
      </x:c>
      <x:c r="Z34" s="47" t="n">
        <x:f>IF(ISNUMBER(Y34),1+COUNTIF($Y$5:$Y$121,"&gt;"&amp;Y34),"")</x:f>
        <x:v>31</x:v>
      </x:c>
      <x:c r="AA34" s="47" t="str">
        <x:v>Health Care</x:v>
      </x:c>
      <x:c r="AB34" s="54" t="n">
        <x:v>46213</x:v>
      </x:c>
      <x:c r="AC34" s="54" t="n">
        <x:v>46112</x:v>
      </x:c>
      <x:c r="AD34" s="54" t="n">
        <x:v>46022</x:v>
      </x:c>
      <x:c r="AE34" s="47" t="str">
        <x:v>OK</x:v>
      </x:c>
    </x:row>
    <x:row r="35">
      <x:c r="A35" s="47" t="n">
        <x:f>IF(ISNUMBER(H35),1+COUNTIF($H$5:$H$121,"&gt;"&amp;H35),"")</x:f>
        <x:v>14</x:v>
      </x:c>
      <x:c r="B35" s="47" t="str">
        <x:v>CBOE</x:v>
      </x:c>
      <x:c r="C35" s="47" t="str">
        <x:v>CBOE Global Markets Inc.</x:v>
      </x:c>
      <x:c r="D35" s="49" t="str">
        <x:v>Long</x:v>
      </x:c>
      <x:c r="E35" s="49" t="n">
        <x:v>0.003227</x:v>
      </x:c>
      <x:c r="F35" s="50" t="n">
        <x:v>0.24670528669925593</x:v>
      </x:c>
      <x:c r="G35" s="50" t="n">
        <x:v>0.14484874831933667</x:v>
      </x:c>
      <x:c r="H35" s="329" t="n">
        <x:f>IFERROR((IF(ISNUMBER(J35),J35*'Methodology'!$C$5,0)+IF(ISNUMBER(L35),L35*'Methodology'!$C$6,0)+IF(ISNUMBER(O35),O35*'Methodology'!$C$7,0)+IF(ISNUMBER(U35),U35*'Methodology'!$C$8,0)+IF(ISNUMBER(W35),W35*'Methodology'!$C$9,0)+IF(ISNUMBER(Y35),Y35*'Methodology'!$C$10,0))/(IF(ISNUMBER(J35),'Methodology'!$C$5,0)+IF(ISNUMBER(L35),'Methodology'!$C$6,0)+IF(ISNUMBER(O35),'Methodology'!$C$7,0)+IF(ISNUMBER(U35),'Methodology'!$C$8,0)+IF(ISNUMBER(W35),'Methodology'!$C$9,0)+IF(ISNUMBER(Y35),'Methodology'!$C$10,0)),"")</x:f>
        <x:v>6.908624437781109</x:v>
      </x:c>
      <x:c r="I35" s="47" t="n">
        <x:f>COUNT(J35,L35,O35,U35,W35,Y35)</x:f>
        <x:v>6</x:v>
      </x:c>
      <x:c r="J35" s="52" t="n">
        <x:v>8.21551724137931</x:v>
      </x:c>
      <x:c r="K35" s="47" t="n">
        <x:f>IF(ISNUMBER(J35),1+COUNTIF($J$5:$J$121,"&gt;"&amp;J35),"")</x:f>
        <x:v>24</x:v>
      </x:c>
      <x:c r="L35" s="52" t="n">
        <x:v>9.471739130434782</x:v>
      </x:c>
      <x:c r="M35" s="47" t="n">
        <x:f>IF(ISNUMBER(L35),1+COUNTIF($L$5:$L$121,"&gt;"&amp;L35),"")</x:f>
        <x:v>3</x:v>
      </x:c>
      <x:c r="N35" s="47" t="str">
        <x:v>SUE + CAR3</x:v>
      </x:c>
      <x:c r="O35" s="52" t="n">
        <x:f>IFERROR(INDEX('Analyst Revisions'!$K$5:$K$121,MATCH(B35,'Analyst Revisions'!$B$5:$B$121,0)),"")</x:f>
        <x:v>9.145</x:v>
      </x:c>
      <x:c r="P35" s="47" t="n">
        <x:f>IF(ISNUMBER(O35),1+COUNTIF($O$5:$O$121,"&gt;"&amp;O35),"")</x:f>
        <x:v>12</x:v>
      </x:c>
      <x:c r="Q35" s="50" t="n">
        <x:f>IFERROR(INDEX('Analyst Revisions'!$G$5:$G$121,MATCH(B35,'Analyst Revisions'!$B$5:$B$121,0)),"")</x:f>
        <x:v>3.46643</x:v>
      </x:c>
      <x:c r="R35" s="50" t="n">
        <x:f>IFERROR(INDEX('Analyst Revisions'!$H$5:$H$121,MATCH(B35,'Analyst Revisions'!$B$5:$B$121,0)),"")</x:f>
        <x:v>3.32986</x:v>
      </x:c>
      <x:c r="S35" s="317" t="n">
        <x:f>IFERROR(INDEX('Analyst Revisions'!$I$5:$I$121,MATCH(B35,'Analyst Revisions'!$B$5:$B$121,0)),"")</x:f>
        <x:v>0.041013736313238354</x:v>
      </x:c>
      <x:c r="T35" s="47" t="str">
        <x:f>IFERROR(INDEX('Analyst Revisions'!$L$5:$L$121,MATCH(B35,'Analyst Revisions'!$B$5:$B$121,0)),"")</x:f>
        <x:v>OK</x:v>
      </x:c>
      <x:c r="U35" s="52" t="n">
        <x:v>3.7155172413793105</x:v>
      </x:c>
      <x:c r="V35" s="47" t="n">
        <x:f>IF(ISNUMBER(U35),1+COUNTIF($U$5:$U$121,"&gt;"&amp;U35),"")</x:f>
        <x:v>94</x:v>
      </x:c>
      <x:c r="W35" s="52" t="n">
        <x:v>1.6982758620689653</x:v>
      </x:c>
      <x:c r="X35" s="47" t="n">
        <x:f>IF(ISNUMBER(W35),1+COUNTIF($W$5:$W$121,"&gt;"&amp;W35),"")</x:f>
        <x:v>112</x:v>
      </x:c>
      <x:c r="Y35" s="52" t="n">
        <x:v>3.25</x:v>
      </x:c>
      <x:c r="Z35" s="47" t="n">
        <x:f>IF(ISNUMBER(Y35),1+COUNTIF($Y$5:$Y$121,"&gt;"&amp;Y35),"")</x:f>
        <x:v>88</x:v>
      </x:c>
      <x:c r="AA35" s="47" t="str">
        <x:v>Finance</x:v>
      </x:c>
      <x:c r="AB35" s="54" t="n">
        <x:v>46213</x:v>
      </x:c>
      <x:c r="AC35" s="54" t="n">
        <x:v>46112</x:v>
      </x:c>
      <x:c r="AD35" s="54" t="n">
        <x:v>46022</x:v>
      </x:c>
      <x:c r="AE35" s="47" t="str">
        <x:v>OK</x:v>
      </x:c>
    </x:row>
    <x:row r="36">
      <x:c r="A36" s="47" t="n">
        <x:f>IF(ISNUMBER(H36),1+COUNTIF($H$5:$H$121,"&gt;"&amp;H36),"")</x:f>
        <x:v>38</x:v>
      </x:c>
      <x:c r="B36" s="47" t="str">
        <x:v>WM</x:v>
      </x:c>
      <x:c r="C36" s="47" t="str">
        <x:v>Waste Management Inc.</x:v>
      </x:c>
      <x:c r="D36" s="49" t="str">
        <x:v>Long</x:v>
      </x:c>
      <x:c r="E36" s="49" t="n">
        <x:v>0.004414</x:v>
      </x:c>
      <x:c r="F36" s="50" t="n">
        <x:v>0.17222717380919536</x:v>
      </x:c>
      <x:c r="G36" s="50" t="n">
        <x:v>0.005448686567007985</x:v>
      </x:c>
      <x:c r="H36" s="329" t="n">
        <x:f>IFERROR((IF(ISNUMBER(J36),J36*'Methodology'!$C$5,0)+IF(ISNUMBER(L36),L36*'Methodology'!$C$6,0)+IF(ISNUMBER(O36),O36*'Methodology'!$C$7,0)+IF(ISNUMBER(U36),U36*'Methodology'!$C$8,0)+IF(ISNUMBER(W36),W36*'Methodology'!$C$9,0)+IF(ISNUMBER(Y36),Y36*'Methodology'!$C$10,0))/(IF(ISNUMBER(J36),'Methodology'!$C$5,0)+IF(ISNUMBER(L36),'Methodology'!$C$6,0)+IF(ISNUMBER(O36),'Methodology'!$C$7,0)+IF(ISNUMBER(U36),'Methodology'!$C$8,0)+IF(ISNUMBER(W36),'Methodology'!$C$9,0)+IF(ISNUMBER(Y36),'Methodology'!$C$10,0)),"")</x:f>
        <x:v>6.147250783699059</x:v>
      </x:c>
      <x:c r="I36" s="47" t="n">
        <x:f>COUNT(J36,L36,O36,U36,W36,Y36)</x:f>
        <x:v>6</x:v>
      </x:c>
      <x:c r="J36" s="52" t="n">
        <x:v>8.75862068965517</x:v>
      </x:c>
      <x:c r="K36" s="47" t="n">
        <x:f>IF(ISNUMBER(J36),1+COUNTIF($J$5:$J$121,"&gt;"&amp;J36),"")</x:f>
        <x:v>17</x:v>
      </x:c>
      <x:c r="L36" s="52" t="n">
        <x:v>6.953162055335969</x:v>
      </x:c>
      <x:c r="M36" s="47" t="n">
        <x:f>IF(ISNUMBER(L36),1+COUNTIF($L$5:$L$121,"&gt;"&amp;L36),"")</x:f>
        <x:v>26</x:v>
      </x:c>
      <x:c r="N36" s="47" t="str">
        <x:v>SUE + CAR3</x:v>
      </x:c>
      <x:c r="O36" s="52" t="n">
        <x:f>IFERROR(INDEX('Analyst Revisions'!$K$5:$K$121,MATCH(B36,'Analyst Revisions'!$B$5:$B$121,0)),"")</x:f>
        <x:v>5.032</x:v>
      </x:c>
      <x:c r="P36" s="47" t="n">
        <x:f>IF(ISNUMBER(O36),1+COUNTIF($O$5:$O$121,"&gt;"&amp;O36),"")</x:f>
        <x:v>63</x:v>
      </x:c>
      <x:c r="Q36" s="50" t="n">
        <x:f>IFERROR(INDEX('Analyst Revisions'!$G$5:$G$121,MATCH(B36,'Analyst Revisions'!$B$5:$B$121,0)),"")</x:f>
        <x:v>2.18841</x:v>
      </x:c>
      <x:c r="R36" s="50" t="n">
        <x:f>IFERROR(INDEX('Analyst Revisions'!$H$5:$H$121,MATCH(B36,'Analyst Revisions'!$B$5:$B$121,0)),"")</x:f>
        <x:v>2.20157</x:v>
      </x:c>
      <x:c r="S36" s="317" t="n">
        <x:f>IFERROR(INDEX('Analyst Revisions'!$I$5:$I$121,MATCH(B36,'Analyst Revisions'!$B$5:$B$121,0)),"")</x:f>
        <x:v>-0.005977552383071906</x:v>
      </x:c>
      <x:c r="T36" s="47" t="str">
        <x:f>IFERROR(INDEX('Analyst Revisions'!$L$5:$L$121,MATCH(B36,'Analyst Revisions'!$B$5:$B$121,0)),"")</x:f>
        <x:v>OK</x:v>
      </x:c>
      <x:c r="U36" s="52" t="n">
        <x:v>3.3266079460269866</x:v>
      </x:c>
      <x:c r="V36" s="47" t="n">
        <x:f>IF(ISNUMBER(U36),1+COUNTIF($U$5:$U$121,"&gt;"&amp;U36),"")</x:f>
        <x:v>100</x:v>
      </x:c>
      <x:c r="W36" s="52" t="n">
        <x:v>5.538793103448276</x:v>
      </x:c>
      <x:c r="X36" s="47" t="n">
        <x:f>IF(ISNUMBER(W36),1+COUNTIF($W$5:$W$121,"&gt;"&amp;W36),"")</x:f>
        <x:v>50</x:v>
      </x:c>
      <x:c r="Y36" s="52" t="n">
        <x:v>3.560344827586207</x:v>
      </x:c>
      <x:c r="Z36" s="47" t="n">
        <x:f>IF(ISNUMBER(Y36),1+COUNTIF($Y$5:$Y$121,"&gt;"&amp;Y36),"")</x:f>
        <x:v>84</x:v>
      </x:c>
      <x:c r="AA36" s="47" t="str">
        <x:v>Utilities</x:v>
      </x:c>
      <x:c r="AB36" s="54" t="n">
        <x:v>46213</x:v>
      </x:c>
      <x:c r="AC36" s="54" t="n">
        <x:v>46112</x:v>
      </x:c>
      <x:c r="AD36" s="54" t="n">
        <x:v>46022</x:v>
      </x:c>
      <x:c r="AE36" s="47" t="str">
        <x:v>OK</x:v>
      </x:c>
    </x:row>
    <x:row r="37">
      <x:c r="A37" s="47" t="n">
        <x:f>IF(ISNUMBER(H37),1+COUNTIF($H$5:$H$121,"&gt;"&amp;H37),"")</x:f>
        <x:v>52</x:v>
      </x:c>
      <x:c r="B37" s="47" t="str">
        <x:v>HSY</x:v>
      </x:c>
      <x:c r="C37" s="47" t="str">
        <x:v>The Hershey Co.</x:v>
      </x:c>
      <x:c r="D37" s="49" t="str">
        <x:v>Long</x:v>
      </x:c>
      <x:c r="E37" s="49" t="n">
        <x:v>0.003583</x:v>
      </x:c>
      <x:c r="F37" s="50" t="n">
        <x:v>0.1174133100598108</x:v>
      </x:c>
      <x:c r="G37" s="50" t="n">
        <x:v>-0.02347637543469619</x:v>
      </x:c>
      <x:c r="H37" s="329" t="n">
        <x:f>IFERROR((IF(ISNUMBER(J37),J37*'Methodology'!$C$5,0)+IF(ISNUMBER(L37),L37*'Methodology'!$C$6,0)+IF(ISNUMBER(O37),O37*'Methodology'!$C$7,0)+IF(ISNUMBER(U37),U37*'Methodology'!$C$8,0)+IF(ISNUMBER(W37),W37*'Methodology'!$C$9,0)+IF(ISNUMBER(Y37),Y37*'Methodology'!$C$10,0))/(IF(ISNUMBER(J37),'Methodology'!$C$5,0)+IF(ISNUMBER(L37),'Methodology'!$C$6,0)+IF(ISNUMBER(O37),'Methodology'!$C$7,0)+IF(ISNUMBER(U37),'Methodology'!$C$8,0)+IF(ISNUMBER(W37),'Methodology'!$C$9,0)+IF(ISNUMBER(Y37),'Methodology'!$C$10,0)),"")</x:f>
        <x:v>5.6533958020989505</x:v>
      </x:c>
      <x:c r="I37" s="47" t="n">
        <x:f>COUNT(J37,L37,O37,U37,W37,Y37)</x:f>
        <x:v>6</x:v>
      </x:c>
      <x:c r="J37" s="52" t="n">
        <x:v>9.53448275862069</x:v>
      </x:c>
      <x:c r="K37" s="47" t="n">
        <x:f>IF(ISNUMBER(J37),1+COUNTIF($J$5:$J$121,"&gt;"&amp;J37),"")</x:f>
        <x:v>7</x:v>
      </x:c>
      <x:c r="L37" s="52" t="n">
        <x:v>3.739130434782609</x:v>
      </x:c>
      <x:c r="M37" s="47" t="n">
        <x:f>IF(ISNUMBER(L37),1+COUNTIF($L$5:$L$121,"&gt;"&amp;L37),"")</x:f>
        <x:v>92</x:v>
      </x:c>
      <x:c r="N37" s="47" t="str">
        <x:v>CAR3 only</x:v>
      </x:c>
      <x:c r="O37" s="52" t="n">
        <x:f>IFERROR(INDEX('Analyst Revisions'!$K$5:$K$121,MATCH(B37,'Analyst Revisions'!$B$5:$B$121,0)),"")</x:f>
        <x:v>2.08</x:v>
      </x:c>
      <x:c r="P37" s="47" t="n">
        <x:f>IF(ISNUMBER(O37),1+COUNTIF($O$5:$O$121,"&gt;"&amp;O37),"")</x:f>
        <x:v>101</x:v>
      </x:c>
      <x:c r="Q37" s="50" t="n">
        <x:f>IFERROR(INDEX('Analyst Revisions'!$G$5:$G$121,MATCH(B37,'Analyst Revisions'!$B$5:$B$121,0)),"")</x:f>
        <x:v>2.11904</x:v>
      </x:c>
      <x:c r="R37" s="50" t="n">
        <x:f>IFERROR(INDEX('Analyst Revisions'!$H$5:$H$121,MATCH(B37,'Analyst Revisions'!$B$5:$B$121,0)),"")</x:f>
        <x:v>2.28646</x:v>
      </x:c>
      <x:c r="S37" s="317" t="n">
        <x:f>IFERROR(INDEX('Analyst Revisions'!$I$5:$I$121,MATCH(B37,'Analyst Revisions'!$B$5:$B$121,0)),"")</x:f>
        <x:v>-0.07322236120465694</x:v>
      </x:c>
      <x:c r="T37" s="47" t="str">
        <x:f>IFERROR(INDEX('Analyst Revisions'!$L$5:$L$121,MATCH(B37,'Analyst Revisions'!$B$5:$B$121,0)),"")</x:f>
        <x:v>OK</x:v>
      </x:c>
      <x:c r="U37" s="52" t="n">
        <x:v>4.3718290854572714</x:v>
      </x:c>
      <x:c r="V37" s="47" t="n">
        <x:f>IF(ISNUMBER(U37),1+COUNTIF($U$5:$U$121,"&gt;"&amp;U37),"")</x:f>
        <x:v>84</x:v>
      </x:c>
      <x:c r="W37" s="52" t="n">
        <x:v>5.385172413793104</x:v>
      </x:c>
      <x:c r="X37" s="47" t="n">
        <x:f>IF(ISNUMBER(W37),1+COUNTIF($W$5:$W$121,"&gt;"&amp;W37),"")</x:f>
        <x:v>54</x:v>
      </x:c>
      <x:c r="Y37" s="52" t="n">
        <x:v>8.137931034482758</x:v>
      </x:c>
      <x:c r="Z37" s="47" t="n">
        <x:f>IF(ISNUMBER(Y37),1+COUNTIF($Y$5:$Y$121,"&gt;"&amp;Y37),"")</x:f>
        <x:v>25</x:v>
      </x:c>
      <x:c r="AA37" s="47" t="str">
        <x:v>Consumer Staples</x:v>
      </x:c>
      <x:c r="AB37" s="54" t="n">
        <x:v>46213</x:v>
      </x:c>
      <x:c r="AC37" s="54" t="n">
        <x:v>40272</x:v>
      </x:c>
      <x:c r="AD37" s="54" t="n">
        <x:v>46022</x:v>
      </x:c>
      <x:c r="AE37" s="47" t="str">
        <x:v>OK</x:v>
      </x:c>
    </x:row>
    <x:row r="38">
      <x:c r="A38" s="47" t="n">
        <x:f>IF(ISNUMBER(H38),1+COUNTIF($H$5:$H$121,"&gt;"&amp;H38),"")</x:f>
        <x:v>20</x:v>
      </x:c>
      <x:c r="B38" s="47" t="str">
        <x:v>AR</x:v>
      </x:c>
      <x:c r="C38" s="47" t="str">
        <x:v>Antero Resources Corp.</x:v>
      </x:c>
      <x:c r="D38" s="49" t="str">
        <x:v>Long</x:v>
      </x:c>
      <x:c r="E38" s="49" t="n">
        <x:v>0.0036</x:v>
      </x:c>
      <x:c r="F38" s="50" t="n">
        <x:v>-0.44097950803571684</x:v>
      </x:c>
      <x:c r="G38" s="50" t="n">
        <x:v>-0.22215707183941671</x:v>
      </x:c>
      <x:c r="H38" s="329" t="n">
        <x:f>IFERROR((IF(ISNUMBER(J38),J38*'Methodology'!$C$5,0)+IF(ISNUMBER(L38),L38*'Methodology'!$C$6,0)+IF(ISNUMBER(O38),O38*'Methodology'!$C$7,0)+IF(ISNUMBER(U38),U38*'Methodology'!$C$8,0)+IF(ISNUMBER(W38),W38*'Methodology'!$C$9,0)+IF(ISNUMBER(Y38),Y38*'Methodology'!$C$10,0))/(IF(ISNUMBER(J38),'Methodology'!$C$5,0)+IF(ISNUMBER(L38),'Methodology'!$C$6,0)+IF(ISNUMBER(O38),'Methodology'!$C$7,0)+IF(ISNUMBER(U38),'Methodology'!$C$8,0)+IF(ISNUMBER(W38),'Methodology'!$C$9,0)+IF(ISNUMBER(Y38),'Methodology'!$C$10,0)),"")</x:f>
        <x:v>6.742480577892871</x:v>
      </x:c>
      <x:c r="I38" s="47" t="n">
        <x:f>COUNT(J38,L38,O38,U38,W38,Y38)</x:f>
        <x:v>6</x:v>
      </x:c>
      <x:c r="J38" s="52" t="n">
        <x:v>5.577586206896552</x:v>
      </x:c>
      <x:c r="K38" s="47" t="n">
        <x:f>IF(ISNUMBER(J38),1+COUNTIF($J$5:$J$121,"&gt;"&amp;J38),"")</x:f>
        <x:v>58</x:v>
      </x:c>
      <x:c r="L38" s="52" t="n">
        <x:v>8.895454545454545</x:v>
      </x:c>
      <x:c r="M38" s="47" t="n">
        <x:f>IF(ISNUMBER(L38),1+COUNTIF($L$5:$L$121,"&gt;"&amp;L38),"")</x:f>
        <x:v>5</x:v>
      </x:c>
      <x:c r="N38" s="47" t="str">
        <x:v>SUE + CAR3</x:v>
      </x:c>
      <x:c r="O38" s="52" t="n">
        <x:f>IFERROR(INDEX('Analyst Revisions'!$K$5:$K$121,MATCH(B38,'Analyst Revisions'!$B$5:$B$121,0)),"")</x:f>
        <x:v>8.83</x:v>
      </x:c>
      <x:c r="P38" s="47" t="n">
        <x:f>IF(ISNUMBER(O38),1+COUNTIF($O$5:$O$121,"&gt;"&amp;O38),"")</x:f>
        <x:v>16</x:v>
      </x:c>
      <x:c r="Q38" s="50" t="n">
        <x:f>IFERROR(INDEX('Analyst Revisions'!$G$5:$G$121,MATCH(B38,'Analyst Revisions'!$B$5:$B$121,0)),"")</x:f>
        <x:v>1.04479</x:v>
      </x:c>
      <x:c r="R38" s="50" t="n">
        <x:f>IFERROR(INDEX('Analyst Revisions'!$H$5:$H$121,MATCH(B38,'Analyst Revisions'!$B$5:$B$121,0)),"")</x:f>
        <x:v>1.01639</x:v>
      </x:c>
      <x:c r="S38" s="317" t="n">
        <x:f>IFERROR(INDEX('Analyst Revisions'!$I$5:$I$121,MATCH(B38,'Analyst Revisions'!$B$5:$B$121,0)),"")</x:f>
        <x:v>0.027942030126231275</x:v>
      </x:c>
      <x:c r="T38" s="47" t="str">
        <x:f>IFERROR(INDEX('Analyst Revisions'!$L$5:$L$121,MATCH(B38,'Analyst Revisions'!$B$5:$B$121,0)),"")</x:f>
        <x:v>OK</x:v>
      </x:c>
      <x:c r="U38" s="52" t="n">
        <x:v>8.292293853073463</x:v>
      </x:c>
      <x:c r="V38" s="47" t="n">
        <x:f>IF(ISNUMBER(U38),1+COUNTIF($U$5:$U$121,"&gt;"&amp;U38),"")</x:f>
        <x:v>18</x:v>
      </x:c>
      <x:c r="W38" s="52" t="n">
        <x:v>5.192758620689655</x:v>
      </x:c>
      <x:c r="X38" s="47" t="n">
        <x:f>IF(ISNUMBER(W38),1+COUNTIF($W$5:$W$121,"&gt;"&amp;W38),"")</x:f>
        <x:v>56</x:v>
      </x:c>
      <x:c r="Y38" s="52" t="n">
        <x:v>1.3879310344827587</x:v>
      </x:c>
      <x:c r="Z38" s="47" t="n">
        <x:f>IF(ISNUMBER(Y38),1+COUNTIF($Y$5:$Y$121,"&gt;"&amp;Y38),"")</x:f>
        <x:v>112</x:v>
      </x:c>
      <x:c r="AA38" s="47" t="str">
        <x:v>Energy</x:v>
      </x:c>
      <x:c r="AB38" s="54" t="n">
        <x:v>46213</x:v>
      </x:c>
      <x:c r="AC38" s="54" t="n">
        <x:v>46112</x:v>
      </x:c>
      <x:c r="AD38" s="54" t="n">
        <x:v>46022</x:v>
      </x:c>
      <x:c r="AE38" s="47" t="str">
        <x:v>OK</x:v>
      </x:c>
    </x:row>
    <x:row r="39">
      <x:c r="A39" s="47" t="n">
        <x:f>IF(ISNUMBER(H39),1+COUNTIF($H$5:$H$121,"&gt;"&amp;H39),"")</x:f>
        <x:v>42</x:v>
      </x:c>
      <x:c r="B39" s="47" t="str">
        <x:v>CME</x:v>
      </x:c>
      <x:c r="C39" s="47" t="str">
        <x:v>CME Group Inc.</x:v>
      </x:c>
      <x:c r="D39" s="49" t="str">
        <x:v>Long</x:v>
      </x:c>
      <x:c r="E39" s="49" t="n">
        <x:v>0.003305</x:v>
      </x:c>
      <x:c r="F39" s="50" t="n">
        <x:v>-0.11663968695372652</x:v>
      </x:c>
      <x:c r="G39" s="50" t="n">
        <x:v>-0.05538028083188568</x:v>
      </x:c>
      <x:c r="H39" s="329" t="n">
        <x:f>IFERROR((IF(ISNUMBER(J39),J39*'Methodology'!$C$5,0)+IF(ISNUMBER(L39),L39*'Methodology'!$C$6,0)+IF(ISNUMBER(O39),O39*'Methodology'!$C$7,0)+IF(ISNUMBER(U39),U39*'Methodology'!$C$8,0)+IF(ISNUMBER(W39),W39*'Methodology'!$C$9,0)+IF(ISNUMBER(Y39),Y39*'Methodology'!$C$10,0))/(IF(ISNUMBER(J39),'Methodology'!$C$5,0)+IF(ISNUMBER(L39),'Methodology'!$C$6,0)+IF(ISNUMBER(O39),'Methodology'!$C$7,0)+IF(ISNUMBER(U39),'Methodology'!$C$8,0)+IF(ISNUMBER(W39),'Methodology'!$C$9,0)+IF(ISNUMBER(Y39),'Methodology'!$C$10,0)),"")</x:f>
        <x:v>5.952061128526646</x:v>
      </x:c>
      <x:c r="I39" s="47" t="n">
        <x:f>COUNT(J39,L39,O39,U39,W39,Y39)</x:f>
        <x:v>6</x:v>
      </x:c>
      <x:c r="J39" s="52" t="n">
        <x:v>7.129310344827586</x:v>
      </x:c>
      <x:c r="K39" s="47" t="n">
        <x:f>IF(ISNUMBER(J39),1+COUNTIF($J$5:$J$121,"&gt;"&amp;J39),"")</x:f>
        <x:v>38</x:v>
      </x:c>
      <x:c r="L39" s="52" t="n">
        <x:v>7.872727272727273</x:v>
      </x:c>
      <x:c r="M39" s="47" t="n">
        <x:f>IF(ISNUMBER(L39),1+COUNTIF($L$5:$L$121,"&gt;"&amp;L39),"")</x:f>
        <x:v>15</x:v>
      </x:c>
      <x:c r="N39" s="47" t="str">
        <x:v>SUE + CAR3</x:v>
      </x:c>
      <x:c r="O39" s="52" t="n">
        <x:f>IFERROR(INDEX('Analyst Revisions'!$K$5:$K$121,MATCH(B39,'Analyst Revisions'!$B$5:$B$121,0)),"")</x:f>
        <x:v>4.33</x:v>
      </x:c>
      <x:c r="P39" s="47" t="n">
        <x:f>IF(ISNUMBER(O39),1+COUNTIF($O$5:$O$121,"&gt;"&amp;O39),"")</x:f>
        <x:v>72</x:v>
      </x:c>
      <x:c r="Q39" s="50" t="n">
        <x:f>IFERROR(INDEX('Analyst Revisions'!$G$5:$G$121,MATCH(B39,'Analyst Revisions'!$B$5:$B$121,0)),"")</x:f>
        <x:v>2.94004</x:v>
      </x:c>
      <x:c r="R39" s="50" t="n">
        <x:f>IFERROR(INDEX('Analyst Revisions'!$H$5:$H$121,MATCH(B39,'Analyst Revisions'!$B$5:$B$121,0)),"")</x:f>
        <x:v>2.97353</x:v>
      </x:c>
      <x:c r="S39" s="317" t="n">
        <x:f>IFERROR(INDEX('Analyst Revisions'!$I$5:$I$121,MATCH(B39,'Analyst Revisions'!$B$5:$B$121,0)),"")</x:f>
        <x:v>-0.011262707959899372</x:v>
      </x:c>
      <x:c r="T39" s="47" t="str">
        <x:f>IFERROR(INDEX('Analyst Revisions'!$L$5:$L$121,MATCH(B39,'Analyst Revisions'!$B$5:$B$121,0)),"")</x:f>
        <x:v>OK</x:v>
      </x:c>
      <x:c r="U39" s="52" t="n">
        <x:v>5.344827586206897</x:v>
      </x:c>
      <x:c r="V39" s="47" t="n">
        <x:f>IF(ISNUMBER(U39),1+COUNTIF($U$5:$U$121,"&gt;"&amp;U39),"")</x:f>
        <x:v>63</x:v>
      </x:c>
      <x:c r="W39" s="52" t="n">
        <x:v>1.3103448275862064</x:v>
      </x:c>
      <x:c r="X39" s="47" t="n">
        <x:f>IF(ISNUMBER(W39),1+COUNTIF($W$5:$W$121,"&gt;"&amp;W39),"")</x:f>
        <x:v>115</x:v>
      </x:c>
      <x:c r="Y39" s="52" t="n">
        <x:v>6.663793103448276</x:v>
      </x:c>
      <x:c r="Z39" s="47" t="n">
        <x:f>IF(ISNUMBER(Y39),1+COUNTIF($Y$5:$Y$121,"&gt;"&amp;Y39),"")</x:f>
        <x:v>44</x:v>
      </x:c>
      <x:c r="AA39" s="47" t="str">
        <x:v>Finance</x:v>
      </x:c>
      <x:c r="AB39" s="54" t="n">
        <x:v>46213</x:v>
      </x:c>
      <x:c r="AC39" s="54" t="n">
        <x:v>46112</x:v>
      </x:c>
      <x:c r="AD39" s="54" t="n">
        <x:v>46022</x:v>
      </x:c>
      <x:c r="AE39" s="47" t="str">
        <x:v>OK</x:v>
      </x:c>
    </x:row>
    <x:row r="40">
      <x:c r="A40" s="47" t="n">
        <x:f>IF(ISNUMBER(H40),1+COUNTIF($H$5:$H$121,"&gt;"&amp;H40),"")</x:f>
        <x:v>43</x:v>
      </x:c>
      <x:c r="B40" s="47" t="str">
        <x:v>BF-B</x:v>
      </x:c>
      <x:c r="C40" s="47" t="str">
        <x:v>Brown-Forman Corp.</x:v>
      </x:c>
      <x:c r="D40" s="49" t="str">
        <x:v>Short</x:v>
      </x:c>
      <x:c r="E40" s="49" t="n">
        <x:v>-0.003555</x:v>
      </x:c>
      <x:c r="F40" s="50" t="n">
        <x:v>0.29712437528260455</x:v>
      </x:c>
      <x:c r="G40" s="50" t="n">
        <x:v>0.11396524054050211</x:v>
      </x:c>
      <x:c r="H40" s="329" t="n">
        <x:f>IFERROR((IF(ISNUMBER(J40),J40*'Methodology'!$C$5,0)+IF(ISNUMBER(L40),L40*'Methodology'!$C$6,0)+IF(ISNUMBER(O40),O40*'Methodology'!$C$7,0)+IF(ISNUMBER(U40),U40*'Methodology'!$C$8,0)+IF(ISNUMBER(W40),W40*'Methodology'!$C$9,0)+IF(ISNUMBER(Y40),Y40*'Methodology'!$C$10,0))/(IF(ISNUMBER(J40),'Methodology'!$C$5,0)+IF(ISNUMBER(L40),'Methodology'!$C$6,0)+IF(ISNUMBER(O40),'Methodology'!$C$7,0)+IF(ISNUMBER(U40),'Methodology'!$C$8,0)+IF(ISNUMBER(W40),'Methodology'!$C$9,0)+IF(ISNUMBER(Y40),'Methodology'!$C$10,0)),"")</x:f>
        <x:v>5.916257802916723</x:v>
      </x:c>
      <x:c r="I40" s="47" t="n">
        <x:f>COUNT(J40,L40,O40,U40,W40,Y40)</x:f>
        <x:v>6</x:v>
      </x:c>
      <x:c r="J40" s="52" t="n">
        <x:v>5.189655172413793</x:v>
      </x:c>
      <x:c r="K40" s="47" t="n">
        <x:f>IF(ISNUMBER(J40),1+COUNTIF($J$5:$J$121,"&gt;"&amp;J40),"")</x:f>
        <x:v>63</x:v>
      </x:c>
      <x:c r="L40" s="52" t="n">
        <x:v>5.430632411067194</x:v>
      </x:c>
      <x:c r="M40" s="47" t="n">
        <x:f>IF(ISNUMBER(L40),1+COUNTIF($L$5:$L$121,"&gt;"&amp;L40),"")</x:f>
        <x:v>65</x:v>
      </x:c>
      <x:c r="N40" s="47" t="str">
        <x:v>SUE + CAR3</x:v>
      </x:c>
      <x:c r="O40" s="52" t="n">
        <x:f>IFERROR(INDEX('Analyst Revisions'!$K$5:$K$121,MATCH(B40,'Analyst Revisions'!$B$5:$B$121,0)),"")</x:f>
        <x:v>4.258</x:v>
      </x:c>
      <x:c r="P40" s="47" t="n">
        <x:f>IF(ISNUMBER(O40),1+COUNTIF($O$5:$O$121,"&gt;"&amp;O40),"")</x:f>
        <x:v>73</x:v>
      </x:c>
      <x:c r="Q40" s="50" t="n">
        <x:f>IFERROR(INDEX('Analyst Revisions'!$G$5:$G$121,MATCH(B40,'Analyst Revisions'!$B$5:$B$121,0)),"")</x:f>
        <x:v>0.36835</x:v>
      </x:c>
      <x:c r="R40" s="50" t="n">
        <x:f>IFERROR(INDEX('Analyst Revisions'!$H$5:$H$121,MATCH(B40,'Analyst Revisions'!$B$5:$B$121,0)),"")</x:f>
        <x:v>0.37258</x:v>
      </x:c>
      <x:c r="S40" s="317" t="n">
        <x:f>IFERROR(INDEX('Analyst Revisions'!$I$5:$I$121,MATCH(B40,'Analyst Revisions'!$B$5:$B$121,0)),"")</x:f>
        <x:v>-0.011353266412582563</x:v>
      </x:c>
      <x:c r="T40" s="47" t="str">
        <x:f>IFERROR(INDEX('Analyst Revisions'!$L$5:$L$121,MATCH(B40,'Analyst Revisions'!$B$5:$B$121,0)),"")</x:f>
        <x:v>OK</x:v>
      </x:c>
      <x:c r="U40" s="52" t="n">
        <x:v>6.259535232383808</x:v>
      </x:c>
      <x:c r="V40" s="47" t="n">
        <x:f>IF(ISNUMBER(U40),1+COUNTIF($U$5:$U$121,"&gt;"&amp;U40),"")</x:f>
        <x:v>41</x:v>
      </x:c>
      <x:c r="W40" s="52" t="n">
        <x:v>8.333448275862068</x:v>
      </x:c>
      <x:c r="X40" s="47" t="n">
        <x:f>IF(ISNUMBER(W40),1+COUNTIF($W$5:$W$121,"&gt;"&amp;W40),"")</x:f>
        <x:v>10</x:v>
      </x:c>
      <x:c r="Y40" s="52" t="n">
        <x:v>8.370689655172413</x:v>
      </x:c>
      <x:c r="Z40" s="47" t="n">
        <x:f>IF(ISNUMBER(Y40),1+COUNTIF($Y$5:$Y$121,"&gt;"&amp;Y40),"")</x:f>
        <x:v>22</x:v>
      </x:c>
      <x:c r="AA40" s="47" t="str"/>
      <x:c r="AB40" s="54" t="n">
        <x:v>46213</x:v>
      </x:c>
      <x:c r="AC40" s="54" t="n">
        <x:v>46142</x:v>
      </x:c>
      <x:c r="AD40" s="54" t="n">
        <x:v>46142</x:v>
      </x:c>
      <x:c r="AE40" s="47" t="str">
        <x:v>OK</x:v>
      </x:c>
    </x:row>
    <x:row r="41">
      <x:c r="A41" s="47" t="n">
        <x:f>IF(ISNUMBER(H41),1+COUNTIF($H$5:$H$121,"&gt;"&amp;H41),"")</x:f>
        <x:v>30</x:v>
      </x:c>
      <x:c r="B41" s="47" t="str">
        <x:v>CB</x:v>
      </x:c>
      <x:c r="C41" s="47" t="str">
        <x:v>Chubb Ltd.</x:v>
      </x:c>
      <x:c r="D41" s="49" t="str">
        <x:v>Long</x:v>
      </x:c>
      <x:c r="E41" s="49" t="n">
        <x:v>0.004187</x:v>
      </x:c>
      <x:c r="F41" s="50" t="n">
        <x:v>0.030786600451909982</x:v>
      </x:c>
      <x:c r="G41" s="50" t="n">
        <x:v>-0.13906542056463195</x:v>
      </x:c>
      <x:c r="H41" s="329" t="n">
        <x:f>IFERROR((IF(ISNUMBER(J41),J41*'Methodology'!$C$5,0)+IF(ISNUMBER(L41),L41*'Methodology'!$C$6,0)+IF(ISNUMBER(O41),O41*'Methodology'!$C$7,0)+IF(ISNUMBER(U41),U41*'Methodology'!$C$8,0)+IF(ISNUMBER(W41),W41*'Methodology'!$C$9,0)+IF(ISNUMBER(Y41),Y41*'Methodology'!$C$10,0))/(IF(ISNUMBER(J41),'Methodology'!$C$5,0)+IF(ISNUMBER(L41),'Methodology'!$C$6,0)+IF(ISNUMBER(O41),'Methodology'!$C$7,0)+IF(ISNUMBER(U41),'Methodology'!$C$8,0)+IF(ISNUMBER(W41),'Methodology'!$C$9,0)+IF(ISNUMBER(Y41),'Methodology'!$C$10,0)),"")</x:f>
        <x:v>6.327988483031212</x:v>
      </x:c>
      <x:c r="I41" s="47" t="n">
        <x:f>COUNT(J41,L41,O41,U41,W41,Y41)</x:f>
        <x:v>6</x:v>
      </x:c>
      <x:c r="J41" s="52" t="n">
        <x:v>5.887931034482759</x:v>
      </x:c>
      <x:c r="K41" s="47" t="n">
        <x:f>IF(ISNUMBER(J41),1+COUNTIF($J$5:$J$121,"&gt;"&amp;J41),"")</x:f>
        <x:v>54</x:v>
      </x:c>
      <x:c r="L41" s="52" t="n">
        <x:v>6.787747035573123</x:v>
      </x:c>
      <x:c r="M41" s="47" t="n">
        <x:f>IF(ISNUMBER(L41),1+COUNTIF($L$5:$L$121,"&gt;"&amp;L41),"")</x:f>
        <x:v>31</x:v>
      </x:c>
      <x:c r="N41" s="47" t="str">
        <x:v>SUE + CAR3</x:v>
      </x:c>
      <x:c r="O41" s="52" t="n">
        <x:f>IFERROR(INDEX('Analyst Revisions'!$K$5:$K$121,MATCH(B41,'Analyst Revisions'!$B$5:$B$121,0)),"")</x:f>
        <x:v>7.282</x:v>
      </x:c>
      <x:c r="P41" s="47" t="n">
        <x:f>IF(ISNUMBER(O41),1+COUNTIF($O$5:$O$121,"&gt;"&amp;O41),"")</x:f>
        <x:v>36</x:v>
      </x:c>
      <x:c r="Q41" s="50" t="n">
        <x:f>IFERROR(INDEX('Analyst Revisions'!$G$5:$G$121,MATCH(B41,'Analyst Revisions'!$B$5:$B$121,0)),"")</x:f>
        <x:v>6.32656</x:v>
      </x:c>
      <x:c r="R41" s="50" t="n">
        <x:f>IFERROR(INDEX('Analyst Revisions'!$H$5:$H$121,MATCH(B41,'Analyst Revisions'!$B$5:$B$121,0)),"")</x:f>
        <x:v>6.27568</x:v>
      </x:c>
      <x:c r="S41" s="317" t="n">
        <x:f>IFERROR(INDEX('Analyst Revisions'!$I$5:$I$121,MATCH(B41,'Analyst Revisions'!$B$5:$B$121,0)),"")</x:f>
        <x:v>0.008107487953496572</x:v>
      </x:c>
      <x:c r="T41" s="47" t="str">
        <x:f>IFERROR(INDEX('Analyst Revisions'!$L$5:$L$121,MATCH(B41,'Analyst Revisions'!$B$5:$B$121,0)),"")</x:f>
        <x:v>OK</x:v>
      </x:c>
      <x:c r="U41" s="52" t="n">
        <x:v>7.982758620689655</x:v>
      </x:c>
      <x:c r="V41" s="47" t="n">
        <x:f>IF(ISNUMBER(U41),1+COUNTIF($U$5:$U$121,"&gt;"&amp;U41),"")</x:f>
        <x:v>22</x:v>
      </x:c>
      <x:c r="W41" s="52" t="n">
        <x:v>3.4827586206896552</x:v>
      </x:c>
      <x:c r="X41" s="47" t="n">
        <x:f>IF(ISNUMBER(W41),1+COUNTIF($W$5:$W$121,"&gt;"&amp;W41),"")</x:f>
        <x:v>88</x:v>
      </x:c>
      <x:c r="Y41" s="52" t="n">
        <x:v>6.043103448275861</x:v>
      </x:c>
      <x:c r="Z41" s="47" t="n">
        <x:f>IF(ISNUMBER(Y41),1+COUNTIF($Y$5:$Y$121,"&gt;"&amp;Y41),"")</x:f>
        <x:v>52</x:v>
      </x:c>
      <x:c r="AA41" s="47" t="str">
        <x:v>Finance</x:v>
      </x:c>
      <x:c r="AB41" s="54" t="n">
        <x:v>46213</x:v>
      </x:c>
      <x:c r="AC41" s="54" t="n">
        <x:v>46112</x:v>
      </x:c>
      <x:c r="AD41" s="54" t="n">
        <x:v>46022</x:v>
      </x:c>
      <x:c r="AE41" s="47" t="str">
        <x:v>OK</x:v>
      </x:c>
    </x:row>
    <x:row r="42">
      <x:c r="A42" s="47" t="n">
        <x:f>IF(ISNUMBER(H42),1+COUNTIF($H$5:$H$121,"&gt;"&amp;H42),"")</x:f>
        <x:v>55</x:v>
      </x:c>
      <x:c r="B42" s="47" t="str">
        <x:v>LHX</x:v>
      </x:c>
      <x:c r="C42" s="47" t="str">
        <x:v>L3Harris Technologies Inc.</x:v>
      </x:c>
      <x:c r="D42" s="49" t="str">
        <x:v>Long</x:v>
      </x:c>
      <x:c r="E42" s="49" t="n">
        <x:v>0.004</x:v>
      </x:c>
      <x:c r="F42" s="50" t="n">
        <x:v>0.36717508827532275</x:v>
      </x:c>
      <x:c r="G42" s="50" t="n">
        <x:v>0.04587354877639371</x:v>
      </x:c>
      <x:c r="H42" s="329" t="n">
        <x:f>IFERROR((IF(ISNUMBER(J42),J42*'Methodology'!$C$5,0)+IF(ISNUMBER(L42),L42*'Methodology'!$C$6,0)+IF(ISNUMBER(O42),O42*'Methodology'!$C$7,0)+IF(ISNUMBER(U42),U42*'Methodology'!$C$8,0)+IF(ISNUMBER(W42),W42*'Methodology'!$C$9,0)+IF(ISNUMBER(Y42),Y42*'Methodology'!$C$10,0))/(IF(ISNUMBER(J42),'Methodology'!$C$5,0)+IF(ISNUMBER(L42),'Methodology'!$C$6,0)+IF(ISNUMBER(O42),'Methodology'!$C$7,0)+IF(ISNUMBER(U42),'Methodology'!$C$8,0)+IF(ISNUMBER(W42),'Methodology'!$C$9,0)+IF(ISNUMBER(Y42),'Methodology'!$C$10,0)),"")</x:f>
        <x:v>5.601516968788333</x:v>
      </x:c>
      <x:c r="I42" s="47" t="n">
        <x:f>COUNT(J42,L42,O42,U42,W42,Y42)</x:f>
        <x:v>6</x:v>
      </x:c>
      <x:c r="J42" s="52" t="n">
        <x:v>5.655172413793104</x:v>
      </x:c>
      <x:c r="K42" s="47" t="n">
        <x:f>IF(ISNUMBER(J42),1+COUNTIF($J$5:$J$121,"&gt;"&amp;J42),"")</x:f>
        <x:v>57</x:v>
      </x:c>
      <x:c r="L42" s="52" t="n">
        <x:v>5.3203557312252965</x:v>
      </x:c>
      <x:c r="M42" s="47" t="n">
        <x:f>IF(ISNUMBER(L42),1+COUNTIF($L$5:$L$121,"&gt;"&amp;L42),"")</x:f>
        <x:v>68</x:v>
      </x:c>
      <x:c r="N42" s="47" t="str">
        <x:v>SUE + CAR3</x:v>
      </x:c>
      <x:c r="O42" s="52" t="n">
        <x:f>IFERROR(INDEX('Analyst Revisions'!$K$5:$K$121,MATCH(B42,'Analyst Revisions'!$B$5:$B$121,0)),"")</x:f>
        <x:v>2.935</x:v>
      </x:c>
      <x:c r="P42" s="47" t="n">
        <x:f>IF(ISNUMBER(O42),1+COUNTIF($O$5:$O$121,"&gt;"&amp;O42),"")</x:f>
        <x:v>90</x:v>
      </x:c>
      <x:c r="Q42" s="50" t="n">
        <x:f>IFERROR(INDEX('Analyst Revisions'!$G$5:$G$121,MATCH(B42,'Analyst Revisions'!$B$5:$B$121,0)),"")</x:f>
        <x:v>2.95518</x:v>
      </x:c>
      <x:c r="R42" s="50" t="n">
        <x:f>IFERROR(INDEX('Analyst Revisions'!$H$5:$H$121,MATCH(B42,'Analyst Revisions'!$B$5:$B$121,0)),"")</x:f>
        <x:v>3.04177</x:v>
      </x:c>
      <x:c r="S42" s="317" t="n">
        <x:f>IFERROR(INDEX('Analyst Revisions'!$I$5:$I$121,MATCH(B42,'Analyst Revisions'!$B$5:$B$121,0)),"")</x:f>
        <x:v>-0.028466978108141038</x:v>
      </x:c>
      <x:c r="T42" s="47" t="str">
        <x:f>IFERROR(INDEX('Analyst Revisions'!$L$5:$L$121,MATCH(B42,'Analyst Revisions'!$B$5:$B$121,0)),"")</x:f>
        <x:v>OK</x:v>
      </x:c>
      <x:c r="U42" s="52" t="n">
        <x:v>5.091559220389805</x:v>
      </x:c>
      <x:c r="V42" s="47" t="n">
        <x:f>IF(ISNUMBER(U42),1+COUNTIF($U$5:$U$121,"&gt;"&amp;U42),"")</x:f>
        <x:v>72</x:v>
      </x:c>
      <x:c r="W42" s="52" t="n">
        <x:v>8.474655172413792</x:v>
      </x:c>
      <x:c r="X42" s="47" t="n">
        <x:f>IF(ISNUMBER(W42),1+COUNTIF($W$5:$W$121,"&gt;"&amp;W42),"")</x:f>
        <x:v>7</x:v>
      </x:c>
      <x:c r="Y42" s="52" t="n">
        <x:v>7.75</x:v>
      </x:c>
      <x:c r="Z42" s="47" t="n">
        <x:f>IF(ISNUMBER(Y42),1+COUNTIF($Y$5:$Y$121,"&gt;"&amp;Y42),"")</x:f>
        <x:v>30</x:v>
      </x:c>
      <x:c r="AA42" s="47" t="str">
        <x:v>Industrials</x:v>
      </x:c>
      <x:c r="AB42" s="54" t="n">
        <x:v>46213</x:v>
      </x:c>
      <x:c r="AC42" s="54" t="n">
        <x:v>46115</x:v>
      </x:c>
      <x:c r="AD42" s="54" t="n">
        <x:v>46024</x:v>
      </x:c>
      <x:c r="AE42" s="47" t="str">
        <x:v>OK</x:v>
      </x:c>
    </x:row>
    <x:row r="43">
      <x:c r="A43" s="47" t="n">
        <x:f>IF(ISNUMBER(H43),1+COUNTIF($H$5:$H$121,"&gt;"&amp;H43),"")</x:f>
        <x:v>19</x:v>
      </x:c>
      <x:c r="B43" s="47" t="str">
        <x:v>REGN</x:v>
      </x:c>
      <x:c r="C43" s="47" t="str">
        <x:v>Regeneron Pharmaceuticals Inc.</x:v>
      </x:c>
      <x:c r="D43" s="49" t="str">
        <x:v>Long</x:v>
      </x:c>
      <x:c r="E43" s="49" t="n">
        <x:v>0.004571</x:v>
      </x:c>
      <x:c r="F43" s="50" t="n">
        <x:v>0.049257152973599325</x:v>
      </x:c>
      <x:c r="G43" s="50" t="n">
        <x:v>0.09781524218665832</x:v>
      </x:c>
      <x:c r="H43" s="329" t="n">
        <x:f>IFERROR((IF(ISNUMBER(J43),J43*'Methodology'!$C$5,0)+IF(ISNUMBER(L43),L43*'Methodology'!$C$6,0)+IF(ISNUMBER(O43),O43*'Methodology'!$C$7,0)+IF(ISNUMBER(U43),U43*'Methodology'!$C$8,0)+IF(ISNUMBER(W43),W43*'Methodology'!$C$9,0)+IF(ISNUMBER(Y43),Y43*'Methodology'!$C$10,0))/(IF(ISNUMBER(J43),'Methodology'!$C$5,0)+IF(ISNUMBER(L43),'Methodology'!$C$6,0)+IF(ISNUMBER(O43),'Methodology'!$C$7,0)+IF(ISNUMBER(U43),'Methodology'!$C$8,0)+IF(ISNUMBER(W43),'Methodology'!$C$9,0)+IF(ISNUMBER(Y43),'Methodology'!$C$10,0)),"")</x:f>
        <x:v>6.75153509608832</x:v>
      </x:c>
      <x:c r="I43" s="47" t="n">
        <x:f>COUNT(J43,L43,O43,U43,W43,Y43)</x:f>
        <x:v>6</x:v>
      </x:c>
      <x:c r="J43" s="52" t="n">
        <x:v>6.043103448275861</x:v>
      </x:c>
      <x:c r="K43" s="47" t="n">
        <x:f>IF(ISNUMBER(J43),1+COUNTIF($J$5:$J$121,"&gt;"&amp;J43),"")</x:f>
        <x:v>52</x:v>
      </x:c>
      <x:c r="L43" s="52" t="n">
        <x:v>6.124308300395256</x:v>
      </x:c>
      <x:c r="M43" s="47" t="n">
        <x:f>IF(ISNUMBER(L43),1+COUNTIF($L$5:$L$121,"&gt;"&amp;L43),"")</x:f>
        <x:v>45</x:v>
      </x:c>
      <x:c r="N43" s="47" t="str">
        <x:v>SUE + CAR3</x:v>
      </x:c>
      <x:c r="O43" s="52" t="n">
        <x:f>IFERROR(INDEX('Analyst Revisions'!$K$5:$K$121,MATCH(B43,'Analyst Revisions'!$B$5:$B$121,0)),"")</x:f>
        <x:v>9.919</x:v>
      </x:c>
      <x:c r="P43" s="47" t="n">
        <x:f>IF(ISNUMBER(O43),1+COUNTIF($O$5:$O$121,"&gt;"&amp;O43),"")</x:f>
        <x:v>2</x:v>
      </x:c>
      <x:c r="Q43" s="50" t="n">
        <x:f>IFERROR(INDEX('Analyst Revisions'!$G$5:$G$121,MATCH(B43,'Analyst Revisions'!$B$5:$B$121,0)),"")</x:f>
        <x:v>16.04549</x:v>
      </x:c>
      <x:c r="R43" s="50" t="n">
        <x:f>IFERROR(INDEX('Analyst Revisions'!$H$5:$H$121,MATCH(B43,'Analyst Revisions'!$B$5:$B$121,0)),"")</x:f>
        <x:v>13.07491</x:v>
      </x:c>
      <x:c r="S43" s="317" t="n">
        <x:f>IFERROR(INDEX('Analyst Revisions'!$I$5:$I$121,MATCH(B43,'Analyst Revisions'!$B$5:$B$121,0)),"")</x:f>
        <x:v>0.22719697496961752</x:v>
      </x:c>
      <x:c r="T43" s="47" t="str">
        <x:f>IFERROR(INDEX('Analyst Revisions'!$L$5:$L$121,MATCH(B43,'Analyst Revisions'!$B$5:$B$121,0)),"")</x:f>
        <x:v>OK</x:v>
      </x:c>
      <x:c r="U43" s="52" t="n">
        <x:v>6.126053223388306</x:v>
      </x:c>
      <x:c r="V43" s="47" t="n">
        <x:f>IF(ISNUMBER(U43),1+COUNTIF($U$5:$U$121,"&gt;"&amp;U43),"")</x:f>
        <x:v>44</x:v>
      </x:c>
      <x:c r="W43" s="52" t="n">
        <x:v>5.408448275862069</x:v>
      </x:c>
      <x:c r="X43" s="47" t="n">
        <x:f>IF(ISNUMBER(W43),1+COUNTIF($W$5:$W$121,"&gt;"&amp;W43),"")</x:f>
        <x:v>52</x:v>
      </x:c>
      <x:c r="Y43" s="52" t="n">
        <x:v>6.974137931034483</x:v>
      </x:c>
      <x:c r="Z43" s="47" t="n">
        <x:f>IF(ISNUMBER(Y43),1+COUNTIF($Y$5:$Y$121,"&gt;"&amp;Y43),"")</x:f>
        <x:v>40</x:v>
      </x:c>
      <x:c r="AA43" s="47" t="str">
        <x:v>Health Care</x:v>
      </x:c>
      <x:c r="AB43" s="54" t="n">
        <x:v>46213</x:v>
      </x:c>
      <x:c r="AC43" s="54" t="n">
        <x:v>46112</x:v>
      </x:c>
      <x:c r="AD43" s="54" t="n">
        <x:v>46022</x:v>
      </x:c>
      <x:c r="AE43" s="47" t="str">
        <x:v>OK</x:v>
      </x:c>
    </x:row>
    <x:row r="44">
      <x:c r="A44" s="47" t="n">
        <x:f>IF(ISNUMBER(H44),1+COUNTIF($H$5:$H$121,"&gt;"&amp;H44),"")</x:f>
        <x:v>32</x:v>
      </x:c>
      <x:c r="B44" s="47" t="str">
        <x:v>BRK-B</x:v>
      </x:c>
      <x:c r="C44" s="47" t="str">
        <x:v>Berkshire Hathaway Inc.</x:v>
      </x:c>
      <x:c r="D44" s="49" t="str">
        <x:v>Long</x:v>
      </x:c>
      <x:c r="E44" s="49" t="n">
        <x:v>0.004245</x:v>
      </x:c>
      <x:c r="F44" s="50" t="n">
        <x:v>0.22953482211872517</x:v>
      </x:c>
      <x:c r="G44" s="50" t="n">
        <x:v>0.12928515992059625</x:v>
      </x:c>
      <x:c r="H44" s="329" t="n">
        <x:f>IFERROR((IF(ISNUMBER(J44),J44*'Methodology'!$C$5,0)+IF(ISNUMBER(L44),L44*'Methodology'!$C$6,0)+IF(ISNUMBER(O44),O44*'Methodology'!$C$7,0)+IF(ISNUMBER(U44),U44*'Methodology'!$C$8,0)+IF(ISNUMBER(W44),W44*'Methodology'!$C$9,0)+IF(ISNUMBER(Y44),Y44*'Methodology'!$C$10,0))/(IF(ISNUMBER(J44),'Methodology'!$C$5,0)+IF(ISNUMBER(L44),'Methodology'!$C$6,0)+IF(ISNUMBER(O44),'Methodology'!$C$7,0)+IF(ISNUMBER(U44),'Methodology'!$C$8,0)+IF(ISNUMBER(W44),'Methodology'!$C$9,0)+IF(ISNUMBER(Y44),'Methodology'!$C$10,0)),"")</x:f>
        <x:v>6.314504497751125</x:v>
      </x:c>
      <x:c r="I44" s="47" t="n">
        <x:f>COUNT(J44,L44,O44,U44,W44,Y44)</x:f>
        <x:v>6</x:v>
      </x:c>
      <x:c r="J44" s="52" t="n">
        <x:v>5.732758620689655</x:v>
      </x:c>
      <x:c r="K44" s="47" t="n">
        <x:f>IF(ISNUMBER(J44),1+COUNTIF($J$5:$J$121,"&gt;"&amp;J44),"")</x:f>
        <x:v>56</x:v>
      </x:c>
      <x:c r="L44" s="52" t="n">
        <x:v>7.026086956521739</x:v>
      </x:c>
      <x:c r="M44" s="47" t="n">
        <x:f>IF(ISNUMBER(L44),1+COUNTIF($L$5:$L$121,"&gt;"&amp;L44),"")</x:f>
        <x:v>24</x:v>
      </x:c>
      <x:c r="N44" s="47" t="str">
        <x:v>CAR3 only</x:v>
      </x:c>
      <x:c r="O44" s="52" t="n">
        <x:f>IFERROR(INDEX('Analyst Revisions'!$K$5:$K$121,MATCH(B44,'Analyst Revisions'!$B$5:$B$121,0)),"")</x:f>
        <x:v>7.516</x:v>
      </x:c>
      <x:c r="P44" s="47" t="n">
        <x:f>IF(ISNUMBER(O44),1+COUNTIF($O$5:$O$121,"&gt;"&amp;O44),"")</x:f>
        <x:v>33</x:v>
      </x:c>
      <x:c r="Q44" s="50" t="n">
        <x:f>IFERROR(INDEX('Analyst Revisions'!$G$5:$G$121,MATCH(B44,'Analyst Revisions'!$B$5:$B$121,0)),"")</x:f>
        <x:v>5.34972</x:v>
      </x:c>
      <x:c r="R44" s="50" t="n">
        <x:f>IFERROR(INDEX('Analyst Revisions'!$H$5:$H$121,MATCH(B44,'Analyst Revisions'!$B$5:$B$121,0)),"")</x:f>
        <x:v>5.29866</x:v>
      </x:c>
      <x:c r="S44" s="317" t="n">
        <x:f>IFERROR(INDEX('Analyst Revisions'!$I$5:$I$121,MATCH(B44,'Analyst Revisions'!$B$5:$B$121,0)),"")</x:f>
        <x:v>0.00963639863663637</x:v>
      </x:c>
      <x:c r="T44" s="47" t="str">
        <x:f>IFERROR(INDEX('Analyst Revisions'!$L$5:$L$121,MATCH(B44,'Analyst Revisions'!$B$5:$B$121,0)),"")</x:f>
        <x:v>THIN COVERAGE</x:v>
      </x:c>
      <x:c r="U44" s="52" t="n">
        <x:v>8.02155172413793</x:v>
      </x:c>
      <x:c r="V44" s="47" t="n">
        <x:f>IF(ISNUMBER(U44),1+COUNTIF($U$5:$U$121,"&gt;"&amp;U44),"")</x:f>
        <x:v>21</x:v>
      </x:c>
      <x:c r="W44" s="52" t="n">
        <x:v>6.198275862068965</x:v>
      </x:c>
      <x:c r="X44" s="47" t="n">
        <x:f>IF(ISNUMBER(W44),1+COUNTIF($W$5:$W$121,"&gt;"&amp;W44),"")</x:f>
        <x:v>39</x:v>
      </x:c>
      <x:c r="Y44" s="52" t="n">
        <x:v>2.6293103448275863</x:v>
      </x:c>
      <x:c r="Z44" s="47" t="n">
        <x:f>IF(ISNUMBER(Y44),1+COUNTIF($Y$5:$Y$121,"&gt;"&amp;Y44),"")</x:f>
        <x:v>96</x:v>
      </x:c>
      <x:c r="AA44" s="47" t="str"/>
      <x:c r="AB44" s="54" t="n">
        <x:v>46213</x:v>
      </x:c>
      <x:c r="AC44" s="54" t="n">
        <x:v>40451</x:v>
      </x:c>
      <x:c r="AD44" s="54" t="n">
        <x:v>46022</x:v>
      </x:c>
      <x:c r="AE44" s="47" t="str">
        <x:v>OK</x:v>
      </x:c>
    </x:row>
    <x:row r="45">
      <x:c r="A45" s="47" t="n">
        <x:f>IF(ISNUMBER(H45),1+COUNTIF($H$5:$H$121,"&gt;"&amp;H45),"")</x:f>
        <x:v>58</x:v>
      </x:c>
      <x:c r="B45" s="47" t="str">
        <x:v>RLI</x:v>
      </x:c>
      <x:c r="C45" s="47" t="str">
        <x:v>RLI Corp.</x:v>
      </x:c>
      <x:c r="D45" s="49" t="str">
        <x:v>Long</x:v>
      </x:c>
      <x:c r="E45" s="49" t="n">
        <x:v>0.004589</x:v>
      </x:c>
      <x:c r="F45" s="50" t="n">
        <x:v>0.12239190230083673</x:v>
      </x:c>
      <x:c r="G45" s="50" t="n">
        <x:v>-0.10101301932376879</x:v>
      </x:c>
      <x:c r="H45" s="329" t="n">
        <x:f>IFERROR((IF(ISNUMBER(J45),J45*'Methodology'!$C$5,0)+IF(ISNUMBER(L45),L45*'Methodology'!$C$6,0)+IF(ISNUMBER(O45),O45*'Methodology'!$C$7,0)+IF(ISNUMBER(U45),U45*'Methodology'!$C$8,0)+IF(ISNUMBER(W45),W45*'Methodology'!$C$9,0)+IF(ISNUMBER(Y45),Y45*'Methodology'!$C$10,0))/(IF(ISNUMBER(J45),'Methodology'!$C$5,0)+IF(ISNUMBER(L45),'Methodology'!$C$6,0)+IF(ISNUMBER(O45),'Methodology'!$C$7,0)+IF(ISNUMBER(U45),'Methodology'!$C$8,0)+IF(ISNUMBER(W45),'Methodology'!$C$9,0)+IF(ISNUMBER(Y45),'Methodology'!$C$10,0)),"")</x:f>
        <x:v>5.506343941665531</x:v>
      </x:c>
      <x:c r="I45" s="47" t="n">
        <x:f>COUNT(J45,L45,O45,U45,W45,Y45)</x:f>
        <x:v>6</x:v>
      </x:c>
      <x:c r="J45" s="52" t="n">
        <x:v>8.836206896551724</x:v>
      </x:c>
      <x:c r="K45" s="47" t="n">
        <x:f>IF(ISNUMBER(J45),1+COUNTIF($J$5:$J$121,"&gt;"&amp;J45),"")</x:f>
        <x:v>16</x:v>
      </x:c>
      <x:c r="L45" s="52" t="n">
        <x:v>3.5221343873517785</x:v>
      </x:c>
      <x:c r="M45" s="47" t="n">
        <x:f>IF(ISNUMBER(L45),1+COUNTIF($L$5:$L$121,"&gt;"&amp;L45),"")</x:f>
        <x:v>99</x:v>
      </x:c>
      <x:c r="N45" s="47" t="str">
        <x:v>SUE + CAR3</x:v>
      </x:c>
      <x:c r="O45" s="52" t="n">
        <x:f>IFERROR(INDEX('Analyst Revisions'!$K$5:$K$121,MATCH(B45,'Analyst Revisions'!$B$5:$B$121,0)),"")</x:f>
        <x:v>2.854</x:v>
      </x:c>
      <x:c r="P45" s="47" t="n">
        <x:f>IF(ISNUMBER(O45),1+COUNTIF($O$5:$O$121,"&gt;"&amp;O45),"")</x:f>
        <x:v>91</x:v>
      </x:c>
      <x:c r="Q45" s="50" t="n">
        <x:f>IFERROR(INDEX('Analyst Revisions'!$G$5:$G$121,MATCH(B45,'Analyst Revisions'!$B$5:$B$121,0)),"")</x:f>
        <x:v>0.50375</x:v>
      </x:c>
      <x:c r="R45" s="50" t="n">
        <x:f>IFERROR(INDEX('Analyst Revisions'!$H$5:$H$121,MATCH(B45,'Analyst Revisions'!$B$5:$B$121,0)),"")</x:f>
        <x:v>0.51875</x:v>
      </x:c>
      <x:c r="S45" s="317" t="n">
        <x:f>IFERROR(INDEX('Analyst Revisions'!$I$5:$I$121,MATCH(B45,'Analyst Revisions'!$B$5:$B$121,0)),"")</x:f>
        <x:v>-0.02891566265060243</x:v>
      </x:c>
      <x:c r="T45" s="47" t="str">
        <x:f>IFERROR(INDEX('Analyst Revisions'!$L$5:$L$121,MATCH(B45,'Analyst Revisions'!$B$5:$B$121,0)),"")</x:f>
        <x:v>OK</x:v>
      </x:c>
      <x:c r="U45" s="52" t="n">
        <x:v>6.625</x:v>
      </x:c>
      <x:c r="V45" s="47" t="n">
        <x:f>IF(ISNUMBER(U45),1+COUNTIF($U$5:$U$121,"&gt;"&amp;U45),"")</x:f>
        <x:v>33</x:v>
      </x:c>
      <x:c r="W45" s="52" t="n">
        <x:v>3.7931034482758617</x:v>
      </x:c>
      <x:c r="X45" s="47" t="n">
        <x:f>IF(ISNUMBER(W45),1+COUNTIF($W$5:$W$121,"&gt;"&amp;W45),"")</x:f>
        <x:v>85</x:v>
      </x:c>
      <x:c r="Y45" s="52" t="n">
        <x:v>7.051724137931035</x:v>
      </x:c>
      <x:c r="Z45" s="47" t="n">
        <x:f>IF(ISNUMBER(Y45),1+COUNTIF($Y$5:$Y$121,"&gt;"&amp;Y45),"")</x:f>
        <x:v>39</x:v>
      </x:c>
      <x:c r="AA45" s="47" t="str">
        <x:v>Finance</x:v>
      </x:c>
      <x:c r="AB45" s="54" t="n">
        <x:v>46213</x:v>
      </x:c>
      <x:c r="AC45" s="54" t="n">
        <x:v>46112</x:v>
      </x:c>
      <x:c r="AD45" s="54" t="n">
        <x:v>46022</x:v>
      </x:c>
      <x:c r="AE45" s="47" t="str">
        <x:v>OK</x:v>
      </x:c>
    </x:row>
    <x:row r="46">
      <x:c r="A46" s="47" t="n">
        <x:f>IF(ISNUMBER(H46),1+COUNTIF($H$5:$H$121,"&gt;"&amp;H46),"")</x:f>
        <x:v>28</x:v>
      </x:c>
      <x:c r="B46" s="47" t="str">
        <x:v>APD</x:v>
      </x:c>
      <x:c r="C46" s="47" t="str">
        <x:v>Air Products and Chemicals Inc.</x:v>
      </x:c>
      <x:c r="D46" s="49" t="str">
        <x:v>Long</x:v>
      </x:c>
      <x:c r="E46" s="49" t="n">
        <x:v>0.004121</x:v>
      </x:c>
      <x:c r="F46" s="50" t="n">
        <x:v>0.42921893942143124</x:v>
      </x:c>
      <x:c r="G46" s="50" t="n">
        <x:v>0.02954262837792038</x:v>
      </x:c>
      <x:c r="H46" s="329" t="n">
        <x:f>IFERROR((IF(ISNUMBER(J46),J46*'Methodology'!$C$5,0)+IF(ISNUMBER(L46),L46*'Methodology'!$C$6,0)+IF(ISNUMBER(O46),O46*'Methodology'!$C$7,0)+IF(ISNUMBER(U46),U46*'Methodology'!$C$8,0)+IF(ISNUMBER(W46),W46*'Methodology'!$C$9,0)+IF(ISNUMBER(Y46),Y46*'Methodology'!$C$10,0))/(IF(ISNUMBER(J46),'Methodology'!$C$5,0)+IF(ISNUMBER(L46),'Methodology'!$C$6,0)+IF(ISNUMBER(O46),'Methodology'!$C$7,0)+IF(ISNUMBER(U46),'Methodology'!$C$8,0)+IF(ISNUMBER(W46),'Methodology'!$C$9,0)+IF(ISNUMBER(Y46),'Methodology'!$C$10,0)),"")</x:f>
        <x:v>6.438670028622052</x:v>
      </x:c>
      <x:c r="I46" s="47" t="n">
        <x:f>COUNT(J46,L46,O46,U46,W46,Y46)</x:f>
        <x:v>6</x:v>
      </x:c>
      <x:c r="J46" s="52" t="n">
        <x:v>7.827586206896552</x:v>
      </x:c>
      <x:c r="K46" s="47" t="n">
        <x:f>IF(ISNUMBER(J46),1+COUNTIF($J$5:$J$121,"&gt;"&amp;J46),"")</x:f>
        <x:v>29</x:v>
      </x:c>
      <x:c r="L46" s="52" t="n">
        <x:v>6.750395256916995</x:v>
      </x:c>
      <x:c r="M46" s="47" t="n">
        <x:f>IF(ISNUMBER(L46),1+COUNTIF($L$5:$L$121,"&gt;"&amp;L46),"")</x:f>
        <x:v>33</x:v>
      </x:c>
      <x:c r="N46" s="47" t="str">
        <x:v>SUE + CAR3</x:v>
      </x:c>
      <x:c r="O46" s="52" t="n">
        <x:f>IFERROR(INDEX('Analyst Revisions'!$K$5:$K$121,MATCH(B46,'Analyst Revisions'!$B$5:$B$121,0)),"")</x:f>
        <x:v>8.596</x:v>
      </x:c>
      <x:c r="P46" s="47" t="n">
        <x:f>IF(ISNUMBER(O46),1+COUNTIF($O$5:$O$121,"&gt;"&amp;O46),"")</x:f>
        <x:v>19</x:v>
      </x:c>
      <x:c r="Q46" s="50" t="n">
        <x:f>IFERROR(INDEX('Analyst Revisions'!$G$5:$G$121,MATCH(B46,'Analyst Revisions'!$B$5:$B$121,0)),"")</x:f>
        <x:v>3.61017</x:v>
      </x:c>
      <x:c r="R46" s="50" t="n">
        <x:f>IFERROR(INDEX('Analyst Revisions'!$H$5:$H$121,MATCH(B46,'Analyst Revisions'!$B$5:$B$121,0)),"")</x:f>
        <x:v>3.52008</x:v>
      </x:c>
      <x:c r="S46" s="317" t="n">
        <x:f>IFERROR(INDEX('Analyst Revisions'!$I$5:$I$121,MATCH(B46,'Analyst Revisions'!$B$5:$B$121,0)),"")</x:f>
        <x:v>0.02559316833708325</x:v>
      </x:c>
      <x:c r="T46" s="47" t="str">
        <x:f>IFERROR(INDEX('Analyst Revisions'!$L$5:$L$121,MATCH(B46,'Analyst Revisions'!$B$5:$B$121,0)),"")</x:f>
        <x:v>OK</x:v>
      </x:c>
      <x:c r="U46" s="52" t="n">
        <x:v>3.1482271364317844</x:v>
      </x:c>
      <x:c r="V46" s="47" t="n">
        <x:f>IF(ISNUMBER(U46),1+COUNTIF($U$5:$U$121,"&gt;"&amp;U46),"")</x:f>
        <x:v>103</x:v>
      </x:c>
      <x:c r="W46" s="52" t="n">
        <x:v>4.381206896551724</x:v>
      </x:c>
      <x:c r="X46" s="47" t="n">
        <x:f>IF(ISNUMBER(W46),1+COUNTIF($W$5:$W$121,"&gt;"&amp;W46),"")</x:f>
        <x:v>74</x:v>
      </x:c>
      <x:c r="Y46" s="52" t="n">
        <x:v>4.724137931034482</x:v>
      </x:c>
      <x:c r="Z46" s="47" t="n">
        <x:f>IF(ISNUMBER(Y46),1+COUNTIF($Y$5:$Y$121,"&gt;"&amp;Y46),"")</x:f>
        <x:v>69</x:v>
      </x:c>
      <x:c r="AA46" s="47" t="str">
        <x:v>Basic Materials</x:v>
      </x:c>
      <x:c r="AB46" s="54" t="n">
        <x:v>46213</x:v>
      </x:c>
      <x:c r="AC46" s="54" t="n">
        <x:v>46112</x:v>
      </x:c>
      <x:c r="AD46" s="54" t="n">
        <x:v>45930</x:v>
      </x:c>
      <x:c r="AE46" s="47" t="str">
        <x:v>OK</x:v>
      </x:c>
    </x:row>
    <x:row r="47">
      <x:c r="A47" s="47" t="n">
        <x:f>IF(ISNUMBER(H47),1+COUNTIF($H$5:$H$121,"&gt;"&amp;H47),"")</x:f>
        <x:v>69</x:v>
      </x:c>
      <x:c r="B47" s="47" t="str">
        <x:v>LYB</x:v>
      </x:c>
      <x:c r="C47" s="47" t="str">
        <x:v>LyondellBasell Industries NV</x:v>
      </x:c>
      <x:c r="D47" s="49" t="str">
        <x:v>Long</x:v>
      </x:c>
      <x:c r="E47" s="49" t="n">
        <x:v>0.003198</x:v>
      </x:c>
      <x:c r="F47" s="50" t="n">
        <x:v>-0.18151811083830863</x:v>
      </x:c>
      <x:c r="G47" s="50" t="n">
        <x:v>-0.21271241474656938</x:v>
      </x:c>
      <x:c r="H47" s="329" t="n">
        <x:f>IFERROR((IF(ISNUMBER(J47),J47*'Methodology'!$C$5,0)+IF(ISNUMBER(L47),L47*'Methodology'!$C$6,0)+IF(ISNUMBER(O47),O47*'Methodology'!$C$7,0)+IF(ISNUMBER(U47),U47*'Methodology'!$C$8,0)+IF(ISNUMBER(W47),W47*'Methodology'!$C$9,0)+IF(ISNUMBER(Y47),Y47*'Methodology'!$C$10,0))/(IF(ISNUMBER(J47),'Methodology'!$C$5,0)+IF(ISNUMBER(L47),'Methodology'!$C$6,0)+IF(ISNUMBER(O47),'Methodology'!$C$7,0)+IF(ISNUMBER(U47),'Methodology'!$C$8,0)+IF(ISNUMBER(W47),'Methodology'!$C$9,0)+IF(ISNUMBER(Y47),'Methodology'!$C$10,0)),"")</x:f>
        <x:v>5.267874403707237</x:v>
      </x:c>
      <x:c r="I47" s="47" t="n">
        <x:f>COUNT(J47,L47,O47,U47,W47,Y47)</x:f>
        <x:v>6</x:v>
      </x:c>
      <x:c r="J47" s="52" t="n">
        <x:v>4.181034482758621</x:v>
      </x:c>
      <x:c r="K47" s="47" t="n">
        <x:f>IF(ISNUMBER(J47),1+COUNTIF($J$5:$J$121,"&gt;"&amp;J47),"")</x:f>
        <x:v>76</x:v>
      </x:c>
      <x:c r="L47" s="52" t="n">
        <x:v>5.9055335968379445</x:v>
      </x:c>
      <x:c r="M47" s="47" t="n">
        <x:f>IF(ISNUMBER(L47),1+COUNTIF($L$5:$L$121,"&gt;"&amp;L47),"")</x:f>
        <x:v>52</x:v>
      </x:c>
      <x:c r="N47" s="47" t="str">
        <x:v>SUE + CAR3</x:v>
      </x:c>
      <x:c r="O47" s="52" t="n">
        <x:f>IFERROR(INDEX('Analyst Revisions'!$K$5:$K$121,MATCH(B47,'Analyst Revisions'!$B$5:$B$121,0)),"")</x:f>
        <x:v>1.846</x:v>
      </x:c>
      <x:c r="P47" s="47" t="n">
        <x:f>IF(ISNUMBER(O47),1+COUNTIF($O$5:$O$121,"&gt;"&amp;O47),"")</x:f>
        <x:v>104</x:v>
      </x:c>
      <x:c r="Q47" s="50" t="n">
        <x:f>IFERROR(INDEX('Analyst Revisions'!$G$5:$G$121,MATCH(B47,'Analyst Revisions'!$B$5:$B$121,0)),"")</x:f>
        <x:v>2.77135</x:v>
      </x:c>
      <x:c r="R47" s="50" t="n">
        <x:f>IFERROR(INDEX('Analyst Revisions'!$H$5:$H$121,MATCH(B47,'Analyst Revisions'!$B$5:$B$121,0)),"")</x:f>
        <x:v>3.28017</x:v>
      </x:c>
      <x:c r="S47" s="317" t="n">
        <x:f>IFERROR(INDEX('Analyst Revisions'!$I$5:$I$121,MATCH(B47,'Analyst Revisions'!$B$5:$B$121,0)),"")</x:f>
        <x:v>-0.15512000902392256</x:v>
      </x:c>
      <x:c r="T47" s="47" t="str">
        <x:f>IFERROR(INDEX('Analyst Revisions'!$L$5:$L$121,MATCH(B47,'Analyst Revisions'!$B$5:$B$121,0)),"")</x:f>
        <x:v>OK</x:v>
      </x:c>
      <x:c r="U47" s="52" t="n">
        <x:v>5.8807121439280365</x:v>
      </x:c>
      <x:c r="V47" s="47" t="n">
        <x:f>IF(ISNUMBER(U47),1+COUNTIF($U$5:$U$121,"&gt;"&amp;U47),"")</x:f>
        <x:v>48</x:v>
      </x:c>
      <x:c r="W47" s="52" t="n">
        <x:v>6.919827586206897</x:v>
      </x:c>
      <x:c r="X47" s="47" t="n">
        <x:f>IF(ISNUMBER(W47),1+COUNTIF($W$5:$W$121,"&gt;"&amp;W47),"")</x:f>
        <x:v>24</x:v>
      </x:c>
      <x:c r="Y47" s="52" t="n">
        <x:v>9.14655172413793</x:v>
      </x:c>
      <x:c r="Z47" s="47" t="n">
        <x:f>IF(ISNUMBER(Y47),1+COUNTIF($Y$5:$Y$121,"&gt;"&amp;Y47),"")</x:f>
        <x:v>12</x:v>
      </x:c>
      <x:c r="AA47" s="47" t="str">
        <x:v>Industrials</x:v>
      </x:c>
      <x:c r="AB47" s="54" t="n">
        <x:v>46213</x:v>
      </x:c>
      <x:c r="AC47" s="54" t="n">
        <x:v>46112</x:v>
      </x:c>
      <x:c r="AD47" s="54" t="n">
        <x:v>46022</x:v>
      </x:c>
      <x:c r="AE47" s="47" t="str">
        <x:v>OK</x:v>
      </x:c>
    </x:row>
    <x:row r="48">
      <x:c r="A48" s="47" t="n">
        <x:f>IF(ISNUMBER(H48),1+COUNTIF($H$5:$H$121,"&gt;"&amp;H48),"")</x:f>
        <x:v>37</x:v>
      </x:c>
      <x:c r="B48" s="47" t="str">
        <x:v>AMGN</x:v>
      </x:c>
      <x:c r="C48" s="47" t="str">
        <x:v>Amgen Inc.</x:v>
      </x:c>
      <x:c r="D48" s="49" t="str">
        <x:v>Long</x:v>
      </x:c>
      <x:c r="E48" s="49" t="n">
        <x:v>0.004374</x:v>
      </x:c>
      <x:c r="F48" s="50" t="n">
        <x:v>-0.0016127753963831057</x:v>
      </x:c>
      <x:c r="G48" s="50" t="n">
        <x:v>-0.12994255649496325</x:v>
      </x:c>
      <x:c r="H48" s="329" t="n">
        <x:f>IFERROR((IF(ISNUMBER(J48),J48*'Methodology'!$C$5,0)+IF(ISNUMBER(L48),L48*'Methodology'!$C$6,0)+IF(ISNUMBER(O48),O48*'Methodology'!$C$7,0)+IF(ISNUMBER(U48),U48*'Methodology'!$C$8,0)+IF(ISNUMBER(W48),W48*'Methodology'!$C$9,0)+IF(ISNUMBER(Y48),Y48*'Methodology'!$C$10,0))/(IF(ISNUMBER(J48),'Methodology'!$C$5,0)+IF(ISNUMBER(L48),'Methodology'!$C$6,0)+IF(ISNUMBER(O48),'Methodology'!$C$7,0)+IF(ISNUMBER(U48),'Methodology'!$C$8,0)+IF(ISNUMBER(W48),'Methodology'!$C$9,0)+IF(ISNUMBER(Y48),'Methodology'!$C$10,0)),"")</x:f>
        <x:v>6.1966565012948065</x:v>
      </x:c>
      <x:c r="I48" s="47" t="n">
        <x:f>COUNT(J48,L48,O48,U48,W48,Y48)</x:f>
        <x:v>6</x:v>
      </x:c>
      <x:c r="J48" s="52" t="n">
        <x:v>7.478448275862069</x:v>
      </x:c>
      <x:c r="K48" s="47" t="n">
        <x:f>IF(ISNUMBER(J48),1+COUNTIF($J$5:$J$121,"&gt;"&amp;J48),"")</x:f>
        <x:v>33</x:v>
      </x:c>
      <x:c r="L48" s="52" t="n">
        <x:v>4.123320158102767</x:v>
      </x:c>
      <x:c r="M48" s="47" t="n">
        <x:f>IF(ISNUMBER(L48),1+COUNTIF($L$5:$L$121,"&gt;"&amp;L48),"")</x:f>
        <x:v>86</x:v>
      </x:c>
      <x:c r="N48" s="47" t="str">
        <x:v>SUE + CAR3</x:v>
      </x:c>
      <x:c r="O48" s="52" t="n">
        <x:f>IFERROR(INDEX('Analyst Revisions'!$K$5:$K$121,MATCH(B48,'Analyst Revisions'!$B$5:$B$121,0)),"")</x:f>
        <x:v>7.435</x:v>
      </x:c>
      <x:c r="P48" s="47" t="n">
        <x:f>IF(ISNUMBER(O48),1+COUNTIF($O$5:$O$121,"&gt;"&amp;O48),"")</x:f>
        <x:v>34</x:v>
      </x:c>
      <x:c r="Q48" s="50" t="n">
        <x:f>IFERROR(INDEX('Analyst Revisions'!$G$5:$G$121,MATCH(B48,'Analyst Revisions'!$B$5:$B$121,0)),"")</x:f>
        <x:v>5.80412</x:v>
      </x:c>
      <x:c r="R48" s="50" t="n">
        <x:f>IFERROR(INDEX('Analyst Revisions'!$H$5:$H$121,MATCH(B48,'Analyst Revisions'!$B$5:$B$121,0)),"")</x:f>
        <x:v>5.7536</x:v>
      </x:c>
      <x:c r="S48" s="317" t="n">
        <x:f>IFERROR(INDEX('Analyst Revisions'!$I$5:$I$121,MATCH(B48,'Analyst Revisions'!$B$5:$B$121,0)),"")</x:f>
        <x:v>0.008780589543937808</x:v>
      </x:c>
      <x:c r="T48" s="47" t="str">
        <x:f>IFERROR(INDEX('Analyst Revisions'!$L$5:$L$121,MATCH(B48,'Analyst Revisions'!$B$5:$B$121,0)),"")</x:f>
        <x:v>OK</x:v>
      </x:c>
      <x:c r="U48" s="52" t="n">
        <x:v>3.47273988005997</x:v>
      </x:c>
      <x:c r="V48" s="47" t="n">
        <x:f>IF(ISNUMBER(U48),1+COUNTIF($U$5:$U$121,"&gt;"&amp;U48),"")</x:f>
        <x:v>98</x:v>
      </x:c>
      <x:c r="W48" s="52" t="n">
        <x:v>7.445862068965517</x:v>
      </x:c>
      <x:c r="X48" s="47" t="n">
        <x:f>IF(ISNUMBER(W48),1+COUNTIF($W$5:$W$121,"&gt;"&amp;W48),"")</x:f>
        <x:v>19</x:v>
      </x:c>
      <x:c r="Y48" s="52" t="n">
        <x:v>7.594827586206896</x:v>
      </x:c>
      <x:c r="Z48" s="47" t="n">
        <x:f>IF(ISNUMBER(Y48),1+COUNTIF($Y$5:$Y$121,"&gt;"&amp;Y48),"")</x:f>
        <x:v>32</x:v>
      </x:c>
      <x:c r="AA48" s="47" t="str">
        <x:v>Health Care</x:v>
      </x:c>
      <x:c r="AB48" s="54" t="n">
        <x:v>46213</x:v>
      </x:c>
      <x:c r="AC48" s="54" t="n">
        <x:v>46112</x:v>
      </x:c>
      <x:c r="AD48" s="54" t="n">
        <x:v>46022</x:v>
      </x:c>
      <x:c r="AE48" s="47" t="str">
        <x:v>OK</x:v>
      </x:c>
    </x:row>
    <x:row r="49">
      <x:c r="A49" s="47" t="n">
        <x:f>IF(ISNUMBER(H49),1+COUNTIF($H$5:$H$121,"&gt;"&amp;H49),"")</x:f>
        <x:v>45</x:v>
      </x:c>
      <x:c r="B49" s="47" t="str">
        <x:v>SIGI</x:v>
      </x:c>
      <x:c r="C49" s="47" t="str">
        <x:v>Selective Insurance Group Inc.</x:v>
      </x:c>
      <x:c r="D49" s="49" t="str">
        <x:v>Long</x:v>
      </x:c>
      <x:c r="E49" s="49" t="n">
        <x:v>0.004289</x:v>
      </x:c>
      <x:c r="F49" s="50" t="n">
        <x:v>0.37184156160434084</x:v>
      </x:c>
      <x:c r="G49" s="50" t="n">
        <x:v>0.14266550340956458</x:v>
      </x:c>
      <x:c r="H49" s="329" t="n">
        <x:f>IFERROR((IF(ISNUMBER(J49),J49*'Methodology'!$C$5,0)+IF(ISNUMBER(L49),L49*'Methodology'!$C$6,0)+IF(ISNUMBER(O49),O49*'Methodology'!$C$7,0)+IF(ISNUMBER(U49),U49*'Methodology'!$C$8,0)+IF(ISNUMBER(W49),W49*'Methodology'!$C$9,0)+IF(ISNUMBER(Y49),Y49*'Methodology'!$C$10,0))/(IF(ISNUMBER(J49),'Methodology'!$C$5,0)+IF(ISNUMBER(L49),'Methodology'!$C$6,0)+IF(ISNUMBER(O49),'Methodology'!$C$7,0)+IF(ISNUMBER(U49),'Methodology'!$C$8,0)+IF(ISNUMBER(W49),'Methodology'!$C$9,0)+IF(ISNUMBER(Y49),'Methodology'!$C$10,0)),"")</x:f>
        <x:v>5.898325269183591</x:v>
      </x:c>
      <x:c r="I49" s="47" t="n">
        <x:f>COUNT(J49,L49,O49,U49,W49,Y49)</x:f>
        <x:v>6</x:v>
      </x:c>
      <x:c r="J49" s="52" t="n">
        <x:v>6.508620689655172</x:v>
      </x:c>
      <x:c r="K49" s="47" t="n">
        <x:f>IF(ISNUMBER(J49),1+COUNTIF($J$5:$J$121,"&gt;"&amp;J49),"")</x:f>
        <x:v>46</x:v>
      </x:c>
      <x:c r="L49" s="52" t="n">
        <x:v>5.900197628458498</x:v>
      </x:c>
      <x:c r="M49" s="47" t="n">
        <x:f>IF(ISNUMBER(L49),1+COUNTIF($L$5:$L$121,"&gt;"&amp;L49),"")</x:f>
        <x:v>53</x:v>
      </x:c>
      <x:c r="N49" s="47" t="str">
        <x:v>SUE + CAR3</x:v>
      </x:c>
      <x:c r="O49" s="52" t="n">
        <x:f>IFERROR(INDEX('Analyst Revisions'!$K$5:$K$121,MATCH(B49,'Analyst Revisions'!$B$5:$B$121,0)),"")</x:f>
        <x:v>5.7250000000000005</x:v>
      </x:c>
      <x:c r="P49" s="47" t="n">
        <x:f>IF(ISNUMBER(O49),1+COUNTIF($O$5:$O$121,"&gt;"&amp;O49),"")</x:f>
        <x:v>54</x:v>
      </x:c>
      <x:c r="Q49" s="50" t="n">
        <x:f>IFERROR(INDEX('Analyst Revisions'!$G$5:$G$121,MATCH(B49,'Analyst Revisions'!$B$5:$B$121,0)),"")</x:f>
        <x:v>1.815</x:v>
      </x:c>
      <x:c r="R49" s="50" t="n">
        <x:f>IFERROR(INDEX('Analyst Revisions'!$H$5:$H$121,MATCH(B49,'Analyst Revisions'!$B$5:$B$121,0)),"")</x:f>
        <x:v>1.82</x:v>
      </x:c>
      <x:c r="S49" s="317" t="n">
        <x:f>IFERROR(INDEX('Analyst Revisions'!$I$5:$I$121,MATCH(B49,'Analyst Revisions'!$B$5:$B$121,0)),"")</x:f>
        <x:v>-0.002747252747252811</x:v>
      </x:c>
      <x:c r="T49" s="47" t="str">
        <x:f>IFERROR(INDEX('Analyst Revisions'!$L$5:$L$121,MATCH(B49,'Analyst Revisions'!$B$5:$B$121,0)),"")</x:f>
        <x:v>OK</x:v>
      </x:c>
      <x:c r="U49" s="52" t="n">
        <x:v>8.370689655172413</x:v>
      </x:c>
      <x:c r="V49" s="47" t="n">
        <x:f>IF(ISNUMBER(U49),1+COUNTIF($U$5:$U$121,"&gt;"&amp;U49),"")</x:f>
        <x:v>17</x:v>
      </x:c>
      <x:c r="W49" s="52" t="n">
        <x:v>2.7844827586206895</x:v>
      </x:c>
      <x:c r="X49" s="47" t="n">
        <x:f>IF(ISNUMBER(W49),1+COUNTIF($W$5:$W$121,"&gt;"&amp;W49),"")</x:f>
        <x:v>101</x:v>
      </x:c>
      <x:c r="Y49" s="52" t="n">
        <x:v>5.422413793103448</x:v>
      </x:c>
      <x:c r="Z49" s="47" t="n">
        <x:f>IF(ISNUMBER(Y49),1+COUNTIF($Y$5:$Y$121,"&gt;"&amp;Y49),"")</x:f>
        <x:v>60</x:v>
      </x:c>
      <x:c r="AA49" s="47" t="str">
        <x:v>Finance</x:v>
      </x:c>
      <x:c r="AB49" s="54" t="n">
        <x:v>46213</x:v>
      </x:c>
      <x:c r="AC49" s="54" t="n">
        <x:v>46112</x:v>
      </x:c>
      <x:c r="AD49" s="54" t="n">
        <x:v>46022</x:v>
      </x:c>
      <x:c r="AE49" s="47" t="str">
        <x:v>OK</x:v>
      </x:c>
    </x:row>
    <x:row r="50">
      <x:c r="A50" s="47" t="n">
        <x:f>IF(ISNUMBER(H50),1+COUNTIF($H$5:$H$121,"&gt;"&amp;H50),"")</x:f>
        <x:v>64</x:v>
      </x:c>
      <x:c r="B50" s="47" t="str">
        <x:v>OHI</x:v>
      </x:c>
      <x:c r="C50" s="47" t="str">
        <x:v>Omega Healthcare Investors Inc. REIT</x:v>
      </x:c>
      <x:c r="D50" s="49" t="str">
        <x:v>Long</x:v>
      </x:c>
      <x:c r="E50" s="49" t="n">
        <x:v>0.003987</x:v>
      </x:c>
      <x:c r="F50" s="50" t="n">
        <x:v>0.12887613982159576</x:v>
      </x:c>
      <x:c r="G50" s="50" t="n">
        <x:v>0.05251383074076414</x:v>
      </x:c>
      <x:c r="H50" s="329" t="n">
        <x:f>IFERROR((IF(ISNUMBER(J50),J50*'Methodology'!$C$5,0)+IF(ISNUMBER(L50),L50*'Methodology'!$C$6,0)+IF(ISNUMBER(O50),O50*'Methodology'!$C$7,0)+IF(ISNUMBER(U50),U50*'Methodology'!$C$8,0)+IF(ISNUMBER(W50),W50*'Methodology'!$C$9,0)+IF(ISNUMBER(Y50),Y50*'Methodology'!$C$10,0))/(IF(ISNUMBER(J50),'Methodology'!$C$5,0)+IF(ISNUMBER(L50),'Methodology'!$C$6,0)+IF(ISNUMBER(O50),'Methodology'!$C$7,0)+IF(ISNUMBER(U50),'Methodology'!$C$8,0)+IF(ISNUMBER(W50),'Methodology'!$C$9,0)+IF(ISNUMBER(Y50),'Methodology'!$C$10,0)),"")</x:f>
        <x:v>5.3197928990050425</x:v>
      </x:c>
      <x:c r="I50" s="47" t="n">
        <x:f>COUNT(J50,L50,O50,U50,W50,Y50)</x:f>
        <x:v>6</x:v>
      </x:c>
      <x:c r="J50" s="52" t="n">
        <x:v>3.4827586206896552</x:v>
      </x:c>
      <x:c r="K50" s="47" t="n">
        <x:f>IF(ISNUMBER(J50),1+COUNTIF($J$5:$J$121,"&gt;"&amp;J50),"")</x:f>
        <x:v>85</x:v>
      </x:c>
      <x:c r="L50" s="52" t="n">
        <x:v>8.089723320158102</x:v>
      </x:c>
      <x:c r="M50" s="47" t="n">
        <x:f>IF(ISNUMBER(L50),1+COUNTIF($L$5:$L$121,"&gt;"&amp;L50),"")</x:f>
        <x:v>13</x:v>
      </x:c>
      <x:c r="N50" s="47" t="str">
        <x:v>SUE + CAR3</x:v>
      </x:c>
      <x:c r="O50" s="52" t="n">
        <x:f>IFERROR(INDEX('Analyst Revisions'!$K$5:$K$121,MATCH(B50,'Analyst Revisions'!$B$5:$B$121,0)),"")</x:f>
        <x:v>2.629</x:v>
      </x:c>
      <x:c r="P50" s="47" t="n">
        <x:f>IF(ISNUMBER(O50),1+COUNTIF($O$5:$O$121,"&gt;"&amp;O50),"")</x:f>
        <x:v>94</x:v>
      </x:c>
      <x:c r="Q50" s="50" t="n">
        <x:f>IFERROR(INDEX('Analyst Revisions'!$G$5:$G$121,MATCH(B50,'Analyst Revisions'!$B$5:$B$121,0)),"")</x:f>
        <x:v>0.47</x:v>
      </x:c>
      <x:c r="R50" s="50" t="n">
        <x:f>IFERROR(INDEX('Analyst Revisions'!$H$5:$H$121,MATCH(B50,'Analyst Revisions'!$B$5:$B$121,0)),"")</x:f>
        <x:v>0.49333</x:v>
      </x:c>
      <x:c r="S50" s="317" t="n">
        <x:f>IFERROR(INDEX('Analyst Revisions'!$I$5:$I$121,MATCH(B50,'Analyst Revisions'!$B$5:$B$121,0)),"")</x:f>
        <x:v>-0.04729086007337891</x:v>
      </x:c>
      <x:c r="T50" s="47" t="str">
        <x:f>IFERROR(INDEX('Analyst Revisions'!$L$5:$L$121,MATCH(B50,'Analyst Revisions'!$B$5:$B$121,0)),"")</x:f>
        <x:v>THIN COVERAGE</x:v>
      </x:c>
      <x:c r="U50" s="52" t="n">
        <x:v>5.422413793103448</x:v>
      </x:c>
      <x:c r="V50" s="47" t="n">
        <x:f>IF(ISNUMBER(U50),1+COUNTIF($U$5:$U$121,"&gt;"&amp;U50),"")</x:f>
        <x:v>60</x:v>
      </x:c>
      <x:c r="W50" s="52" t="n">
        <x:v>8.370689655172413</x:v>
      </x:c>
      <x:c r="X50" s="47" t="n">
        <x:f>IF(ISNUMBER(W50),1+COUNTIF($W$5:$W$121,"&gt;"&amp;W50),"")</x:f>
        <x:v>9</x:v>
      </x:c>
      <x:c r="Y50" s="52" t="n">
        <x:v>4.103448275862069</x:v>
      </x:c>
      <x:c r="Z50" s="47" t="n">
        <x:f>IF(ISNUMBER(Y50),1+COUNTIF($Y$5:$Y$121,"&gt;"&amp;Y50),"")</x:f>
        <x:v>77</x:v>
      </x:c>
      <x:c r="AA50" s="47" t="str">
        <x:v>Real Estate</x:v>
      </x:c>
      <x:c r="AB50" s="54" t="n">
        <x:v>46213</x:v>
      </x:c>
      <x:c r="AC50" s="54" t="n">
        <x:v>46112</x:v>
      </x:c>
      <x:c r="AD50" s="54" t="n">
        <x:v>46022</x:v>
      </x:c>
      <x:c r="AE50" s="47" t="str">
        <x:v>OK</x:v>
      </x:c>
    </x:row>
    <x:row r="51">
      <x:c r="A51" s="47" t="n">
        <x:f>IF(ISNUMBER(H51),1+COUNTIF($H$5:$H$121,"&gt;"&amp;H51),"")</x:f>
        <x:v>48</x:v>
      </x:c>
      <x:c r="B51" s="47" t="str">
        <x:v>MO</x:v>
      </x:c>
      <x:c r="C51" s="47" t="str">
        <x:v>Altria Group Inc.</x:v>
      </x:c>
      <x:c r="D51" s="49" t="str">
        <x:v>Long</x:v>
      </x:c>
      <x:c r="E51" s="49" t="n">
        <x:v>0.00395</x:v>
      </x:c>
      <x:c r="F51" s="50" t="n">
        <x:v>0.2672918655161141</x:v>
      </x:c>
      <x:c r="G51" s="50" t="n">
        <x:v>0.011651213706512195</x:v>
      </x:c>
      <x:c r="H51" s="329" t="n">
        <x:f>IFERROR((IF(ISNUMBER(J51),J51*'Methodology'!$C$5,0)+IF(ISNUMBER(L51),L51*'Methodology'!$C$6,0)+IF(ISNUMBER(O51),O51*'Methodology'!$C$7,0)+IF(ISNUMBER(U51),U51*'Methodology'!$C$8,0)+IF(ISNUMBER(W51),W51*'Methodology'!$C$9,0)+IF(ISNUMBER(Y51),Y51*'Methodology'!$C$10,0))/(IF(ISNUMBER(J51),'Methodology'!$C$5,0)+IF(ISNUMBER(L51),'Methodology'!$C$6,0)+IF(ISNUMBER(O51),'Methodology'!$C$7,0)+IF(ISNUMBER(U51),'Methodology'!$C$8,0)+IF(ISNUMBER(W51),'Methodology'!$C$9,0)+IF(ISNUMBER(Y51),'Methodology'!$C$10,0)),"")</x:f>
        <x:v>5.852804279678343</x:v>
      </x:c>
      <x:c r="I51" s="47" t="n">
        <x:f>COUNT(J51,L51,O51,U51,W51,Y51)</x:f>
        <x:v>6</x:v>
      </x:c>
      <x:c r="J51" s="52" t="n">
        <x:v>1.6206896551724137</x:v>
      </x:c>
      <x:c r="K51" s="47" t="n">
        <x:f>IF(ISNUMBER(J51),1+COUNTIF($J$5:$J$121,"&gt;"&amp;J51),"")</x:f>
        <x:v>109</x:v>
      </x:c>
      <x:c r="L51" s="52" t="n">
        <x:v>8.208893280632411</x:v>
      </x:c>
      <x:c r="M51" s="47" t="n">
        <x:f>IF(ISNUMBER(L51),1+COUNTIF($L$5:$L$121,"&gt;"&amp;L51),"")</x:f>
        <x:v>12</x:v>
      </x:c>
      <x:c r="N51" s="47" t="str">
        <x:v>SUE + CAR3</x:v>
      </x:c>
      <x:c r="O51" s="52" t="n">
        <x:f>IFERROR(INDEX('Analyst Revisions'!$K$5:$K$121,MATCH(B51,'Analyst Revisions'!$B$5:$B$121,0)),"")</x:f>
        <x:v>6.040000000000001</x:v>
      </x:c>
      <x:c r="P51" s="47" t="n">
        <x:f>IF(ISNUMBER(O51),1+COUNTIF($O$5:$O$121,"&gt;"&amp;O51),"")</x:f>
        <x:v>50</x:v>
      </x:c>
      <x:c r="Q51" s="50" t="n">
        <x:f>IFERROR(INDEX('Analyst Revisions'!$G$5:$G$121,MATCH(B51,'Analyst Revisions'!$B$5:$B$121,0)),"")</x:f>
        <x:v>1.50495</x:v>
      </x:c>
      <x:c r="R51" s="50" t="n">
        <x:f>IFERROR(INDEX('Analyst Revisions'!$H$5:$H$121,MATCH(B51,'Analyst Revisions'!$B$5:$B$121,0)),"")</x:f>
        <x:v>1.50521</x:v>
      </x:c>
      <x:c r="S51" s="317" t="n">
        <x:f>IFERROR(INDEX('Analyst Revisions'!$I$5:$I$121,MATCH(B51,'Analyst Revisions'!$B$5:$B$121,0)),"")</x:f>
        <x:v>-0.00017273337275192628</x:v>
      </x:c>
      <x:c r="T51" s="47" t="str">
        <x:f>IFERROR(INDEX('Analyst Revisions'!$L$5:$L$121,MATCH(B51,'Analyst Revisions'!$B$5:$B$121,0)),"")</x:f>
        <x:v>OK</x:v>
      </x:c>
      <x:c r="U51" s="52" t="n">
        <x:v>4.959021739130435</x:v>
      </x:c>
      <x:c r="V51" s="47" t="n">
        <x:f>IF(ISNUMBER(U51),1+COUNTIF($U$5:$U$121,"&gt;"&amp;U51),"")</x:f>
        <x:v>73</x:v>
      </x:c>
      <x:c r="W51" s="52" t="n">
        <x:v>8.556896551724137</x:v>
      </x:c>
      <x:c r="X51" s="47" t="n">
        <x:f>IF(ISNUMBER(W51),1+COUNTIF($W$5:$W$121,"&gt;"&amp;W51),"")</x:f>
        <x:v>5</x:v>
      </x:c>
      <x:c r="Y51" s="52" t="n">
        <x:v>7.982758620689655</x:v>
      </x:c>
      <x:c r="Z51" s="47" t="n">
        <x:f>IF(ISNUMBER(Y51),1+COUNTIF($Y$5:$Y$121,"&gt;"&amp;Y51),"")</x:f>
        <x:v>27</x:v>
      </x:c>
      <x:c r="AA51" s="47" t="str">
        <x:v>Health Care</x:v>
      </x:c>
      <x:c r="AB51" s="54" t="n">
        <x:v>46213</x:v>
      </x:c>
      <x:c r="AC51" s="54" t="n">
        <x:v>46112</x:v>
      </x:c>
      <x:c r="AD51" s="54" t="n">
        <x:v>46022</x:v>
      </x:c>
      <x:c r="AE51" s="47" t="str">
        <x:v>OK</x:v>
      </x:c>
    </x:row>
    <x:row r="52">
      <x:c r="A52" s="47" t="n">
        <x:f>IF(ISNUMBER(H52),1+COUNTIF($H$5:$H$121,"&gt;"&amp;H52),"")</x:f>
        <x:v>46</x:v>
      </x:c>
      <x:c r="B52" s="47" t="str">
        <x:v>JKHY</x:v>
      </x:c>
      <x:c r="C52" s="47" t="str">
        <x:v>Jack Henry and Associates Inc.</x:v>
      </x:c>
      <x:c r="D52" s="49" t="str">
        <x:v>Long</x:v>
      </x:c>
      <x:c r="E52" s="49" t="n">
        <x:v>0.004394</x:v>
      </x:c>
      <x:c r="F52" s="50" t="n">
        <x:v>0.23487700697968236</x:v>
      </x:c>
      <x:c r="G52" s="50" t="n">
        <x:v>-0.08138725044551728</x:v>
      </x:c>
      <x:c r="H52" s="329" t="n">
        <x:f>IFERROR((IF(ISNUMBER(J52),J52*'Methodology'!$C$5,0)+IF(ISNUMBER(L52),L52*'Methodology'!$C$6,0)+IF(ISNUMBER(O52),O52*'Methodology'!$C$7,0)+IF(ISNUMBER(U52),U52*'Methodology'!$C$8,0)+IF(ISNUMBER(W52),W52*'Methodology'!$C$9,0)+IF(ISNUMBER(Y52),Y52*'Methodology'!$C$10,0))/(IF(ISNUMBER(J52),'Methodology'!$C$5,0)+IF(ISNUMBER(L52),'Methodology'!$C$6,0)+IF(ISNUMBER(O52),'Methodology'!$C$7,0)+IF(ISNUMBER(U52),'Methodology'!$C$8,0)+IF(ISNUMBER(W52),'Methodology'!$C$9,0)+IF(ISNUMBER(Y52),'Methodology'!$C$10,0)),"")</x:f>
        <x:v>5.8664152242060785</x:v>
      </x:c>
      <x:c r="I52" s="47" t="n">
        <x:f>COUNT(J52,L52,O52,U52,W52,Y52)</x:f>
        <x:v>6</x:v>
      </x:c>
      <x:c r="J52" s="52" t="n">
        <x:v>6.974137931034483</x:v>
      </x:c>
      <x:c r="K52" s="47" t="n">
        <x:f>IF(ISNUMBER(J52),1+COUNTIF($J$5:$J$121,"&gt;"&amp;J52),"")</x:f>
        <x:v>40</x:v>
      </x:c>
      <x:c r="L52" s="52" t="n">
        <x:v>4.980632411067194</x:v>
      </x:c>
      <x:c r="M52" s="47" t="n">
        <x:f>IF(ISNUMBER(L52),1+COUNTIF($L$5:$L$121,"&gt;"&amp;L52),"")</x:f>
        <x:v>74</x:v>
      </x:c>
      <x:c r="N52" s="47" t="str">
        <x:v>SUE + CAR3</x:v>
      </x:c>
      <x:c r="O52" s="52" t="n">
        <x:f>IFERROR(INDEX('Analyst Revisions'!$K$5:$K$121,MATCH(B52,'Analyst Revisions'!$B$5:$B$121,0)),"")</x:f>
        <x:v>6.193</x:v>
      </x:c>
      <x:c r="P52" s="47" t="n">
        <x:f>IF(ISNUMBER(O52),1+COUNTIF($O$5:$O$121,"&gt;"&amp;O52),"")</x:f>
        <x:v>47</x:v>
      </x:c>
      <x:c r="Q52" s="50" t="n">
        <x:f>IFERROR(INDEX('Analyst Revisions'!$G$5:$G$121,MATCH(B52,'Analyst Revisions'!$B$5:$B$121,0)),"")</x:f>
        <x:v>1.44</x:v>
      </x:c>
      <x:c r="R52" s="50" t="n">
        <x:f>IFERROR(INDEX('Analyst Revisions'!$H$5:$H$121,MATCH(B52,'Analyst Revisions'!$B$5:$B$121,0)),"")</x:f>
        <x:v>1.44</x:v>
      </x:c>
      <x:c r="S52" s="317" t="n">
        <x:f>IFERROR(INDEX('Analyst Revisions'!$I$5:$I$121,MATCH(B52,'Analyst Revisions'!$B$5:$B$121,0)),"")</x:f>
        <x:v>0</x:v>
      </x:c>
      <x:c r="T52" s="47" t="str">
        <x:f>IFERROR(INDEX('Analyst Revisions'!$L$5:$L$121,MATCH(B52,'Analyst Revisions'!$B$5:$B$121,0)),"")</x:f>
        <x:v>OK</x:v>
      </x:c>
      <x:c r="U52" s="52" t="n">
        <x:v>5.217417541229385</x:v>
      </x:c>
      <x:c r="V52" s="47" t="n">
        <x:f>IF(ISNUMBER(U52),1+COUNTIF($U$5:$U$121,"&gt;"&amp;U52),"")</x:f>
        <x:v>67</x:v>
      </x:c>
      <x:c r="W52" s="52" t="n">
        <x:v>6.7460344827586205</x:v>
      </x:c>
      <x:c r="X52" s="47" t="n">
        <x:f>IF(ISNUMBER(W52),1+COUNTIF($W$5:$W$121,"&gt;"&amp;W52),"")</x:f>
        <x:v>27</x:v>
      </x:c>
      <x:c r="Y52" s="52" t="n">
        <x:v>4.646551724137931</x:v>
      </x:c>
      <x:c r="Z52" s="47" t="n">
        <x:f>IF(ISNUMBER(Y52),1+COUNTIF($Y$5:$Y$121,"&gt;"&amp;Y52),"")</x:f>
        <x:v>70</x:v>
      </x:c>
      <x:c r="AA52" s="47" t="str">
        <x:v>Technology</x:v>
      </x:c>
      <x:c r="AB52" s="54" t="n">
        <x:v>46213</x:v>
      </x:c>
      <x:c r="AC52" s="54" t="n">
        <x:v>46112</x:v>
      </x:c>
      <x:c r="AD52" s="54" t="n">
        <x:v>45838</x:v>
      </x:c>
      <x:c r="AE52" s="47" t="str">
        <x:v>OK</x:v>
      </x:c>
    </x:row>
    <x:row r="53">
      <x:c r="A53" s="47" t="n">
        <x:f>IF(ISNUMBER(H53),1+COUNTIF($H$5:$H$121,"&gt;"&amp;H53),"")</x:f>
        <x:v>44</x:v>
      </x:c>
      <x:c r="B53" s="47" t="str">
        <x:v>FCN</x:v>
      </x:c>
      <x:c r="C53" s="47" t="str">
        <x:v>FTI Consulting Inc.</x:v>
      </x:c>
      <x:c r="D53" s="49" t="str">
        <x:v>Long</x:v>
      </x:c>
      <x:c r="E53" s="49" t="n">
        <x:v>0.004046</x:v>
      </x:c>
      <x:c r="F53" s="50" t="n">
        <x:v>-0.2105017413707191</x:v>
      </x:c>
      <x:c r="G53" s="50" t="n">
        <x:v>-0.06790713138490298</x:v>
      </x:c>
      <x:c r="H53" s="329" t="n">
        <x:f>IFERROR((IF(ISNUMBER(J53),J53*'Methodology'!$C$5,0)+IF(ISNUMBER(L53),L53*'Methodology'!$C$6,0)+IF(ISNUMBER(O53),O53*'Methodology'!$C$7,0)+IF(ISNUMBER(U53),U53*'Methodology'!$C$8,0)+IF(ISNUMBER(W53),W53*'Methodology'!$C$9,0)+IF(ISNUMBER(Y53),Y53*'Methodology'!$C$10,0))/(IF(ISNUMBER(J53),'Methodology'!$C$5,0)+IF(ISNUMBER(L53),'Methodology'!$C$6,0)+IF(ISNUMBER(O53),'Methodology'!$C$7,0)+IF(ISNUMBER(U53),'Methodology'!$C$8,0)+IF(ISNUMBER(W53),'Methodology'!$C$9,0)+IF(ISNUMBER(Y53),'Methodology'!$C$10,0)),"")</x:f>
        <x:v>5.915811639634727</x:v>
      </x:c>
      <x:c r="I53" s="47" t="n">
        <x:f>COUNT(J53,L53,O53,U53,W53,Y53)</x:f>
        <x:v>6</x:v>
      </x:c>
      <x:c r="J53" s="52" t="n">
        <x:v>4.879310344827585</x:v>
      </x:c>
      <x:c r="K53" s="47" t="n">
        <x:f>IF(ISNUMBER(J53),1+COUNTIF($J$5:$J$121,"&gt;"&amp;J53),"")</x:f>
        <x:v>67</x:v>
      </x:c>
      <x:c r="L53" s="52" t="n">
        <x:v>3.7071146245059285</x:v>
      </x:c>
      <x:c r="M53" s="47" t="n">
        <x:f>IF(ISNUMBER(L53),1+COUNTIF($L$5:$L$121,"&gt;"&amp;L53),"")</x:f>
        <x:v>93</x:v>
      </x:c>
      <x:c r="N53" s="47" t="str">
        <x:v>SUE + CAR3</x:v>
      </x:c>
      <x:c r="O53" s="52" t="n">
        <x:f>IFERROR(INDEX('Analyst Revisions'!$K$5:$K$121,MATCH(B53,'Analyst Revisions'!$B$5:$B$121,0)),"")</x:f>
        <x:v>6.58</x:v>
      </x:c>
      <x:c r="P53" s="47" t="n">
        <x:f>IF(ISNUMBER(O53),1+COUNTIF($O$5:$O$121,"&gt;"&amp;O53),"")</x:f>
        <x:v>45</x:v>
      </x:c>
      <x:c r="Q53" s="50" t="n">
        <x:f>IFERROR(INDEX('Analyst Revisions'!$G$5:$G$121,MATCH(B53,'Analyst Revisions'!$B$5:$B$121,0)),"")</x:f>
        <x:v>2.72</x:v>
      </x:c>
      <x:c r="R53" s="50" t="n">
        <x:f>IFERROR(INDEX('Analyst Revisions'!$H$5:$H$121,MATCH(B53,'Analyst Revisions'!$B$5:$B$121,0)),"")</x:f>
        <x:v>2.71667</x:v>
      </x:c>
      <x:c r="S53" s="317" t="n">
        <x:f>IFERROR(INDEX('Analyst Revisions'!$I$5:$I$121,MATCH(B53,'Analyst Revisions'!$B$5:$B$121,0)),"")</x:f>
        <x:v>0.001225765367159079</x:v>
      </x:c>
      <x:c r="T53" s="47" t="str">
        <x:f>IFERROR(INDEX('Analyst Revisions'!$L$5:$L$121,MATCH(B53,'Analyst Revisions'!$B$5:$B$121,0)),"")</x:f>
        <x:v>OK</x:v>
      </x:c>
      <x:c r="U53" s="52" t="n">
        <x:v>6.597676161919041</x:v>
      </x:c>
      <x:c r="V53" s="47" t="n">
        <x:f>IF(ISNUMBER(U53),1+COUNTIF($U$5:$U$121,"&gt;"&amp;U53),"")</x:f>
        <x:v>34</x:v>
      </x:c>
      <x:c r="W53" s="52" t="n">
        <x:v>8.23103448275862</x:v>
      </x:c>
      <x:c r="X53" s="47" t="n">
        <x:f>IF(ISNUMBER(W53),1+COUNTIF($W$5:$W$121,"&gt;"&amp;W53),"")</x:f>
        <x:v>12</x:v>
      </x:c>
      <x:c r="Y53" s="52" t="n">
        <x:v>9.224137931034484</x:v>
      </x:c>
      <x:c r="Z53" s="47" t="n">
        <x:f>IF(ISNUMBER(Y53),1+COUNTIF($Y$5:$Y$121,"&gt;"&amp;Y53),"")</x:f>
        <x:v>11</x:v>
      </x:c>
      <x:c r="AA53" s="47" t="str">
        <x:v>Consumer Discretionary</x:v>
      </x:c>
      <x:c r="AB53" s="54" t="n">
        <x:v>46213</x:v>
      </x:c>
      <x:c r="AC53" s="54" t="n">
        <x:v>46112</x:v>
      </x:c>
      <x:c r="AD53" s="54" t="n">
        <x:v>46022</x:v>
      </x:c>
      <x:c r="AE53" s="47" t="str">
        <x:v>OK</x:v>
      </x:c>
    </x:row>
    <x:row r="54">
      <x:c r="A54" s="47" t="n">
        <x:f>IF(ISNUMBER(H54),1+COUNTIF($H$5:$H$121,"&gt;"&amp;H54),"")</x:f>
        <x:v>50</x:v>
      </x:c>
      <x:c r="B54" s="47" t="str">
        <x:v>INTU</x:v>
      </x:c>
      <x:c r="C54" s="47" t="str">
        <x:v>Intuit Inc.</x:v>
      </x:c>
      <x:c r="D54" s="49" t="str">
        <x:v>Long</x:v>
      </x:c>
      <x:c r="E54" s="49" t="n">
        <x:v>0.003783</x:v>
      </x:c>
      <x:c r="F54" s="50" t="n">
        <x:v>0.2809583383821748</x:v>
      </x:c>
      <x:c r="G54" s="50" t="n">
        <x:v>0.032968021737332494</x:v>
      </x:c>
      <x:c r="H54" s="329" t="n">
        <x:f>IFERROR((IF(ISNUMBER(J54),J54*'Methodology'!$C$5,0)+IF(ISNUMBER(L54),L54*'Methodology'!$C$6,0)+IF(ISNUMBER(O54),O54*'Methodology'!$C$7,0)+IF(ISNUMBER(U54),U54*'Methodology'!$C$8,0)+IF(ISNUMBER(W54),W54*'Methodology'!$C$9,0)+IF(ISNUMBER(Y54),Y54*'Methodology'!$C$10,0))/(IF(ISNUMBER(J54),'Methodology'!$C$5,0)+IF(ISNUMBER(L54),'Methodology'!$C$6,0)+IF(ISNUMBER(O54),'Methodology'!$C$7,0)+IF(ISNUMBER(U54),'Methodology'!$C$8,0)+IF(ISNUMBER(W54),'Methodology'!$C$9,0)+IF(ISNUMBER(Y54),'Methodology'!$C$10,0)),"")</x:f>
        <x:v>5.769319408477579</x:v>
      </x:c>
      <x:c r="I54" s="47" t="n">
        <x:f>COUNT(J54,L54,O54,U54,W54,Y54)</x:f>
        <x:v>6</x:v>
      </x:c>
      <x:c r="J54" s="52" t="n">
        <x:v>6.275862068965517</x:v>
      </x:c>
      <x:c r="K54" s="47" t="n">
        <x:f>IF(ISNUMBER(J54),1+COUNTIF($J$5:$J$121,"&gt;"&amp;J54),"")</x:f>
        <x:v>49</x:v>
      </x:c>
      <x:c r="L54" s="52" t="n">
        <x:v>4.3954545454545455</x:v>
      </x:c>
      <x:c r="M54" s="47" t="n">
        <x:f>IF(ISNUMBER(L54),1+COUNTIF($L$5:$L$121,"&gt;"&amp;L54),"")</x:f>
        <x:v>83</x:v>
      </x:c>
      <x:c r="N54" s="47" t="str">
        <x:v>SUE + CAR3</x:v>
      </x:c>
      <x:c r="O54" s="52" t="n">
        <x:f>IFERROR(INDEX('Analyst Revisions'!$K$5:$K$121,MATCH(B54,'Analyst Revisions'!$B$5:$B$121,0)),"")</x:f>
        <x:v>6.111999999999999</x:v>
      </x:c>
      <x:c r="P54" s="47" t="n">
        <x:f>IF(ISNUMBER(O54),1+COUNTIF($O$5:$O$121,"&gt;"&amp;O54),"")</x:f>
        <x:v>49</x:v>
      </x:c>
      <x:c r="Q54" s="50" t="n">
        <x:f>IFERROR(INDEX('Analyst Revisions'!$G$5:$G$121,MATCH(B54,'Analyst Revisions'!$B$5:$B$121,0)),"")</x:f>
        <x:v>3.58821</x:v>
      </x:c>
      <x:c r="R54" s="50" t="n">
        <x:f>IFERROR(INDEX('Analyst Revisions'!$H$5:$H$121,MATCH(B54,'Analyst Revisions'!$B$5:$B$121,0)),"")</x:f>
        <x:v>3.58853</x:v>
      </x:c>
      <x:c r="S54" s="317" t="n">
        <x:f>IFERROR(INDEX('Analyst Revisions'!$I$5:$I$121,MATCH(B54,'Analyst Revisions'!$B$5:$B$121,0)),"")</x:f>
        <x:v>-0.0000891730039876707</x:v>
      </x:c>
      <x:c r="T54" s="47" t="str">
        <x:f>IFERROR(INDEX('Analyst Revisions'!$L$5:$L$121,MATCH(B54,'Analyst Revisions'!$B$5:$B$121,0)),"")</x:f>
        <x:v>OK</x:v>
      </x:c>
      <x:c r="U54" s="52" t="n">
        <x:v>6.215412293853074</x:v>
      </x:c>
      <x:c r="V54" s="47" t="n">
        <x:f>IF(ISNUMBER(U54),1+COUNTIF($U$5:$U$121,"&gt;"&amp;U54),"")</x:f>
        <x:v>43</x:v>
      </x:c>
      <x:c r="W54" s="52" t="n">
        <x:v>5.400689655172414</x:v>
      </x:c>
      <x:c r="X54" s="47" t="n">
        <x:f>IF(ISNUMBER(W54),1+COUNTIF($W$5:$W$121,"&gt;"&amp;W54),"")</x:f>
        <x:v>53</x:v>
      </x:c>
      <x:c r="Y54" s="52" t="n">
        <x:v>7.129310344827586</x:v>
      </x:c>
      <x:c r="Z54" s="47" t="n">
        <x:f>IF(ISNUMBER(Y54),1+COUNTIF($Y$5:$Y$121,"&gt;"&amp;Y54),"")</x:f>
        <x:v>38</x:v>
      </x:c>
      <x:c r="AA54" s="47" t="str">
        <x:v>Technology</x:v>
      </x:c>
      <x:c r="AB54" s="54" t="n">
        <x:v>46213</x:v>
      </x:c>
      <x:c r="AC54" s="54" t="n">
        <x:v>46142</x:v>
      </x:c>
      <x:c r="AD54" s="54" t="n">
        <x:v>45869</x:v>
      </x:c>
      <x:c r="AE54" s="47" t="str">
        <x:v>OK</x:v>
      </x:c>
    </x:row>
    <x:row r="55">
      <x:c r="A55" s="47" t="n">
        <x:f>IF(ISNUMBER(H55),1+COUNTIF($H$5:$H$121,"&gt;"&amp;H55),"")</x:f>
        <x:v>75</x:v>
      </x:c>
      <x:c r="B55" s="47" t="str">
        <x:v>TSCO</x:v>
      </x:c>
      <x:c r="C55" s="47" t="str">
        <x:v>Tractor Supply Co.</x:v>
      </x:c>
      <x:c r="D55" s="49" t="str">
        <x:v>Long</x:v>
      </x:c>
      <x:c r="E55" s="49" t="n">
        <x:v>0.003872</x:v>
      </x:c>
      <x:c r="F55" s="50" t="n">
        <x:v>0.28816253291639826</x:v>
      </x:c>
      <x:c r="G55" s="50" t="n">
        <x:v>0.08401604455484028</x:v>
      </x:c>
      <x:c r="H55" s="329" t="n">
        <x:f>IFERROR((IF(ISNUMBER(J55),J55*'Methodology'!$C$5,0)+IF(ISNUMBER(L55),L55*'Methodology'!$C$6,0)+IF(ISNUMBER(O55),O55*'Methodology'!$C$7,0)+IF(ISNUMBER(U55),U55*'Methodology'!$C$8,0)+IF(ISNUMBER(W55),W55*'Methodology'!$C$9,0)+IF(ISNUMBER(Y55),Y55*'Methodology'!$C$10,0))/(IF(ISNUMBER(J55),'Methodology'!$C$5,0)+IF(ISNUMBER(L55),'Methodology'!$C$6,0)+IF(ISNUMBER(O55),'Methodology'!$C$7,0)+IF(ISNUMBER(U55),'Methodology'!$C$8,0)+IF(ISNUMBER(W55),'Methodology'!$C$9,0)+IF(ISNUMBER(Y55),'Methodology'!$C$10,0)),"")</x:f>
        <x:v>4.940980509745127</x:v>
      </x:c>
      <x:c r="I55" s="47" t="n">
        <x:f>COUNT(J55,L55,O55,U55,W55,Y55)</x:f>
        <x:v>6</x:v>
      </x:c>
      <x:c r="J55" s="52" t="n">
        <x:v>9.379310344827585</x:v>
      </x:c>
      <x:c r="K55" s="47" t="n">
        <x:f>IF(ISNUMBER(J55),1+COUNTIF($J$5:$J$121,"&gt;"&amp;J55),"")</x:f>
        <x:v>9</x:v>
      </x:c>
      <x:c r="L55" s="52" t="n">
        <x:v>2.467391304347826</x:v>
      </x:c>
      <x:c r="M55" s="47" t="n">
        <x:f>IF(ISNUMBER(L55),1+COUNTIF($L$5:$L$121,"&gt;"&amp;L55),"")</x:f>
        <x:v>108</x:v>
      </x:c>
      <x:c r="N55" s="47" t="str">
        <x:v>SUE + CAR3</x:v>
      </x:c>
      <x:c r="O55" s="52" t="n">
        <x:f>IFERROR(INDEX('Analyst Revisions'!$K$5:$K$121,MATCH(B55,'Analyst Revisions'!$B$5:$B$121,0)),"")</x:f>
        <x:v>1.612</x:v>
      </x:c>
      <x:c r="P55" s="47" t="n">
        <x:f>IF(ISNUMBER(O55),1+COUNTIF($O$5:$O$121,"&gt;"&amp;O55),"")</x:f>
        <x:v>107</x:v>
      </x:c>
      <x:c r="Q55" s="50" t="n">
        <x:f>IFERROR(INDEX('Analyst Revisions'!$G$5:$G$121,MATCH(B55,'Analyst Revisions'!$B$5:$B$121,0)),"")</x:f>
        <x:v>0.40769</x:v>
      </x:c>
      <x:c r="R55" s="50" t="n">
        <x:f>IFERROR(INDEX('Analyst Revisions'!$H$5:$H$121,MATCH(B55,'Analyst Revisions'!$B$5:$B$121,0)),"")</x:f>
        <x:v>0.50009</x:v>
      </x:c>
      <x:c r="S55" s="317" t="n">
        <x:f>IFERROR(INDEX('Analyst Revisions'!$I$5:$I$121,MATCH(B55,'Analyst Revisions'!$B$5:$B$121,0)),"")</x:f>
        <x:v>-0.1847667419864425</x:v>
      </x:c>
      <x:c r="T55" s="47" t="str">
        <x:f>IFERROR(INDEX('Analyst Revisions'!$L$5:$L$121,MATCH(B55,'Analyst Revisions'!$B$5:$B$121,0)),"")</x:f>
        <x:v>OK</x:v>
      </x:c>
      <x:c r="U55" s="52" t="n">
        <x:v>5.620056221889055</x:v>
      </x:c>
      <x:c r="V55" s="47" t="n">
        <x:f>IF(ISNUMBER(U55),1+COUNTIF($U$5:$U$121,"&gt;"&amp;U55),"")</x:f>
        <x:v>53</x:v>
      </x:c>
      <x:c r="W55" s="52" t="n">
        <x:v>2.4136206896551724</x:v>
      </x:c>
      <x:c r="X55" s="47" t="n">
        <x:f>IF(ISNUMBER(W55),1+COUNTIF($W$5:$W$121,"&gt;"&amp;W55),"")</x:f>
        <x:v>107</x:v>
      </x:c>
      <x:c r="Y55" s="52" t="n">
        <x:v>7.362068965517241</x:v>
      </x:c>
      <x:c r="Z55" s="47" t="n">
        <x:f>IF(ISNUMBER(Y55),1+COUNTIF($Y$5:$Y$121,"&gt;"&amp;Y55),"")</x:f>
        <x:v>35</x:v>
      </x:c>
      <x:c r="AA55" s="47" t="str">
        <x:v>Consumer Discretionary</x:v>
      </x:c>
      <x:c r="AB55" s="54" t="n">
        <x:v>46213</x:v>
      </x:c>
      <x:c r="AC55" s="54" t="n">
        <x:v>46109</x:v>
      </x:c>
      <x:c r="AD55" s="54" t="n">
        <x:v>46018</x:v>
      </x:c>
      <x:c r="AE55" s="47" t="str">
        <x:v>OK</x:v>
      </x:c>
    </x:row>
    <x:row r="56">
      <x:c r="A56" s="47" t="n">
        <x:f>IF(ISNUMBER(H56),1+COUNTIF($H$5:$H$121,"&gt;"&amp;H56),"")</x:f>
        <x:v>36</x:v>
      </x:c>
      <x:c r="B56" s="47" t="str">
        <x:v>FE</x:v>
      </x:c>
      <x:c r="C56" s="47" t="str">
        <x:v>FirstEnergy Corp.</x:v>
      </x:c>
      <x:c r="D56" s="49" t="str">
        <x:v>Long</x:v>
      </x:c>
      <x:c r="E56" s="49" t="n">
        <x:v>0.004202</x:v>
      </x:c>
      <x:c r="F56" s="50" t="n">
        <x:v>0.0984156002552517</x:v>
      </x:c>
      <x:c r="G56" s="50" t="n">
        <x:v>0.05171476862294961</x:v>
      </x:c>
      <x:c r="H56" s="329" t="n">
        <x:f>IFERROR((IF(ISNUMBER(J56),J56*'Methodology'!$C$5,0)+IF(ISNUMBER(L56),L56*'Methodology'!$C$6,0)+IF(ISNUMBER(O56),O56*'Methodology'!$C$7,0)+IF(ISNUMBER(U56),U56*'Methodology'!$C$8,0)+IF(ISNUMBER(W56),W56*'Methodology'!$C$9,0)+IF(ISNUMBER(Y56),Y56*'Methodology'!$C$10,0))/(IF(ISNUMBER(J56),'Methodology'!$C$5,0)+IF(ISNUMBER(L56),'Methodology'!$C$6,0)+IF(ISNUMBER(O56),'Methodology'!$C$7,0)+IF(ISNUMBER(U56),'Methodology'!$C$8,0)+IF(ISNUMBER(W56),'Methodology'!$C$9,0)+IF(ISNUMBER(Y56),'Methodology'!$C$10,0)),"")</x:f>
        <x:v>6.20964849393485</x:v>
      </x:c>
      <x:c r="I56" s="47" t="n">
        <x:f>COUNT(J56,L56,O56,U56,W56,Y56)</x:f>
        <x:v>6</x:v>
      </x:c>
      <x:c r="J56" s="52" t="n">
        <x:v>6.353448275862069</x:v>
      </x:c>
      <x:c r="K56" s="47" t="n">
        <x:f>IF(ISNUMBER(J56),1+COUNTIF($J$5:$J$121,"&gt;"&amp;J56),"")</x:f>
        <x:v>48</x:v>
      </x:c>
      <x:c r="L56" s="52" t="n">
        <x:v>5.784584980237154</x:v>
      </x:c>
      <x:c r="M56" s="47" t="n">
        <x:f>IF(ISNUMBER(L56),1+COUNTIF($L$5:$L$121,"&gt;"&amp;L56),"")</x:f>
        <x:v>54</x:v>
      </x:c>
      <x:c r="N56" s="47" t="str">
        <x:v>SUE + CAR3</x:v>
      </x:c>
      <x:c r="O56" s="52" t="n">
        <x:f>IFERROR(INDEX('Analyst Revisions'!$K$5:$K$121,MATCH(B56,'Analyst Revisions'!$B$5:$B$121,0)),"")</x:f>
        <x:v>9.298</x:v>
      </x:c>
      <x:c r="P56" s="47" t="n">
        <x:f>IF(ISNUMBER(O56),1+COUNTIF($O$5:$O$121,"&gt;"&amp;O56),"")</x:f>
        <x:v>10</x:v>
      </x:c>
      <x:c r="Q56" s="50" t="n">
        <x:f>IFERROR(INDEX('Analyst Revisions'!$G$5:$G$121,MATCH(B56,'Analyst Revisions'!$B$5:$B$121,0)),"")</x:f>
        <x:v>0.93526</x:v>
      </x:c>
      <x:c r="R56" s="50" t="n">
        <x:f>IFERROR(INDEX('Analyst Revisions'!$H$5:$H$121,MATCH(B56,'Analyst Revisions'!$B$5:$B$121,0)),"")</x:f>
        <x:v>0.89451</x:v>
      </x:c>
      <x:c r="S56" s="317" t="n">
        <x:f>IFERROR(INDEX('Analyst Revisions'!$I$5:$I$121,MATCH(B56,'Analyst Revisions'!$B$5:$B$121,0)),"")</x:f>
        <x:v>0.04555566734860421</x:v>
      </x:c>
      <x:c r="T56" s="47" t="str">
        <x:f>IFERROR(INDEX('Analyst Revisions'!$L$5:$L$121,MATCH(B56,'Analyst Revisions'!$B$5:$B$121,0)),"")</x:f>
        <x:v>OK</x:v>
      </x:c>
      <x:c r="U56" s="52" t="n">
        <x:v>4.730985757121439</x:v>
      </x:c>
      <x:c r="V56" s="47" t="n">
        <x:f>IF(ISNUMBER(U56),1+COUNTIF($U$5:$U$121,"&gt;"&amp;U56),"")</x:f>
        <x:v>78</x:v>
      </x:c>
      <x:c r="W56" s="52" t="n">
        <x:v>3.389655172413793</x:v>
      </x:c>
      <x:c r="X56" s="47" t="n">
        <x:f>IF(ISNUMBER(W56),1+COUNTIF($W$5:$W$121,"&gt;"&amp;W56),"")</x:f>
        <x:v>91</x:v>
      </x:c>
      <x:c r="Y56" s="52" t="n">
        <x:v>6.508620689655172</x:v>
      </x:c>
      <x:c r="Z56" s="47" t="n">
        <x:f>IF(ISNUMBER(Y56),1+COUNTIF($Y$5:$Y$121,"&gt;"&amp;Y56),"")</x:f>
        <x:v>46</x:v>
      </x:c>
      <x:c r="AA56" s="47" t="str">
        <x:v>Utilities</x:v>
      </x:c>
      <x:c r="AB56" s="54" t="n">
        <x:v>46213</x:v>
      </x:c>
      <x:c r="AC56" s="54" t="n">
        <x:v>46112</x:v>
      </x:c>
      <x:c r="AD56" s="54" t="n">
        <x:v>46022</x:v>
      </x:c>
      <x:c r="AE56" s="47" t="str">
        <x:v>OK</x:v>
      </x:c>
    </x:row>
    <x:row r="57">
      <x:c r="A57" s="47" t="n">
        <x:f>IF(ISNUMBER(H57),1+COUNTIF($H$5:$H$121,"&gt;"&amp;H57),"")</x:f>
        <x:v>57</x:v>
      </x:c>
      <x:c r="B57" s="47" t="str">
        <x:v>WTM</x:v>
      </x:c>
      <x:c r="C57" s="47" t="str">
        <x:v>White Mountains Insurance Group Ltd.</x:v>
      </x:c>
      <x:c r="D57" s="49" t="str">
        <x:v>Long</x:v>
      </x:c>
      <x:c r="E57" s="49" t="n">
        <x:v>0.003751</x:v>
      </x:c>
      <x:c r="F57" s="50" t="n">
        <x:v>0.3528792619549839</x:v>
      </x:c>
      <x:c r="G57" s="50" t="n">
        <x:v>0.13989213045537238</x:v>
      </x:c>
      <x:c r="H57" s="329" t="n">
        <x:f>IFERROR((IF(ISNUMBER(J57),J57*'Methodology'!$C$5,0)+IF(ISNUMBER(L57),L57*'Methodology'!$C$6,0)+IF(ISNUMBER(O57),O57*'Methodology'!$C$7,0)+IF(ISNUMBER(U57),U57*'Methodology'!$C$8,0)+IF(ISNUMBER(W57),W57*'Methodology'!$C$9,0)+IF(ISNUMBER(Y57),Y57*'Methodology'!$C$10,0))/(IF(ISNUMBER(J57),'Methodology'!$C$5,0)+IF(ISNUMBER(L57),'Methodology'!$C$6,0)+IF(ISNUMBER(O57),'Methodology'!$C$7,0)+IF(ISNUMBER(U57),'Methodology'!$C$8,0)+IF(ISNUMBER(W57),'Methodology'!$C$9,0)+IF(ISNUMBER(Y57),'Methodology'!$C$10,0)),"")</x:f>
        <x:v>5.5621118985961555</x:v>
      </x:c>
      <x:c r="I57" s="47" t="n">
        <x:f>COUNT(J57,L57,O57,U57,W57,Y57)</x:f>
        <x:v>5</x:v>
      </x:c>
      <x:c r="J57" s="52" t="n">
        <x:v>7.594827586206896</x:v>
      </x:c>
      <x:c r="K57" s="47" t="n">
        <x:f>IF(ISNUMBER(J57),1+COUNTIF($J$5:$J$121,"&gt;"&amp;J57),"")</x:f>
        <x:v>32</x:v>
      </x:c>
      <x:c r="L57" s="52" t="n">
        <x:v>3.1984189723320156</x:v>
      </x:c>
      <x:c r="M57" s="47" t="n">
        <x:f>IF(ISNUMBER(L57),1+COUNTIF($L$5:$L$121,"&gt;"&amp;L57),"")</x:f>
        <x:v>102</x:v>
      </x:c>
      <x:c r="N57" s="47" t="str">
        <x:v>SUE + CAR3</x:v>
      </x:c>
      <x:c r="O57" s="52" t="str">
        <x:f>IFERROR(INDEX('Analyst Revisions'!$K$5:$K$121,MATCH(B57,'Analyst Revisions'!$B$5:$B$121,0)),"")</x:f>
      </x:c>
      <x:c r="P57" s="47" t="str">
        <x:f>IF(ISNUMBER(O57),1+COUNTIF($O$5:$O$121,"&gt;"&amp;O57),"")</x:f>
      </x:c>
      <x:c r="Q57" s="50" t="str">
        <x:f>IFERROR(INDEX('Analyst Revisions'!$G$5:$G$121,MATCH(B57,'Analyst Revisions'!$B$5:$B$121,0)),"")</x:f>
      </x:c>
      <x:c r="R57" s="50" t="str">
        <x:f>IFERROR(INDEX('Analyst Revisions'!$H$5:$H$121,MATCH(B57,'Analyst Revisions'!$B$5:$B$121,0)),"")</x:f>
      </x:c>
      <x:c r="S57" s="317" t="str">
        <x:f>IFERROR(INDEX('Analyst Revisions'!$I$5:$I$121,MATCH(B57,'Analyst Revisions'!$B$5:$B$121,0)),"")</x:f>
      </x:c>
      <x:c r="T57" s="47" t="str">
        <x:f>IFERROR(INDEX('Analyst Revisions'!$L$5:$L$121,MATCH(B57,'Analyst Revisions'!$B$5:$B$121,0)),"")</x:f>
        <x:v>NO CURRENT-QUARTER DATA</x:v>
      </x:c>
      <x:c r="U57" s="52" t="n">
        <x:v>9.767241379310345</x:v>
      </x:c>
      <x:c r="V57" s="47" t="n">
        <x:f>IF(ISNUMBER(U57),1+COUNTIF($U$5:$U$121,"&gt;"&amp;U57),"")</x:f>
        <x:v>2</x:v>
      </x:c>
      <x:c r="W57" s="52" t="n">
        <x:v>1.5431034482758617</x:v>
      </x:c>
      <x:c r="X57" s="47" t="n">
        <x:f>IF(ISNUMBER(W57),1+COUNTIF($W$5:$W$121,"&gt;"&amp;W57),"")</x:f>
        <x:v>113</x:v>
      </x:c>
      <x:c r="Y57" s="52" t="n">
        <x:v>6.120689655172414</x:v>
      </x:c>
      <x:c r="Z57" s="47" t="n">
        <x:f>IF(ISNUMBER(Y57),1+COUNTIF($Y$5:$Y$121,"&gt;"&amp;Y57),"")</x:f>
        <x:v>51</x:v>
      </x:c>
      <x:c r="AA57" s="47" t="str">
        <x:v>Finance</x:v>
      </x:c>
      <x:c r="AB57" s="54" t="n">
        <x:v>46213</x:v>
      </x:c>
      <x:c r="AC57" s="54" t="n">
        <x:v>46112</x:v>
      </x:c>
      <x:c r="AD57" s="54" t="n">
        <x:v>46022</x:v>
      </x:c>
      <x:c r="AE57" s="47" t="str">
        <x:v>OK</x:v>
      </x:c>
    </x:row>
    <x:row r="58">
      <x:c r="A58" s="47" t="n">
        <x:f>IF(ISNUMBER(H58),1+COUNTIF($H$5:$H$121,"&gt;"&amp;H58),"")</x:f>
        <x:v>60</x:v>
      </x:c>
      <x:c r="B58" s="47" t="str">
        <x:v>TW</x:v>
      </x:c>
      <x:c r="C58" s="47" t="str">
        <x:v>Tradeweb Markets Inc.</x:v>
      </x:c>
      <x:c r="D58" s="49" t="str">
        <x:v>Long</x:v>
      </x:c>
      <x:c r="E58" s="49" t="n">
        <x:v>0.003702</x:v>
      </x:c>
      <x:c r="F58" s="50" t="n">
        <x:v>-0.16368729402752658</x:v>
      </x:c>
      <x:c r="G58" s="50" t="n">
        <x:v>-0.19884644534204612</x:v>
      </x:c>
      <x:c r="H58" s="329" t="n">
        <x:f>IFERROR((IF(ISNUMBER(J58),J58*'Methodology'!$C$5,0)+IF(ISNUMBER(L58),L58*'Methodology'!$C$6,0)+IF(ISNUMBER(O58),O58*'Methodology'!$C$7,0)+IF(ISNUMBER(U58),U58*'Methodology'!$C$8,0)+IF(ISNUMBER(W58),W58*'Methodology'!$C$9,0)+IF(ISNUMBER(Y58),Y58*'Methodology'!$C$10,0))/(IF(ISNUMBER(J58),'Methodology'!$C$5,0)+IF(ISNUMBER(L58),'Methodology'!$C$6,0)+IF(ISNUMBER(O58),'Methodology'!$C$7,0)+IF(ISNUMBER(U58),'Methodology'!$C$8,0)+IF(ISNUMBER(W58),'Methodology'!$C$9,0)+IF(ISNUMBER(Y58),'Methodology'!$C$10,0)),"")</x:f>
        <x:v>5.383508586615783</x:v>
      </x:c>
      <x:c r="I58" s="47" t="n">
        <x:f>COUNT(J58,L58,O58,U58,W58,Y58)</x:f>
        <x:v>6</x:v>
      </x:c>
      <x:c r="J58" s="52" t="n">
        <x:v>6.741379310344828</x:v>
      </x:c>
      <x:c r="K58" s="47" t="n">
        <x:f>IF(ISNUMBER(J58),1+COUNTIF($J$5:$J$121,"&gt;"&amp;J58),"")</x:f>
        <x:v>43</x:v>
      </x:c>
      <x:c r="L58" s="52" t="n">
        <x:v>7.431620553359684</x:v>
      </x:c>
      <x:c r="M58" s="47" t="n">
        <x:f>IF(ISNUMBER(L58),1+COUNTIF($L$5:$L$121,"&gt;"&amp;L58),"")</x:f>
        <x:v>20</x:v>
      </x:c>
      <x:c r="N58" s="47" t="str">
        <x:v>SUE + CAR3</x:v>
      </x:c>
      <x:c r="O58" s="52" t="n">
        <x:f>IFERROR(INDEX('Analyst Revisions'!$K$5:$K$121,MATCH(B58,'Analyst Revisions'!$B$5:$B$121,0)),"")</x:f>
        <x:v>4.6450000000000005</x:v>
      </x:c>
      <x:c r="P58" s="47" t="n">
        <x:f>IF(ISNUMBER(O58),1+COUNTIF($O$5:$O$121,"&gt;"&amp;O58),"")</x:f>
        <x:v>68</x:v>
      </x:c>
      <x:c r="Q58" s="50" t="n">
        <x:f>IFERROR(INDEX('Analyst Revisions'!$G$5:$G$121,MATCH(B58,'Analyst Revisions'!$B$5:$B$121,0)),"")</x:f>
        <x:v>0.98933</x:v>
      </x:c>
      <x:c r="R58" s="50" t="n">
        <x:f>IFERROR(INDEX('Analyst Revisions'!$H$5:$H$121,MATCH(B58,'Analyst Revisions'!$B$5:$B$121,0)),"")</x:f>
        <x:v>0.99854</x:v>
      </x:c>
      <x:c r="S58" s="317" t="n">
        <x:f>IFERROR(INDEX('Analyst Revisions'!$I$5:$I$121,MATCH(B58,'Analyst Revisions'!$B$5:$B$121,0)),"")</x:f>
        <x:v>-0.009223466260740621</x:v>
      </x:c>
      <x:c r="T58" s="47" t="str">
        <x:f>IFERROR(INDEX('Analyst Revisions'!$L$5:$L$121,MATCH(B58,'Analyst Revisions'!$B$5:$B$121,0)),"")</x:f>
        <x:v>OK</x:v>
      </x:c>
      <x:c r="U58" s="52" t="n">
        <x:v>4.103448275862069</x:v>
      </x:c>
      <x:c r="V58" s="47" t="n">
        <x:f>IF(ISNUMBER(U58),1+COUNTIF($U$5:$U$121,"&gt;"&amp;U58),"")</x:f>
        <x:v>89</x:v>
      </x:c>
      <x:c r="W58" s="52" t="n">
        <x:v>2.629310344827586</x:v>
      </x:c>
      <x:c r="X58" s="47" t="n">
        <x:f>IF(ISNUMBER(W58),1+COUNTIF($W$5:$W$121,"&gt;"&amp;W58),"")</x:f>
        <x:v>104</x:v>
      </x:c>
      <x:c r="Y58" s="52" t="n">
        <x:v>2.862068965517241</x:v>
      </x:c>
      <x:c r="Z58" s="47" t="n">
        <x:f>IF(ISNUMBER(Y58),1+COUNTIF($Y$5:$Y$121,"&gt;"&amp;Y58),"")</x:f>
        <x:v>93</x:v>
      </x:c>
      <x:c r="AA58" s="47" t="str">
        <x:v>Finance</x:v>
      </x:c>
      <x:c r="AB58" s="54" t="n">
        <x:v>46213</x:v>
      </x:c>
      <x:c r="AC58" s="54" t="n">
        <x:v>46112</x:v>
      </x:c>
      <x:c r="AD58" s="54" t="n">
        <x:v>46022</x:v>
      </x:c>
      <x:c r="AE58" s="47" t="str">
        <x:v>OK</x:v>
      </x:c>
    </x:row>
    <x:row r="59">
      <x:c r="A59" s="47" t="n">
        <x:f>IF(ISNUMBER(H59),1+COUNTIF($H$5:$H$121,"&gt;"&amp;H59),"")</x:f>
        <x:v>33</x:v>
      </x:c>
      <x:c r="B59" s="47" t="str">
        <x:v>EA</x:v>
      </x:c>
      <x:c r="C59" s="47" t="str">
        <x:v>Electronic Arts Inc.</x:v>
      </x:c>
      <x:c r="D59" s="49" t="str">
        <x:v>Long</x:v>
      </x:c>
      <x:c r="E59" s="49" t="n">
        <x:v>0.004259</x:v>
      </x:c>
      <x:c r="F59" s="50" t="n">
        <x:v>0.28364013553360456</x:v>
      </x:c>
      <x:c r="G59" s="50" t="n">
        <x:v>0.06621724465537841</x:v>
      </x:c>
      <x:c r="H59" s="329" t="n">
        <x:f>IFERROR((IF(ISNUMBER(J59),J59*'Methodology'!$C$5,0)+IF(ISNUMBER(L59),L59*'Methodology'!$C$6,0)+IF(ISNUMBER(O59),O59*'Methodology'!$C$7,0)+IF(ISNUMBER(U59),U59*'Methodology'!$C$8,0)+IF(ISNUMBER(W59),W59*'Methodology'!$C$9,0)+IF(ISNUMBER(Y59),Y59*'Methodology'!$C$10,0))/(IF(ISNUMBER(J59),'Methodology'!$C$5,0)+IF(ISNUMBER(L59),'Methodology'!$C$6,0)+IF(ISNUMBER(O59),'Methodology'!$C$7,0)+IF(ISNUMBER(U59),'Methodology'!$C$8,0)+IF(ISNUMBER(W59),'Methodology'!$C$9,0)+IF(ISNUMBER(Y59),'Methodology'!$C$10,0)),"")</x:f>
        <x:v>6.243539730134932</x:v>
      </x:c>
      <x:c r="I59" s="47" t="n">
        <x:f>COUNT(J59,L59,O59,U59,W59,Y59)</x:f>
        <x:v>6</x:v>
      </x:c>
      <x:c r="J59" s="52" t="n">
        <x:v>6.431034482758621</x:v>
      </x:c>
      <x:c r="K59" s="47" t="n">
        <x:f>IF(ISNUMBER(J59),1+COUNTIF($J$5:$J$121,"&gt;"&amp;J59),"")</x:f>
        <x:v>47</x:v>
      </x:c>
      <x:c r="L59" s="52" t="n">
        <x:v>6.752173913043479</x:v>
      </x:c>
      <x:c r="M59" s="47" t="n">
        <x:f>IF(ISNUMBER(L59),1+COUNTIF($L$5:$L$121,"&gt;"&amp;L59),"")</x:f>
        <x:v>32</x:v>
      </x:c>
      <x:c r="N59" s="47" t="str">
        <x:v>SUE + CAR3</x:v>
      </x:c>
      <x:c r="O59" s="52" t="n">
        <x:f>IFERROR(INDEX('Analyst Revisions'!$K$5:$K$121,MATCH(B59,'Analyst Revisions'!$B$5:$B$121,0)),"")</x:f>
        <x:v>9.838</x:v>
      </x:c>
      <x:c r="P59" s="47" t="n">
        <x:f>IF(ISNUMBER(O59),1+COUNTIF($O$5:$O$121,"&gt;"&amp;O59),"")</x:f>
        <x:v>3</x:v>
      </x:c>
      <x:c r="Q59" s="50" t="n">
        <x:f>IFERROR(INDEX('Analyst Revisions'!$G$5:$G$121,MATCH(B59,'Analyst Revisions'!$B$5:$B$121,0)),"")</x:f>
        <x:v>1.11266</x:v>
      </x:c>
      <x:c r="R59" s="50" t="n">
        <x:f>IFERROR(INDEX('Analyst Revisions'!$H$5:$H$121,MATCH(B59,'Analyst Revisions'!$B$5:$B$121,0)),"")</x:f>
        <x:v>1.02178</x:v>
      </x:c>
      <x:c r="S59" s="317" t="n">
        <x:f>IFERROR(INDEX('Analyst Revisions'!$I$5:$I$121,MATCH(B59,'Analyst Revisions'!$B$5:$B$121,0)),"")</x:f>
        <x:v>0.08894282526571286</x:v>
      </x:c>
      <x:c r="T59" s="47" t="str">
        <x:f>IFERROR(INDEX('Analyst Revisions'!$L$5:$L$121,MATCH(B59,'Analyst Revisions'!$B$5:$B$121,0)),"")</x:f>
        <x:v>THIN COVERAGE</x:v>
      </x:c>
      <x:c r="U59" s="52" t="n">
        <x:v>2.3243628185907044</x:v>
      </x:c>
      <x:c r="V59" s="47" t="n">
        <x:f>IF(ISNUMBER(U59),1+COUNTIF($U$5:$U$121,"&gt;"&amp;U59),"")</x:f>
        <x:v>117</x:v>
      </x:c>
      <x:c r="W59" s="52" t="n">
        <x:v>5.732758620689655</x:v>
      </x:c>
      <x:c r="X59" s="47" t="n">
        <x:f>IF(ISNUMBER(W59),1+COUNTIF($W$5:$W$121,"&gt;"&amp;W59),"")</x:f>
        <x:v>47</x:v>
      </x:c>
      <x:c r="Y59" s="52" t="n">
        <x:v>3.7155172413793105</x:v>
      </x:c>
      <x:c r="Z59" s="47" t="n">
        <x:f>IF(ISNUMBER(Y59),1+COUNTIF($Y$5:$Y$121,"&gt;"&amp;Y59),"")</x:f>
        <x:v>82</x:v>
      </x:c>
      <x:c r="AA59" s="47" t="str">
        <x:v>Consumer Discretionary</x:v>
      </x:c>
      <x:c r="AB59" s="54" t="n">
        <x:v>46213</x:v>
      </x:c>
      <x:c r="AC59" s="54" t="n">
        <x:v>46112</x:v>
      </x:c>
      <x:c r="AD59" s="54" t="n">
        <x:v>46112</x:v>
      </x:c>
      <x:c r="AE59" s="47" t="str">
        <x:v>OK</x:v>
      </x:c>
    </x:row>
    <x:row r="60">
      <x:c r="A60" s="47" t="n">
        <x:f>IF(ISNUMBER(H60),1+COUNTIF($H$5:$H$121,"&gt;"&amp;H60),"")</x:f>
        <x:v>63</x:v>
      </x:c>
      <x:c r="B60" s="47" t="str">
        <x:v>VRSK</x:v>
      </x:c>
      <x:c r="C60" s="47" t="str">
        <x:v>Verisk Analytics Inc.</x:v>
      </x:c>
      <x:c r="D60" s="49" t="str">
        <x:v>Long</x:v>
      </x:c>
      <x:c r="E60" s="49" t="n">
        <x:v>0.004463</x:v>
      </x:c>
      <x:c r="F60" s="50" t="n">
        <x:v>0.3024343096505785</x:v>
      </x:c>
      <x:c r="G60" s="50" t="n">
        <x:v>0.05602668777327396</x:v>
      </x:c>
      <x:c r="H60" s="329" t="n">
        <x:f>IFERROR((IF(ISNUMBER(J60),J60*'Methodology'!$C$5,0)+IF(ISNUMBER(L60),L60*'Methodology'!$C$6,0)+IF(ISNUMBER(O60),O60*'Methodology'!$C$7,0)+IF(ISNUMBER(U60),U60*'Methodology'!$C$8,0)+IF(ISNUMBER(W60),W60*'Methodology'!$C$9,0)+IF(ISNUMBER(Y60),Y60*'Methodology'!$C$10,0))/(IF(ISNUMBER(J60),'Methodology'!$C$5,0)+IF(ISNUMBER(L60),'Methodology'!$C$6,0)+IF(ISNUMBER(O60),'Methodology'!$C$7,0)+IF(ISNUMBER(U60),'Methodology'!$C$8,0)+IF(ISNUMBER(W60),'Methodology'!$C$9,0)+IF(ISNUMBER(Y60),'Methodology'!$C$10,0)),"")</x:f>
        <x:v>5.335673436009268</x:v>
      </x:c>
      <x:c r="I60" s="47" t="n">
        <x:f>COUNT(J60,L60,O60,U60,W60,Y60)</x:f>
        <x:v>6</x:v>
      </x:c>
      <x:c r="J60" s="52" t="n">
        <x:v>8.137931034482758</x:v>
      </x:c>
      <x:c r="K60" s="47" t="n">
        <x:f>IF(ISNUMBER(J60),1+COUNTIF($J$5:$J$121,"&gt;"&amp;J60),"")</x:f>
        <x:v>25</x:v>
      </x:c>
      <x:c r="L60" s="52" t="n">
        <x:v>6.9122529644268775</x:v>
      </x:c>
      <x:c r="M60" s="47" t="n">
        <x:f>IF(ISNUMBER(L60),1+COUNTIF($L$5:$L$121,"&gt;"&amp;L60),"")</x:f>
        <x:v>27</x:v>
      </x:c>
      <x:c r="N60" s="47" t="str">
        <x:v>SUE + CAR3</x:v>
      </x:c>
      <x:c r="O60" s="52" t="n">
        <x:f>IFERROR(INDEX('Analyst Revisions'!$K$5:$K$121,MATCH(B60,'Analyst Revisions'!$B$5:$B$121,0)),"")</x:f>
        <x:v>4.4830000000000005</x:v>
      </x:c>
      <x:c r="P60" s="47" t="n">
        <x:f>IF(ISNUMBER(O60),1+COUNTIF($O$5:$O$121,"&gt;"&amp;O60),"")</x:f>
        <x:v>70</x:v>
      </x:c>
      <x:c r="Q60" s="50" t="n">
        <x:f>IFERROR(INDEX('Analyst Revisions'!$G$5:$G$121,MATCH(B60,'Analyst Revisions'!$B$5:$B$121,0)),"")</x:f>
        <x:v>1.92751</x:v>
      </x:c>
      <x:c r="R60" s="50" t="n">
        <x:f>IFERROR(INDEX('Analyst Revisions'!$H$5:$H$121,MATCH(B60,'Analyst Revisions'!$B$5:$B$121,0)),"")</x:f>
        <x:v>1.94792</x:v>
      </x:c>
      <x:c r="S60" s="317" t="n">
        <x:f>IFERROR(INDEX('Analyst Revisions'!$I$5:$I$121,MATCH(B60,'Analyst Revisions'!$B$5:$B$121,0)),"")</x:f>
        <x:v>-0.010477843032568093</x:v>
      </x:c>
      <x:c r="T60" s="47" t="str">
        <x:f>IFERROR(INDEX('Analyst Revisions'!$L$5:$L$121,MATCH(B60,'Analyst Revisions'!$B$5:$B$121,0)),"")</x:f>
        <x:v>OK</x:v>
      </x:c>
      <x:c r="U60" s="52" t="n">
        <x:v>3.0114055472263868</x:v>
      </x:c>
      <x:c r="V60" s="47" t="n">
        <x:f>IF(ISNUMBER(U60),1+COUNTIF($U$5:$U$121,"&gt;"&amp;U60),"")</x:f>
        <x:v>108</x:v>
      </x:c>
      <x:c r="W60" s="52" t="n">
        <x:v>2.6463793103448277</x:v>
      </x:c>
      <x:c r="X60" s="47" t="n">
        <x:f>IF(ISNUMBER(W60),1+COUNTIF($W$5:$W$121,"&gt;"&amp;W60),"")</x:f>
        <x:v>103</x:v>
      </x:c>
      <x:c r="Y60" s="52" t="n">
        <x:v>1.7758620689655173</x:v>
      </x:c>
      <x:c r="Z60" s="47" t="n">
        <x:f>IF(ISNUMBER(Y60),1+COUNTIF($Y$5:$Y$121,"&gt;"&amp;Y60),"")</x:f>
        <x:v>107</x:v>
      </x:c>
      <x:c r="AA60" s="47" t="str">
        <x:v>Industrials</x:v>
      </x:c>
      <x:c r="AB60" s="54" t="n">
        <x:v>46213</x:v>
      </x:c>
      <x:c r="AC60" s="54" t="n">
        <x:v>46112</x:v>
      </x:c>
      <x:c r="AD60" s="54" t="n">
        <x:v>46022</x:v>
      </x:c>
      <x:c r="AE60" s="47" t="str">
        <x:v>OK</x:v>
      </x:c>
    </x:row>
    <x:row r="61">
      <x:c r="A61" s="47" t="n">
        <x:f>IF(ISNUMBER(H61),1+COUNTIF($H$5:$H$121,"&gt;"&amp;H61),"")</x:f>
        <x:v>40</x:v>
      </x:c>
      <x:c r="B61" s="47" t="str">
        <x:v>CNA</x:v>
      </x:c>
      <x:c r="C61" s="47" t="str">
        <x:v>CNA Financial Corp.</x:v>
      </x:c>
      <x:c r="D61" s="49" t="str">
        <x:v>Long</x:v>
      </x:c>
      <x:c r="E61" s="49" t="n">
        <x:v>0.004587</x:v>
      </x:c>
      <x:c r="F61" s="50" t="n">
        <x:v>0.12410604245515483</x:v>
      </x:c>
      <x:c r="G61" s="50" t="n">
        <x:v>-0.06834039730512419</x:v>
      </x:c>
      <x:c r="H61" s="329" t="n">
        <x:f>IFERROR((IF(ISNUMBER(J61),J61*'Methodology'!$C$5,0)+IF(ISNUMBER(L61),L61*'Methodology'!$C$6,0)+IF(ISNUMBER(O61),O61*'Methodology'!$C$7,0)+IF(ISNUMBER(U61),U61*'Methodology'!$C$8,0)+IF(ISNUMBER(W61),W61*'Methodology'!$C$9,0)+IF(ISNUMBER(Y61),Y61*'Methodology'!$C$10,0))/(IF(ISNUMBER(J61),'Methodology'!$C$5,0)+IF(ISNUMBER(L61),'Methodology'!$C$6,0)+IF(ISNUMBER(O61),'Methodology'!$C$7,0)+IF(ISNUMBER(U61),'Methodology'!$C$8,0)+IF(ISNUMBER(W61),'Methodology'!$C$9,0)+IF(ISNUMBER(Y61),'Methodology'!$C$10,0)),"")</x:f>
        <x:v>6.120208736540821</x:v>
      </x:c>
      <x:c r="I61" s="47" t="n">
        <x:f>COUNT(J61,L61,O61,U61,W61,Y61)</x:f>
        <x:v>6</x:v>
      </x:c>
      <x:c r="J61" s="52" t="n">
        <x:v>4.801724137931035</x:v>
      </x:c>
      <x:c r="K61" s="47" t="n">
        <x:f>IF(ISNUMBER(J61),1+COUNTIF($J$5:$J$121,"&gt;"&amp;J61),"")</x:f>
        <x:v>68</x:v>
      </x:c>
      <x:c r="L61" s="52" t="n">
        <x:v>2.4424901185770755</x:v>
      </x:c>
      <x:c r="M61" s="47" t="n">
        <x:f>IF(ISNUMBER(L61),1+COUNTIF($L$5:$L$121,"&gt;"&amp;L61),"")</x:f>
        <x:v>109</x:v>
      </x:c>
      <x:c r="N61" s="47" t="str">
        <x:v>SUE + CAR3</x:v>
      </x:c>
      <x:c r="O61" s="52" t="n">
        <x:f>IFERROR(INDEX('Analyst Revisions'!$K$5:$K$121,MATCH(B61,'Analyst Revisions'!$B$5:$B$121,0)),"")</x:f>
        <x:v>9.217</x:v>
      </x:c>
      <x:c r="P61" s="47" t="n">
        <x:f>IF(ISNUMBER(O61),1+COUNTIF($O$5:$O$121,"&gt;"&amp;O61),"")</x:f>
        <x:v>11</x:v>
      </x:c>
      <x:c r="Q61" s="50" t="n">
        <x:f>IFERROR(INDEX('Analyst Revisions'!$G$5:$G$121,MATCH(B61,'Analyst Revisions'!$B$5:$B$121,0)),"")</x:f>
        <x:v>1.19</x:v>
      </x:c>
      <x:c r="R61" s="50" t="n">
        <x:f>IFERROR(INDEX('Analyst Revisions'!$H$5:$H$121,MATCH(B61,'Analyst Revisions'!$B$5:$B$121,0)),"")</x:f>
        <x:v>1.14</x:v>
      </x:c>
      <x:c r="S61" s="317" t="n">
        <x:f>IFERROR(INDEX('Analyst Revisions'!$I$5:$I$121,MATCH(B61,'Analyst Revisions'!$B$5:$B$121,0)),"")</x:f>
        <x:v>0.043859649122807064</x:v>
      </x:c>
      <x:c r="T61" s="47" t="str">
        <x:f>IFERROR(INDEX('Analyst Revisions'!$L$5:$L$121,MATCH(B61,'Analyst Revisions'!$B$5:$B$121,0)),"")</x:f>
        <x:v>THIN COVERAGE</x:v>
      </x:c>
      <x:c r="U61" s="52" t="n">
        <x:v>8.913793103448278</x:v>
      </x:c>
      <x:c r="V61" s="47" t="n">
        <x:f>IF(ISNUMBER(U61),1+COUNTIF($U$5:$U$121,"&gt;"&amp;U61),"")</x:f>
        <x:v>7</x:v>
      </x:c>
      <x:c r="W61" s="52" t="n">
        <x:v>7.206896551724139</x:v>
      </x:c>
      <x:c r="X61" s="47" t="n">
        <x:f>IF(ISNUMBER(W61),1+COUNTIF($W$5:$W$121,"&gt;"&amp;W61),"")</x:f>
        <x:v>20</x:v>
      </x:c>
      <x:c r="Y61" s="52" t="n">
        <x:v>8.836206896551724</x:v>
      </x:c>
      <x:c r="Z61" s="47" t="n">
        <x:f>IF(ISNUMBER(Y61),1+COUNTIF($Y$5:$Y$121,"&gt;"&amp;Y61),"")</x:f>
        <x:v>16</x:v>
      </x:c>
      <x:c r="AA61" s="47" t="str">
        <x:v>Finance</x:v>
      </x:c>
      <x:c r="AB61" s="54" t="n">
        <x:v>46213</x:v>
      </x:c>
      <x:c r="AC61" s="54" t="n">
        <x:v>46112</x:v>
      </x:c>
      <x:c r="AD61" s="54" t="n">
        <x:v>46022</x:v>
      </x:c>
      <x:c r="AE61" s="47" t="str">
        <x:v>OK</x:v>
      </x:c>
    </x:row>
    <x:row r="62">
      <x:c r="A62" s="47" t="n">
        <x:f>IF(ISNUMBER(H62),1+COUNTIF($H$5:$H$121,"&gt;"&amp;H62),"")</x:f>
        <x:v>65</x:v>
      </x:c>
      <x:c r="B62" s="47" t="str">
        <x:v>DLB</x:v>
      </x:c>
      <x:c r="C62" s="47" t="str">
        <x:v>Dolby Laboratories Inc.</x:v>
      </x:c>
      <x:c r="D62" s="49" t="str">
        <x:v>Long</x:v>
      </x:c>
      <x:c r="E62" s="49" t="n">
        <x:v>0.003682</x:v>
      </x:c>
      <x:c r="F62" s="50" t="n">
        <x:v>0.49078032651442527</x:v>
      </x:c>
      <x:c r="G62" s="50" t="n">
        <x:v>0.12315525009675633</x:v>
      </x:c>
      <x:c r="H62" s="329" t="n">
        <x:f>IFERROR((IF(ISNUMBER(J62),J62*'Methodology'!$C$5,0)+IF(ISNUMBER(L62),L62*'Methodology'!$C$6,0)+IF(ISNUMBER(O62),O62*'Methodology'!$C$7,0)+IF(ISNUMBER(U62),U62*'Methodology'!$C$8,0)+IF(ISNUMBER(W62),W62*'Methodology'!$C$9,0)+IF(ISNUMBER(Y62),Y62*'Methodology'!$C$10,0))/(IF(ISNUMBER(J62),'Methodology'!$C$5,0)+IF(ISNUMBER(L62),'Methodology'!$C$6,0)+IF(ISNUMBER(O62),'Methodology'!$C$7,0)+IF(ISNUMBER(U62),'Methodology'!$C$8,0)+IF(ISNUMBER(W62),'Methodology'!$C$9,0)+IF(ISNUMBER(Y62),'Methodology'!$C$10,0)),"")</x:f>
        <x:v>5.316441938121848</x:v>
      </x:c>
      <x:c r="I62" s="47" t="n">
        <x:f>COUNT(J62,L62,O62,U62,W62,Y62)</x:f>
        <x:v>6</x:v>
      </x:c>
      <x:c r="J62" s="52" t="n">
        <x:v>5.422413793103448</x:v>
      </x:c>
      <x:c r="K62" s="47" t="n">
        <x:f>IF(ISNUMBER(J62),1+COUNTIF($J$5:$J$121,"&gt;"&amp;J62),"")</x:f>
        <x:v>60</x:v>
      </x:c>
      <x:c r="L62" s="52" t="n">
        <x:v>3.431422924901186</x:v>
      </x:c>
      <x:c r="M62" s="47" t="n">
        <x:f>IF(ISNUMBER(L62),1+COUNTIF($L$5:$L$121,"&gt;"&amp;L62),"")</x:f>
        <x:v>100</x:v>
      </x:c>
      <x:c r="N62" s="47" t="str">
        <x:v>SUE + CAR3</x:v>
      </x:c>
      <x:c r="O62" s="52" t="n">
        <x:f>IFERROR(INDEX('Analyst Revisions'!$K$5:$K$121,MATCH(B62,'Analyst Revisions'!$B$5:$B$121,0)),"")</x:f>
        <x:v>4.411</x:v>
      </x:c>
      <x:c r="P62" s="47" t="n">
        <x:f>IF(ISNUMBER(O62),1+COUNTIF($O$5:$O$121,"&gt;"&amp;O62),"")</x:f>
        <x:v>71</x:v>
      </x:c>
      <x:c r="Q62" s="50" t="n">
        <x:f>IFERROR(INDEX('Analyst Revisions'!$G$5:$G$121,MATCH(B62,'Analyst Revisions'!$B$5:$B$121,0)),"")</x:f>
        <x:v>1.19667</x:v>
      </x:c>
      <x:c r="R62" s="50" t="n">
        <x:f>IFERROR(INDEX('Analyst Revisions'!$H$5:$H$121,MATCH(B62,'Analyst Revisions'!$B$5:$B$121,0)),"")</x:f>
        <x:v>1.21</x:v>
      </x:c>
      <x:c r="S62" s="317" t="n">
        <x:f>IFERROR(INDEX('Analyst Revisions'!$I$5:$I$121,MATCH(B62,'Analyst Revisions'!$B$5:$B$121,0)),"")</x:f>
        <x:v>-0.011016528925619887</x:v>
      </x:c>
      <x:c r="T62" s="47" t="str">
        <x:f>IFERROR(INDEX('Analyst Revisions'!$L$5:$L$121,MATCH(B62,'Analyst Revisions'!$B$5:$B$121,0)),"")</x:f>
        <x:v>OK</x:v>
      </x:c>
      <x:c r="U62" s="52" t="n">
        <x:v>6.974137931034482</x:v>
      </x:c>
      <x:c r="V62" s="47" t="n">
        <x:f>IF(ISNUMBER(U62),1+COUNTIF($U$5:$U$121,"&gt;"&amp;U62),"")</x:f>
        <x:v>29</x:v>
      </x:c>
      <x:c r="W62" s="52" t="n">
        <x:v>7.594827586206897</x:v>
      </x:c>
      <x:c r="X62" s="47" t="n">
        <x:f>IF(ISNUMBER(W62),1+COUNTIF($W$5:$W$121,"&gt;"&amp;W62),"")</x:f>
        <x:v>17</x:v>
      </x:c>
      <x:c r="Y62" s="52" t="n">
        <x:v>6.741379310344828</x:v>
      </x:c>
      <x:c r="Z62" s="47" t="n">
        <x:f>IF(ISNUMBER(Y62),1+COUNTIF($Y$5:$Y$121,"&gt;"&amp;Y62),"")</x:f>
        <x:v>43</x:v>
      </x:c>
      <x:c r="AA62" s="47" t="str">
        <x:v>Miscellaneous</x:v>
      </x:c>
      <x:c r="AB62" s="54" t="n">
        <x:v>46213</x:v>
      </x:c>
      <x:c r="AC62" s="54" t="n">
        <x:v>46108</x:v>
      </x:c>
      <x:c r="AD62" s="54" t="n">
        <x:v>45926</x:v>
      </x:c>
      <x:c r="AE62" s="47" t="str">
        <x:v>OK</x:v>
      </x:c>
    </x:row>
    <x:row r="63">
      <x:c r="A63" s="47" t="n">
        <x:f>IF(ISNUMBER(H63),1+COUNTIF($H$5:$H$121,"&gt;"&amp;H63),"")</x:f>
        <x:v>59</x:v>
      </x:c>
      <x:c r="B63" s="47" t="str">
        <x:v>DTM</x:v>
      </x:c>
      <x:c r="C63" s="47" t="str">
        <x:v>DT Midstream Inc.</x:v>
      </x:c>
      <x:c r="D63" s="49" t="str">
        <x:v>Short</x:v>
      </x:c>
      <x:c r="E63" s="49" t="n">
        <x:v>-0.003495</x:v>
      </x:c>
      <x:c r="F63" s="50" t="n">
        <x:v>0.5194535769586267</x:v>
      </x:c>
      <x:c r="G63" s="50" t="n">
        <x:v>0.12189031175199418</x:v>
      </x:c>
      <x:c r="H63" s="329" t="n">
        <x:f>IFERROR((IF(ISNUMBER(J63),J63*'Methodology'!$C$5,0)+IF(ISNUMBER(L63),L63*'Methodology'!$C$6,0)+IF(ISNUMBER(O63),O63*'Methodology'!$C$7,0)+IF(ISNUMBER(U63),U63*'Methodology'!$C$8,0)+IF(ISNUMBER(W63),W63*'Methodology'!$C$9,0)+IF(ISNUMBER(Y63),Y63*'Methodology'!$C$10,0))/(IF(ISNUMBER(J63),'Methodology'!$C$5,0)+IF(ISNUMBER(L63),'Methodology'!$C$6,0)+IF(ISNUMBER(O63),'Methodology'!$C$7,0)+IF(ISNUMBER(U63),'Methodology'!$C$8,0)+IF(ISNUMBER(W63),'Methodology'!$C$9,0)+IF(ISNUMBER(Y63),'Methodology'!$C$10,0)),"")</x:f>
        <x:v>5.443716028349461</x:v>
      </x:c>
      <x:c r="I63" s="47" t="n">
        <x:f>COUNT(J63,L63,O63,U63,W63,Y63)</x:f>
        <x:v>6</x:v>
      </x:c>
      <x:c r="J63" s="52" t="n">
        <x:v>4.336206896551724</x:v>
      </x:c>
      <x:c r="K63" s="47" t="n">
        <x:f>IF(ISNUMBER(J63),1+COUNTIF($J$5:$J$121,"&gt;"&amp;J63),"")</x:f>
        <x:v>74</x:v>
      </x:c>
      <x:c r="L63" s="52" t="n">
        <x:v>7.732213438735178</x:v>
      </x:c>
      <x:c r="M63" s="47" t="n">
        <x:f>IF(ISNUMBER(L63),1+COUNTIF($L$5:$L$121,"&gt;"&amp;L63),"")</x:f>
        <x:v>17</x:v>
      </x:c>
      <x:c r="N63" s="47" t="str">
        <x:v>SUE + CAR3</x:v>
      </x:c>
      <x:c r="O63" s="52" t="n">
        <x:f>IFERROR(INDEX('Analyst Revisions'!$K$5:$K$121,MATCH(B63,'Analyst Revisions'!$B$5:$B$121,0)),"")</x:f>
        <x:v>5.266</x:v>
      </x:c>
      <x:c r="P63" s="47" t="n">
        <x:f>IF(ISNUMBER(O63),1+COUNTIF($O$5:$O$121,"&gt;"&amp;O63),"")</x:f>
        <x:v>60</x:v>
      </x:c>
      <x:c r="Q63" s="50" t="n">
        <x:f>IFERROR(INDEX('Analyst Revisions'!$G$5:$G$121,MATCH(B63,'Analyst Revisions'!$B$5:$B$121,0)),"")</x:f>
        <x:v>1.12646</x:v>
      </x:c>
      <x:c r="R63" s="50" t="n">
        <x:f>IFERROR(INDEX('Analyst Revisions'!$H$5:$H$121,MATCH(B63,'Analyst Revisions'!$B$5:$B$121,0)),"")</x:f>
        <x:v>1.1323</x:v>
      </x:c>
      <x:c r="S63" s="317" t="n">
        <x:f>IFERROR(INDEX('Analyst Revisions'!$I$5:$I$121,MATCH(B63,'Analyst Revisions'!$B$5:$B$121,0)),"")</x:f>
        <x:v>-0.005157643733992817</x:v>
      </x:c>
      <x:c r="T63" s="47" t="str">
        <x:f>IFERROR(INDEX('Analyst Revisions'!$L$5:$L$121,MATCH(B63,'Analyst Revisions'!$B$5:$B$121,0)),"")</x:f>
        <x:v>OK</x:v>
      </x:c>
      <x:c r="U63" s="52" t="n">
        <x:v>3.0925674662668667</x:v>
      </x:c>
      <x:c r="V63" s="47" t="n">
        <x:f>IF(ISNUMBER(U63),1+COUNTIF($U$5:$U$121,"&gt;"&amp;U63),"")</x:f>
        <x:v>105</x:v>
      </x:c>
      <x:c r="W63" s="52" t="n">
        <x:v>6.434137931034483</x:v>
      </x:c>
      <x:c r="X63" s="47" t="n">
        <x:f>IF(ISNUMBER(W63),1+COUNTIF($W$5:$W$121,"&gt;"&amp;W63),"")</x:f>
        <x:v>33</x:v>
      </x:c>
      <x:c r="Y63" s="52" t="n">
        <x:v>4.413793103448276</x:v>
      </x:c>
      <x:c r="Z63" s="47" t="n">
        <x:f>IF(ISNUMBER(Y63),1+COUNTIF($Y$5:$Y$121,"&gt;"&amp;Y63),"")</x:f>
        <x:v>73</x:v>
      </x:c>
      <x:c r="AA63" s="47" t="str">
        <x:v>Utilities</x:v>
      </x:c>
      <x:c r="AB63" s="54" t="n">
        <x:v>46213</x:v>
      </x:c>
      <x:c r="AC63" s="54" t="n">
        <x:v>46112</x:v>
      </x:c>
      <x:c r="AD63" s="54" t="n">
        <x:v>46022</x:v>
      </x:c>
      <x:c r="AE63" s="47" t="str">
        <x:v>OK</x:v>
      </x:c>
    </x:row>
    <x:row r="64">
      <x:c r="A64" s="47" t="n">
        <x:f>IF(ISNUMBER(H64),1+COUNTIF($H$5:$H$121,"&gt;"&amp;H64),"")</x:f>
        <x:v>49</x:v>
      </x:c>
      <x:c r="B64" s="47" t="str">
        <x:v>VRSN</x:v>
      </x:c>
      <x:c r="C64" s="47" t="str">
        <x:v>VeriSign Inc.</x:v>
      </x:c>
      <x:c r="D64" s="49" t="str">
        <x:v>Long</x:v>
      </x:c>
      <x:c r="E64" s="49" t="n">
        <x:v>0.003716</x:v>
      </x:c>
      <x:c r="F64" s="50" t="n">
        <x:v>0.11493391432051168</x:v>
      </x:c>
      <x:c r="G64" s="50" t="n">
        <x:v>0.16665986925978252</x:v>
      </x:c>
      <x:c r="H64" s="329" t="n">
        <x:f>IFERROR((IF(ISNUMBER(J64),J64*'Methodology'!$C$5,0)+IF(ISNUMBER(L64),L64*'Methodology'!$C$6,0)+IF(ISNUMBER(O64),O64*'Methodology'!$C$7,0)+IF(ISNUMBER(U64),U64*'Methodology'!$C$8,0)+IF(ISNUMBER(W64),W64*'Methodology'!$C$9,0)+IF(ISNUMBER(Y64),Y64*'Methodology'!$C$10,0))/(IF(ISNUMBER(J64),'Methodology'!$C$5,0)+IF(ISNUMBER(L64),'Methodology'!$C$6,0)+IF(ISNUMBER(O64),'Methodology'!$C$7,0)+IF(ISNUMBER(U64),'Methodology'!$C$8,0)+IF(ISNUMBER(W64),'Methodology'!$C$9,0)+IF(ISNUMBER(Y64),'Methodology'!$C$10,0)),"")</x:f>
        <x:v>5.78965939757394</x:v>
      </x:c>
      <x:c r="I64" s="47" t="n">
        <x:f>COUNT(J64,L64,O64,U64,W64,Y64)</x:f>
        <x:v>6</x:v>
      </x:c>
      <x:c r="J64" s="52" t="n">
        <x:v>2.4741379310344827</x:v>
      </x:c>
      <x:c r="K64" s="47" t="n">
        <x:f>IF(ISNUMBER(J64),1+COUNTIF($J$5:$J$121,"&gt;"&amp;J64),"")</x:f>
        <x:v>98</x:v>
      </x:c>
      <x:c r="L64" s="52" t="n">
        <x:v>7.844268774703558</x:v>
      </x:c>
      <x:c r="M64" s="47" t="n">
        <x:f>IF(ISNUMBER(L64),1+COUNTIF($L$5:$L$121,"&gt;"&amp;L64),"")</x:f>
        <x:v>16</x:v>
      </x:c>
      <x:c r="N64" s="47" t="str">
        <x:v>SUE + CAR3</x:v>
      </x:c>
      <x:c r="O64" s="52" t="n">
        <x:f>IFERROR(INDEX('Analyst Revisions'!$K$5:$K$121,MATCH(B64,'Analyst Revisions'!$B$5:$B$121,0)),"")</x:f>
        <x:v>7.588</x:v>
      </x:c>
      <x:c r="P64" s="47" t="n">
        <x:f>IF(ISNUMBER(O64),1+COUNTIF($O$5:$O$121,"&gt;"&amp;O64),"")</x:f>
        <x:v>32</x:v>
      </x:c>
      <x:c r="Q64" s="50" t="n">
        <x:f>IFERROR(INDEX('Analyst Revisions'!$G$5:$G$121,MATCH(B64,'Analyst Revisions'!$B$5:$B$121,0)),"")</x:f>
        <x:v>2.40254</x:v>
      </x:c>
      <x:c r="R64" s="50" t="n">
        <x:f>IFERROR(INDEX('Analyst Revisions'!$H$5:$H$121,MATCH(B64,'Analyst Revisions'!$B$5:$B$121,0)),"")</x:f>
        <x:v>2.37607</x:v>
      </x:c>
      <x:c r="S64" s="317" t="n">
        <x:f>IFERROR(INDEX('Analyst Revisions'!$I$5:$I$121,MATCH(B64,'Analyst Revisions'!$B$5:$B$121,0)),"")</x:f>
        <x:v>0.01114024418472529</x:v>
      </x:c>
      <x:c r="T64" s="47" t="str">
        <x:f>IFERROR(INDEX('Analyst Revisions'!$L$5:$L$121,MATCH(B64,'Analyst Revisions'!$B$5:$B$121,0)),"")</x:f>
        <x:v>OK</x:v>
      </x:c>
      <x:c r="U64" s="52" t="n">
        <x:v>2.4507608695652174</x:v>
      </x:c>
      <x:c r="V64" s="47" t="n">
        <x:f>IF(ISNUMBER(U64),1+COUNTIF($U$5:$U$121,"&gt;"&amp;U64),"")</x:f>
        <x:v>116</x:v>
      </x:c>
      <x:c r="W64" s="52" t="n">
        <x:v>8.161206896551723</x:v>
      </x:c>
      <x:c r="X64" s="47" t="n">
        <x:f>IF(ISNUMBER(W64),1+COUNTIF($W$5:$W$121,"&gt;"&amp;W64),"")</x:f>
        <x:v>14</x:v>
      </x:c>
      <x:c r="Y64" s="52" t="n">
        <x:v>6.896551724137931</x:v>
      </x:c>
      <x:c r="Z64" s="47" t="n">
        <x:f>IF(ISNUMBER(Y64),1+COUNTIF($Y$5:$Y$121,"&gt;"&amp;Y64),"")</x:f>
        <x:v>41</x:v>
      </x:c>
      <x:c r="AA64" s="47" t="str">
        <x:v>Technology</x:v>
      </x:c>
      <x:c r="AB64" s="54" t="n">
        <x:v>46213</x:v>
      </x:c>
      <x:c r="AC64" s="54" t="n">
        <x:v>41639</x:v>
      </x:c>
      <x:c r="AD64" s="54" t="n">
        <x:v>46022</x:v>
      </x:c>
      <x:c r="AE64" s="47" t="str">
        <x:v>OK</x:v>
      </x:c>
    </x:row>
    <x:row r="65">
      <x:c r="A65" s="47" t="n">
        <x:f>IF(ISNUMBER(H65),1+COUNTIF($H$5:$H$121,"&gt;"&amp;H65),"")</x:f>
        <x:v>47</x:v>
      </x:c>
      <x:c r="B65" s="47" t="str">
        <x:v>NOC</x:v>
      </x:c>
      <x:c r="C65" s="47" t="str">
        <x:v>Northrop Grumman Corp.</x:v>
      </x:c>
      <x:c r="D65" s="49" t="str">
        <x:v>Long</x:v>
      </x:c>
      <x:c r="E65" s="49" t="n">
        <x:v>0.003712</x:v>
      </x:c>
      <x:c r="F65" s="50" t="n">
        <x:v>-0.27778542862983985</x:v>
      </x:c>
      <x:c r="G65" s="50" t="n">
        <x:v>-0.21231979454560476</x:v>
      </x:c>
      <x:c r="H65" s="329" t="n">
        <x:f>IFERROR((IF(ISNUMBER(J65),J65*'Methodology'!$C$5,0)+IF(ISNUMBER(L65),L65*'Methodology'!$C$6,0)+IF(ISNUMBER(O65),O65*'Methodology'!$C$7,0)+IF(ISNUMBER(U65),U65*'Methodology'!$C$8,0)+IF(ISNUMBER(W65),W65*'Methodology'!$C$9,0)+IF(ISNUMBER(Y65),Y65*'Methodology'!$C$10,0))/(IF(ISNUMBER(J65),'Methodology'!$C$5,0)+IF(ISNUMBER(L65),'Methodology'!$C$6,0)+IF(ISNUMBER(O65),'Methodology'!$C$7,0)+IF(ISNUMBER(U65),'Methodology'!$C$8,0)+IF(ISNUMBER(W65),'Methodology'!$C$9,0)+IF(ISNUMBER(Y65),'Methodology'!$C$10,0)),"")</x:f>
        <x:v>5.864750306664849</x:v>
      </x:c>
      <x:c r="I65" s="47" t="n">
        <x:f>COUNT(J65,L65,O65,U65,W65,Y65)</x:f>
        <x:v>6</x:v>
      </x:c>
      <x:c r="J65" s="52" t="n">
        <x:v>5.9655172413793105</x:v>
      </x:c>
      <x:c r="K65" s="47" t="n">
        <x:f>IF(ISNUMBER(J65),1+COUNTIF($J$5:$J$121,"&gt;"&amp;J65),"")</x:f>
        <x:v>53</x:v>
      </x:c>
      <x:c r="L65" s="52" t="n">
        <x:v>3.845849802371541</x:v>
      </x:c>
      <x:c r="M65" s="47" t="n">
        <x:f>IF(ISNUMBER(L65),1+COUNTIF($L$5:$L$121,"&gt;"&amp;L65),"")</x:f>
        <x:v>91</x:v>
      </x:c>
      <x:c r="N65" s="47" t="str">
        <x:v>SUE + CAR3</x:v>
      </x:c>
      <x:c r="O65" s="52" t="n">
        <x:f>IFERROR(INDEX('Analyst Revisions'!$K$5:$K$121,MATCH(B65,'Analyst Revisions'!$B$5:$B$121,0)),"")</x:f>
        <x:v>8.209</x:v>
      </x:c>
      <x:c r="P65" s="47" t="n">
        <x:f>IF(ISNUMBER(O65),1+COUNTIF($O$5:$O$121,"&gt;"&amp;O65),"")</x:f>
        <x:v>24</x:v>
      </x:c>
      <x:c r="Q65" s="50" t="n">
        <x:f>IFERROR(INDEX('Analyst Revisions'!$G$5:$G$121,MATCH(B65,'Analyst Revisions'!$B$5:$B$121,0)),"")</x:f>
        <x:v>7.15237</x:v>
      </x:c>
      <x:c r="R65" s="50" t="n">
        <x:f>IFERROR(INDEX('Analyst Revisions'!$H$5:$H$121,MATCH(B65,'Analyst Revisions'!$B$5:$B$121,0)),"")</x:f>
        <x:v>7.00072</x:v>
      </x:c>
      <x:c r="S65" s="317" t="n">
        <x:f>IFERROR(INDEX('Analyst Revisions'!$I$5:$I$121,MATCH(B65,'Analyst Revisions'!$B$5:$B$121,0)),"")</x:f>
        <x:v>0.021662057616930838</x:v>
      </x:c>
      <x:c r="T65" s="47" t="str">
        <x:f>IFERROR(INDEX('Analyst Revisions'!$L$5:$L$121,MATCH(B65,'Analyst Revisions'!$B$5:$B$121,0)),"")</x:f>
        <x:v>OK</x:v>
      </x:c>
      <x:c r="U65" s="52" t="n">
        <x:v>5.550228635682158</x:v>
      </x:c>
      <x:c r="V65" s="47" t="n">
        <x:f>IF(ISNUMBER(U65),1+COUNTIF($U$5:$U$121,"&gt;"&amp;U65),"")</x:f>
        <x:v>55</x:v>
      </x:c>
      <x:c r="W65" s="52" t="n">
        <x:v>6.2572413793103445</x:v>
      </x:c>
      <x:c r="X65" s="47" t="n">
        <x:f>IF(ISNUMBER(W65),1+COUNTIF($W$5:$W$121,"&gt;"&amp;W65),"")</x:f>
        <x:v>38</x:v>
      </x:c>
      <x:c r="Y65" s="52" t="n">
        <x:v>6.586206896551724</x:v>
      </x:c>
      <x:c r="Z65" s="47" t="n">
        <x:f>IF(ISNUMBER(Y65),1+COUNTIF($Y$5:$Y$121,"&gt;"&amp;Y65),"")</x:f>
        <x:v>45</x:v>
      </x:c>
      <x:c r="AA65" s="47" t="str">
        <x:v>Industrials</x:v>
      </x:c>
      <x:c r="AB65" s="54" t="n">
        <x:v>46213</x:v>
      </x:c>
      <x:c r="AC65" s="54" t="n">
        <x:v>46112</x:v>
      </x:c>
      <x:c r="AD65" s="54" t="n">
        <x:v>46022</x:v>
      </x:c>
      <x:c r="AE65" s="47" t="str">
        <x:v>OK</x:v>
      </x:c>
    </x:row>
    <x:row r="66">
      <x:c r="A66" s="47" t="n">
        <x:f>IF(ISNUMBER(H66),1+COUNTIF($H$5:$H$121,"&gt;"&amp;H66),"")</x:f>
        <x:v>84</x:v>
      </x:c>
      <x:c r="B66" s="47" t="str">
        <x:v>DOW</x:v>
      </x:c>
      <x:c r="C66" s="47" t="str">
        <x:v>Dow Inc.</x:v>
      </x:c>
      <x:c r="D66" s="49" t="str">
        <x:v>Long</x:v>
      </x:c>
      <x:c r="E66" s="49" t="n">
        <x:v>0.003245</x:v>
      </x:c>
      <x:c r="F66" s="50" t="n">
        <x:v>-0.07560448730109182</x:v>
      </x:c>
      <x:c r="G66" s="50" t="n">
        <x:v>-0.1756854327282763</x:v>
      </x:c>
      <x:c r="H66" s="329" t="n">
        <x:f>IFERROR((IF(ISNUMBER(J66),J66*'Methodology'!$C$5,0)+IF(ISNUMBER(L66),L66*'Methodology'!$C$6,0)+IF(ISNUMBER(O66),O66*'Methodology'!$C$7,0)+IF(ISNUMBER(U66),U66*'Methodology'!$C$8,0)+IF(ISNUMBER(W66),W66*'Methodology'!$C$9,0)+IF(ISNUMBER(Y66),Y66*'Methodology'!$C$10,0))/(IF(ISNUMBER(J66),'Methodology'!$C$5,0)+IF(ISNUMBER(L66),'Methodology'!$C$6,0)+IF(ISNUMBER(O66),'Methodology'!$C$7,0)+IF(ISNUMBER(U66),'Methodology'!$C$8,0)+IF(ISNUMBER(W66),'Methodology'!$C$9,0)+IF(ISNUMBER(Y66),'Methodology'!$C$10,0)),"")</x:f>
        <x:v>4.638413997546681</x:v>
      </x:c>
      <x:c r="I66" s="47" t="n">
        <x:f>COUNT(J66,L66,O66,U66,W66,Y66)</x:f>
        <x:v>6</x:v>
      </x:c>
      <x:c r="J66" s="52" t="n">
        <x:v>4.258620689655173</x:v>
      </x:c>
      <x:c r="K66" s="47" t="n">
        <x:f>IF(ISNUMBER(J66),1+COUNTIF($J$5:$J$121,"&gt;"&amp;J66),"")</x:f>
        <x:v>75</x:v>
      </x:c>
      <x:c r="L66" s="52" t="n">
        <x:v>4.553754940711463</x:v>
      </x:c>
      <x:c r="M66" s="47" t="n">
        <x:f>IF(ISNUMBER(L66),1+COUNTIF($L$5:$L$121,"&gt;"&amp;L66),"")</x:f>
        <x:v>79</x:v>
      </x:c>
      <x:c r="N66" s="47" t="str">
        <x:v>SUE + CAR3</x:v>
      </x:c>
      <x:c r="O66" s="52" t="n">
        <x:f>IFERROR(INDEX('Analyst Revisions'!$K$5:$K$121,MATCH(B66,'Analyst Revisions'!$B$5:$B$121,0)),"")</x:f>
        <x:v>1.153</x:v>
      </x:c>
      <x:c r="P66" s="47" t="n">
        <x:f>IF(ISNUMBER(O66),1+COUNTIF($O$5:$O$121,"&gt;"&amp;O66),"")</x:f>
        <x:v>113</x:v>
      </x:c>
      <x:c r="Q66" s="50" t="n">
        <x:f>IFERROR(INDEX('Analyst Revisions'!$G$5:$G$121,MATCH(B66,'Analyst Revisions'!$B$5:$B$121,0)),"")</x:f>
        <x:v>0.78205</x:v>
      </x:c>
      <x:c r="R66" s="50" t="n">
        <x:f>IFERROR(INDEX('Analyst Revisions'!$H$5:$H$121,MATCH(B66,'Analyst Revisions'!$B$5:$B$121,0)),"")</x:f>
        <x:v>1.1663</x:v>
      </x:c>
      <x:c r="S66" s="317" t="n">
        <x:f>IFERROR(INDEX('Analyst Revisions'!$I$5:$I$121,MATCH(B66,'Analyst Revisions'!$B$5:$B$121,0)),"")</x:f>
        <x:v>-0.3294606876446882</x:v>
      </x:c>
      <x:c r="T66" s="47" t="str">
        <x:f>IFERROR(INDEX('Analyst Revisions'!$L$5:$L$121,MATCH(B66,'Analyst Revisions'!$B$5:$B$121,0)),"")</x:f>
        <x:v>OK</x:v>
      </x:c>
      <x:c r="U66" s="52" t="n">
        <x:v>5.481311844077961</x:v>
      </x:c>
      <x:c r="V66" s="47" t="n">
        <x:f>IF(ISNUMBER(U66),1+COUNTIF($U$5:$U$121,"&gt;"&amp;U66),"")</x:f>
        <x:v>57</x:v>
      </x:c>
      <x:c r="W66" s="52" t="n">
        <x:v>6.41396551724138</x:v>
      </x:c>
      <x:c r="X66" s="47" t="n">
        <x:f>IF(ISNUMBER(W66),1+COUNTIF($W$5:$W$121,"&gt;"&amp;W66),"")</x:f>
        <x:v>35</x:v>
      </x:c>
      <x:c r="Y66" s="52" t="n">
        <x:v>8.293103448275861</x:v>
      </x:c>
      <x:c r="Z66" s="47" t="n">
        <x:f>IF(ISNUMBER(Y66),1+COUNTIF($Y$5:$Y$121,"&gt;"&amp;Y66),"")</x:f>
        <x:v>23</x:v>
      </x:c>
      <x:c r="AA66" s="47" t="str">
        <x:v>Industrials</x:v>
      </x:c>
      <x:c r="AB66" s="54" t="n">
        <x:v>46213</x:v>
      </x:c>
      <x:c r="AC66" s="54" t="n">
        <x:v>46112</x:v>
      </x:c>
      <x:c r="AD66" s="54" t="n">
        <x:v>46022</x:v>
      </x:c>
      <x:c r="AE66" s="47" t="str">
        <x:v>OK</x:v>
      </x:c>
    </x:row>
    <x:row r="67">
      <x:c r="A67" s="47" t="n">
        <x:f>IF(ISNUMBER(H67),1+COUNTIF($H$5:$H$121,"&gt;"&amp;H67),"")</x:f>
        <x:v>62</x:v>
      </x:c>
      <x:c r="B67" s="47" t="str">
        <x:v>SO</x:v>
      </x:c>
      <x:c r="C67" s="47" t="str">
        <x:v>The Southern Co.</x:v>
      </x:c>
      <x:c r="D67" s="49" t="str">
        <x:v>Long</x:v>
      </x:c>
      <x:c r="E67" s="49" t="n">
        <x:v>0.00411</x:v>
      </x:c>
      <x:c r="F67" s="50" t="n">
        <x:v>0.09161156049074157</x:v>
      </x:c>
      <x:c r="G67" s="50" t="n">
        <x:v>-0.022205912231701038</x:v>
      </x:c>
      <x:c r="H67" s="329" t="n">
        <x:f>IFERROR((IF(ISNUMBER(J67),J67*'Methodology'!$C$5,0)+IF(ISNUMBER(L67),L67*'Methodology'!$C$6,0)+IF(ISNUMBER(O67),O67*'Methodology'!$C$7,0)+IF(ISNUMBER(U67),U67*'Methodology'!$C$8,0)+IF(ISNUMBER(W67),W67*'Methodology'!$C$9,0)+IF(ISNUMBER(Y67),Y67*'Methodology'!$C$10,0))/(IF(ISNUMBER(J67),'Methodology'!$C$5,0)+IF(ISNUMBER(L67),'Methodology'!$C$6,0)+IF(ISNUMBER(O67),'Methodology'!$C$7,0)+IF(ISNUMBER(U67),'Methodology'!$C$8,0)+IF(ISNUMBER(W67),'Methodology'!$C$9,0)+IF(ISNUMBER(Y67),'Methodology'!$C$10,0)),"")</x:f>
        <x:v>5.348225773476898</x:v>
      </x:c>
      <x:c r="I67" s="47" t="n">
        <x:f>COUNT(J67,L67,O67,U67,W67,Y67)</x:f>
        <x:v>6</x:v>
      </x:c>
      <x:c r="J67" s="52" t="n">
        <x:v>6.818965517241379</x:v>
      </x:c>
      <x:c r="K67" s="47" t="n">
        <x:f>IF(ISNUMBER(J67),1+COUNTIF($J$5:$J$121,"&gt;"&amp;J67),"")</x:f>
        <x:v>42</x:v>
      </x:c>
      <x:c r="L67" s="52" t="n">
        <x:v>5.677865612648222</x:v>
      </x:c>
      <x:c r="M67" s="47" t="n">
        <x:f>IF(ISNUMBER(L67),1+COUNTIF($L$5:$L$121,"&gt;"&amp;L67),"")</x:f>
        <x:v>57</x:v>
      </x:c>
      <x:c r="N67" s="47" t="str">
        <x:v>SUE + CAR3</x:v>
      </x:c>
      <x:c r="O67" s="52" t="n">
        <x:f>IFERROR(INDEX('Analyst Revisions'!$K$5:$K$121,MATCH(B67,'Analyst Revisions'!$B$5:$B$121,0)),"")</x:f>
        <x:v>5.5</x:v>
      </x:c>
      <x:c r="P67" s="47" t="n">
        <x:f>IF(ISNUMBER(O67),1+COUNTIF($O$5:$O$121,"&gt;"&amp;O67),"")</x:f>
        <x:v>57</x:v>
      </x:c>
      <x:c r="Q67" s="50" t="n">
        <x:f>IFERROR(INDEX('Analyst Revisions'!$G$5:$G$121,MATCH(B67,'Analyst Revisions'!$B$5:$B$121,0)),"")</x:f>
        <x:v>1.66944</x:v>
      </x:c>
      <x:c r="R67" s="50" t="n">
        <x:f>IFERROR(INDEX('Analyst Revisions'!$H$5:$H$121,MATCH(B67,'Analyst Revisions'!$B$5:$B$121,0)),"")</x:f>
        <x:v>1.67561</x:v>
      </x:c>
      <x:c r="S67" s="317" t="n">
        <x:f>IFERROR(INDEX('Analyst Revisions'!$I$5:$I$121,MATCH(B67,'Analyst Revisions'!$B$5:$B$121,0)),"")</x:f>
        <x:v>-0.0036822410942880554</x:v>
      </x:c>
      <x:c r="T67" s="47" t="str">
        <x:f>IFERROR(INDEX('Analyst Revisions'!$L$5:$L$121,MATCH(B67,'Analyst Revisions'!$B$5:$B$121,0)),"")</x:f>
        <x:v>OK</x:v>
      </x:c>
      <x:c r="U67" s="52" t="n">
        <x:v>4.3770239880059965</x:v>
      </x:c>
      <x:c r="V67" s="47" t="n">
        <x:f>IF(ISNUMBER(U67),1+COUNTIF($U$5:$U$121,"&gt;"&amp;U67),"")</x:f>
        <x:v>83</x:v>
      </x:c>
      <x:c r="W67" s="52" t="n">
        <x:v>3.5960344827586206</x:v>
      </x:c>
      <x:c r="X67" s="47" t="n">
        <x:f>IF(ISNUMBER(W67),1+COUNTIF($W$5:$W$121,"&gt;"&amp;W67),"")</x:f>
        <x:v>87</x:v>
      </x:c>
      <x:c r="Y67" s="52" t="n">
        <x:v>3.793103448275862</x:v>
      </x:c>
      <x:c r="Z67" s="47" t="n">
        <x:f>IF(ISNUMBER(Y67),1+COUNTIF($Y$5:$Y$121,"&gt;"&amp;Y67),"")</x:f>
        <x:v>81</x:v>
      </x:c>
      <x:c r="AA67" s="47" t="str">
        <x:v>Utilities</x:v>
      </x:c>
      <x:c r="AB67" s="54" t="n">
        <x:v>46213</x:v>
      </x:c>
      <x:c r="AC67" s="54" t="n">
        <x:v>46112</x:v>
      </x:c>
      <x:c r="AD67" s="54" t="n">
        <x:v>46022</x:v>
      </x:c>
      <x:c r="AE67" s="47" t="str">
        <x:v>OK</x:v>
      </x:c>
    </x:row>
    <x:row r="68">
      <x:c r="A68" s="47" t="n">
        <x:f>IF(ISNUMBER(H68),1+COUNTIF($H$5:$H$121,"&gt;"&amp;H68),"")</x:f>
        <x:v>67</x:v>
      </x:c>
      <x:c r="B68" s="47" t="str">
        <x:v>COR</x:v>
      </x:c>
      <x:c r="C68" s="47" t="str">
        <x:v>Cencora Inc.</x:v>
      </x:c>
      <x:c r="D68" s="49" t="str">
        <x:v>Long</x:v>
      </x:c>
      <x:c r="E68" s="49" t="n">
        <x:v>0.004696</x:v>
      </x:c>
      <x:c r="F68" s="50" t="n">
        <x:v>0.24796735153613417</x:v>
      </x:c>
      <x:c r="G68" s="50" t="n">
        <x:v>0.13143462077868343</x:v>
      </x:c>
      <x:c r="H68" s="329" t="n">
        <x:f>IFERROR((IF(ISNUMBER(J68),J68*'Methodology'!$C$5,0)+IF(ISNUMBER(L68),L68*'Methodology'!$C$6,0)+IF(ISNUMBER(O68),O68*'Methodology'!$C$7,0)+IF(ISNUMBER(U68),U68*'Methodology'!$C$8,0)+IF(ISNUMBER(W68),W68*'Methodology'!$C$9,0)+IF(ISNUMBER(Y68),Y68*'Methodology'!$C$10,0))/(IF(ISNUMBER(J68),'Methodology'!$C$5,0)+IF(ISNUMBER(L68),'Methodology'!$C$6,0)+IF(ISNUMBER(O68),'Methodology'!$C$7,0)+IF(ISNUMBER(U68),'Methodology'!$C$8,0)+IF(ISNUMBER(W68),'Methodology'!$C$9,0)+IF(ISNUMBER(Y68),'Methodology'!$C$10,0)),"")</x:f>
        <x:v>5.291154933896688</x:v>
      </x:c>
      <x:c r="I68" s="47" t="n">
        <x:f>COUNT(J68,L68,O68,U68,W68,Y68)</x:f>
        <x:v>6</x:v>
      </x:c>
      <x:c r="J68" s="52" t="n">
        <x:v>7.478448275862069</x:v>
      </x:c>
      <x:c r="K68" s="47" t="n">
        <x:f>IF(ISNUMBER(J68),1+COUNTIF($J$5:$J$121,"&gt;"&amp;J68),"")</x:f>
        <x:v>33</x:v>
      </x:c>
      <x:c r="L68" s="52" t="n">
        <x:v>5.130039525691699</x:v>
      </x:c>
      <x:c r="M68" s="47" t="n">
        <x:f>IF(ISNUMBER(L68),1+COUNTIF($L$5:$L$121,"&gt;"&amp;L68),"")</x:f>
        <x:v>71</x:v>
      </x:c>
      <x:c r="N68" s="47" t="str">
        <x:v>SUE + CAR3</x:v>
      </x:c>
      <x:c r="O68" s="52" t="n">
        <x:f>IFERROR(INDEX('Analyst Revisions'!$K$5:$K$121,MATCH(B68,'Analyst Revisions'!$B$5:$B$121,0)),"")</x:f>
        <x:v>5.1850000000000005</x:v>
      </x:c>
      <x:c r="P68" s="47" t="n">
        <x:f>IF(ISNUMBER(O68),1+COUNTIF($O$5:$O$121,"&gt;"&amp;O68),"")</x:f>
        <x:v>61</x:v>
      </x:c>
      <x:c r="Q68" s="50" t="n">
        <x:f>IFERROR(INDEX('Analyst Revisions'!$G$5:$G$121,MATCH(B68,'Analyst Revisions'!$B$5:$B$121,0)),"")</x:f>
        <x:v>4.58376</x:v>
      </x:c>
      <x:c r="R68" s="50" t="n">
        <x:f>IFERROR(INDEX('Analyst Revisions'!$H$5:$H$121,MATCH(B68,'Analyst Revisions'!$B$5:$B$121,0)),"")</x:f>
        <x:v>4.60848</x:v>
      </x:c>
      <x:c r="S68" s="317" t="n">
        <x:f>IFERROR(INDEX('Analyst Revisions'!$I$5:$I$121,MATCH(B68,'Analyst Revisions'!$B$5:$B$121,0)),"")</x:f>
        <x:v>-0.0053640245807729005</x:v>
      </x:c>
      <x:c r="T68" s="47" t="str">
        <x:f>IFERROR(INDEX('Analyst Revisions'!$L$5:$L$121,MATCH(B68,'Analyst Revisions'!$B$5:$B$121,0)),"")</x:f>
        <x:v>OK</x:v>
      </x:c>
      <x:c r="U68" s="52" t="n">
        <x:v>4.824831334332833</x:v>
      </x:c>
      <x:c r="V68" s="47" t="n">
        <x:f>IF(ISNUMBER(U68),1+COUNTIF($U$5:$U$121,"&gt;"&amp;U68),"")</x:f>
        <x:v>76</x:v>
      </x:c>
      <x:c r="W68" s="52" t="n">
        <x:v>5.028275862068965</x:v>
      </x:c>
      <x:c r="X68" s="47" t="n">
        <x:f>IF(ISNUMBER(W68),1+COUNTIF($W$5:$W$121,"&gt;"&amp;W68),"")</x:f>
        <x:v>60</x:v>
      </x:c>
      <x:c r="Y68" s="52" t="n">
        <x:v>1.6206896551724137</x:v>
      </x:c>
      <x:c r="Z68" s="47" t="n">
        <x:f>IF(ISNUMBER(Y68),1+COUNTIF($Y$5:$Y$121,"&gt;"&amp;Y68),"")</x:f>
        <x:v>109</x:v>
      </x:c>
      <x:c r="AA68" s="47" t="str">
        <x:v>Health Care</x:v>
      </x:c>
      <x:c r="AB68" s="54" t="n">
        <x:v>46213</x:v>
      </x:c>
      <x:c r="AC68" s="54" t="n">
        <x:v>46112</x:v>
      </x:c>
      <x:c r="AD68" s="54" t="n">
        <x:v>45930</x:v>
      </x:c>
      <x:c r="AE68" s="47" t="str">
        <x:v>OK</x:v>
      </x:c>
    </x:row>
    <x:row r="69">
      <x:c r="A69" s="47" t="n">
        <x:f>IF(ISNUMBER(H69),1+COUNTIF($H$5:$H$121,"&gt;"&amp;H69),"")</x:f>
        <x:v>85</x:v>
      </x:c>
      <x:c r="B69" s="47" t="str">
        <x:v>ACI</x:v>
      </x:c>
      <x:c r="C69" s="47" t="str">
        <x:v>Albertsons Cos. Inc.</x:v>
      </x:c>
      <x:c r="D69" s="49" t="str">
        <x:v>Long</x:v>
      </x:c>
      <x:c r="E69" s="49" t="n">
        <x:v>0.003629</x:v>
      </x:c>
      <x:c r="F69" s="50" t="n">
        <x:v>0.0244992852002389</x:v>
      </x:c>
      <x:c r="G69" s="50" t="n">
        <x:v>-0.01141846292111721</x:v>
      </x:c>
      <x:c r="H69" s="329" t="n">
        <x:f>IFERROR((IF(ISNUMBER(J69),J69*'Methodology'!$C$5,0)+IF(ISNUMBER(L69),L69*'Methodology'!$C$6,0)+IF(ISNUMBER(O69),O69*'Methodology'!$C$7,0)+IF(ISNUMBER(U69),U69*'Methodology'!$C$8,0)+IF(ISNUMBER(W69),W69*'Methodology'!$C$9,0)+IF(ISNUMBER(Y69),Y69*'Methodology'!$C$10,0))/(IF(ISNUMBER(J69),'Methodology'!$C$5,0)+IF(ISNUMBER(L69),'Methodology'!$C$6,0)+IF(ISNUMBER(O69),'Methodology'!$C$7,0)+IF(ISNUMBER(U69),'Methodology'!$C$8,0)+IF(ISNUMBER(W69),'Methodology'!$C$9,0)+IF(ISNUMBER(Y69),'Methodology'!$C$10,0)),"")</x:f>
        <x:v>4.638331334332833</x:v>
      </x:c>
      <x:c r="I69" s="47" t="n">
        <x:f>COUNT(J69,L69,O69,U69,W69,Y69)</x:f>
        <x:v>6</x:v>
      </x:c>
      <x:c r="J69" s="52" t="n">
        <x:v>6.120689655172414</x:v>
      </x:c>
      <x:c r="K69" s="47" t="n">
        <x:f>IF(ISNUMBER(J69),1+COUNTIF($J$5:$J$121,"&gt;"&amp;J69),"")</x:f>
        <x:v>51</x:v>
      </x:c>
      <x:c r="L69" s="52" t="n">
        <x:v>1.8217391304347825</x:v>
      </x:c>
      <x:c r="M69" s="47" t="n">
        <x:f>IF(ISNUMBER(L69),1+COUNTIF($L$5:$L$121,"&gt;"&amp;L69),"")</x:f>
        <x:v>113</x:v>
      </x:c>
      <x:c r="N69" s="47" t="str">
        <x:v>SUE + CAR3</x:v>
      </x:c>
      <x:c r="O69" s="52" t="n">
        <x:f>IFERROR(INDEX('Analyst Revisions'!$K$5:$K$121,MATCH(B69,'Analyst Revisions'!$B$5:$B$121,0)),"")</x:f>
        <x:v>1.306</x:v>
      </x:c>
      <x:c r="P69" s="47" t="n">
        <x:f>IF(ISNUMBER(O69),1+COUNTIF($O$5:$O$121,"&gt;"&amp;O69),"")</x:f>
        <x:v>111</x:v>
      </x:c>
      <x:c r="Q69" s="50" t="n">
        <x:f>IFERROR(INDEX('Analyst Revisions'!$G$5:$G$121,MATCH(B69,'Analyst Revisions'!$B$5:$B$121,0)),"")</x:f>
        <x:v>0.32728</x:v>
      </x:c>
      <x:c r="R69" s="50" t="n">
        <x:f>IFERROR(INDEX('Analyst Revisions'!$H$5:$H$121,MATCH(B69,'Analyst Revisions'!$B$5:$B$121,0)),"")</x:f>
        <x:v>0.45898</x:v>
      </x:c>
      <x:c r="S69" s="317" t="n">
        <x:f>IFERROR(INDEX('Analyst Revisions'!$I$5:$I$121,MATCH(B69,'Analyst Revisions'!$B$5:$B$121,0)),"")</x:f>
        <x:v>-0.28694060743387506</x:v>
      </x:c>
      <x:c r="T69" s="47" t="str">
        <x:f>IFERROR(INDEX('Analyst Revisions'!$L$5:$L$121,MATCH(B69,'Analyst Revisions'!$B$5:$B$121,0)),"")</x:f>
        <x:v>OK</x:v>
      </x:c>
      <x:c r="U69" s="52" t="n">
        <x:v>6.033793103448276</x:v>
      </x:c>
      <x:c r="V69" s="47" t="n">
        <x:f>IF(ISNUMBER(U69),1+COUNTIF($U$5:$U$121,"&gt;"&amp;U69),"")</x:f>
        <x:v>46</x:v>
      </x:c>
      <x:c r="W69" s="52" t="n">
        <x:v>5.9593103448275855</x:v>
      </x:c>
      <x:c r="X69" s="47" t="n">
        <x:f>IF(ISNUMBER(W69),1+COUNTIF($W$5:$W$121,"&gt;"&amp;W69),"")</x:f>
        <x:v>44</x:v>
      </x:c>
      <x:c r="Y69" s="52" t="n">
        <x:v>9.922413793103448</x:v>
      </x:c>
      <x:c r="Z69" s="47" t="n">
        <x:f>IF(ISNUMBER(Y69),1+COUNTIF($Y$5:$Y$121,"&gt;"&amp;Y69),"")</x:f>
        <x:v>2</x:v>
      </x:c>
      <x:c r="AA69" s="47" t="str">
        <x:v>Consumer Staples</x:v>
      </x:c>
      <x:c r="AB69" s="54" t="n">
        <x:v>46213</x:v>
      </x:c>
      <x:c r="AC69" s="54" t="n">
        <x:v>46081</x:v>
      </x:c>
      <x:c r="AD69" s="54" t="n">
        <x:v>46081</x:v>
      </x:c>
      <x:c r="AE69" s="47" t="str">
        <x:v>OK</x:v>
      </x:c>
    </x:row>
    <x:row r="70">
      <x:c r="A70" s="47" t="n">
        <x:f>IF(ISNUMBER(H70),1+COUNTIF($H$5:$H$121,"&gt;"&amp;H70),"")</x:f>
        <x:v>70</x:v>
      </x:c>
      <x:c r="B70" s="47" t="str">
        <x:v>L</x:v>
      </x:c>
      <x:c r="C70" s="47" t="str">
        <x:v>Loews Corp.</x:v>
      </x:c>
      <x:c r="D70" s="49" t="str">
        <x:v>Long</x:v>
      </x:c>
      <x:c r="E70" s="49" t="n">
        <x:v>0.004152</x:v>
      </x:c>
      <x:c r="F70" s="50" t="n">
        <x:v>0.3055094389238638</x:v>
      </x:c>
      <x:c r="G70" s="50" t="n">
        <x:v>0.030763278832981158</x:v>
      </x:c>
      <x:c r="H70" s="329" t="n">
        <x:f>IFERROR((IF(ISNUMBER(J70),J70*'Methodology'!$C$5,0)+IF(ISNUMBER(L70),L70*'Methodology'!$C$6,0)+IF(ISNUMBER(O70),O70*'Methodology'!$C$7,0)+IF(ISNUMBER(U70),U70*'Methodology'!$C$8,0)+IF(ISNUMBER(W70),W70*'Methodology'!$C$9,0)+IF(ISNUMBER(Y70),Y70*'Methodology'!$C$10,0))/(IF(ISNUMBER(J70),'Methodology'!$C$5,0)+IF(ISNUMBER(L70),'Methodology'!$C$6,0)+IF(ISNUMBER(O70),'Methodology'!$C$7,0)+IF(ISNUMBER(U70),'Methodology'!$C$8,0)+IF(ISNUMBER(W70),'Methodology'!$C$9,0)+IF(ISNUMBER(Y70),'Methodology'!$C$10,0)),"")</x:f>
        <x:v>5.244261959929125</x:v>
      </x:c>
      <x:c r="I70" s="47" t="n">
        <x:f>COUNT(J70,L70,O70,U70,W70,Y70)</x:f>
        <x:v>5</x:v>
      </x:c>
      <x:c r="J70" s="52" t="n">
        <x:v>5.267241379310345</x:v>
      </x:c>
      <x:c r="K70" s="47" t="n">
        <x:f>IF(ISNUMBER(J70),1+COUNTIF($J$5:$J$121,"&gt;"&amp;J70),"")</x:f>
        <x:v>62</x:v>
      </x:c>
      <x:c r="L70" s="52" t="n">
        <x:v>3.0009881422924902</x:v>
      </x:c>
      <x:c r="M70" s="47" t="n">
        <x:f>IF(ISNUMBER(L70),1+COUNTIF($L$5:$L$121,"&gt;"&amp;L70),"")</x:f>
        <x:v>103</x:v>
      </x:c>
      <x:c r="N70" s="47" t="str">
        <x:v>SUE + CAR3</x:v>
      </x:c>
      <x:c r="O70" s="52" t="str">
        <x:f>IFERROR(INDEX('Analyst Revisions'!$K$5:$K$121,MATCH(B70,'Analyst Revisions'!$B$5:$B$121,0)),"")</x:f>
      </x:c>
      <x:c r="P70" s="47" t="str">
        <x:f>IF(ISNUMBER(O70),1+COUNTIF($O$5:$O$121,"&gt;"&amp;O70),"")</x:f>
      </x:c>
      <x:c r="Q70" s="50" t="str">
        <x:f>IFERROR(INDEX('Analyst Revisions'!$G$5:$G$121,MATCH(B70,'Analyst Revisions'!$B$5:$B$121,0)),"")</x:f>
      </x:c>
      <x:c r="R70" s="50" t="str">
        <x:f>IFERROR(INDEX('Analyst Revisions'!$H$5:$H$121,MATCH(B70,'Analyst Revisions'!$B$5:$B$121,0)),"")</x:f>
      </x:c>
      <x:c r="S70" s="317" t="str">
        <x:f>IFERROR(INDEX('Analyst Revisions'!$I$5:$I$121,MATCH(B70,'Analyst Revisions'!$B$5:$B$121,0)),"")</x:f>
      </x:c>
      <x:c r="T70" s="47" t="str">
        <x:f>IFERROR(INDEX('Analyst Revisions'!$L$5:$L$121,MATCH(B70,'Analyst Revisions'!$B$5:$B$121,0)),"")</x:f>
        <x:v>NO CURRENT-QUARTER DATA</x:v>
      </x:c>
      <x:c r="U70" s="52" t="n">
        <x:v>8.40948275862069</x:v>
      </x:c>
      <x:c r="V70" s="47" t="n">
        <x:f>IF(ISNUMBER(U70),1+COUNTIF($U$5:$U$121,"&gt;"&amp;U70),"")</x:f>
        <x:v>14</x:v>
      </x:c>
      <x:c r="W70" s="52" t="n">
        <x:v>6.586206896551724</x:v>
      </x:c>
      <x:c r="X70" s="47" t="n">
        <x:f>IF(ISNUMBER(W70),1+COUNTIF($W$5:$W$121,"&gt;"&amp;W70),"")</x:f>
        <x:v>31</x:v>
      </x:c>
      <x:c r="Y70" s="52" t="n">
        <x:v>5.732758620689655</x:v>
      </x:c>
      <x:c r="Z70" s="47" t="n">
        <x:f>IF(ISNUMBER(Y70),1+COUNTIF($Y$5:$Y$121,"&gt;"&amp;Y70),"")</x:f>
        <x:v>56</x:v>
      </x:c>
      <x:c r="AA70" s="47" t="str">
        <x:v>Finance</x:v>
      </x:c>
      <x:c r="AB70" s="54" t="n">
        <x:v>46213</x:v>
      </x:c>
      <x:c r="AC70" s="54" t="n">
        <x:v>46112</x:v>
      </x:c>
      <x:c r="AD70" s="54" t="n">
        <x:v>46022</x:v>
      </x:c>
      <x:c r="AE70" s="47" t="str">
        <x:v>OK</x:v>
      </x:c>
    </x:row>
    <x:row r="71">
      <x:c r="A71" s="47" t="n">
        <x:f>IF(ISNUMBER(H71),1+COUNTIF($H$5:$H$121,"&gt;"&amp;H71),"")</x:f>
        <x:v>87</x:v>
      </x:c>
      <x:c r="B71" s="47" t="str">
        <x:v>CTVA</x:v>
      </x:c>
      <x:c r="C71" s="47" t="str">
        <x:v>Corteva Inc.</x:v>
      </x:c>
      <x:c r="D71" s="49" t="str">
        <x:v>Long</x:v>
      </x:c>
      <x:c r="E71" s="49" t="n">
        <x:v>0.004273</x:v>
      </x:c>
      <x:c r="F71" s="50" t="n">
        <x:v>0.3683372427048375</x:v>
      </x:c>
      <x:c r="G71" s="50" t="n">
        <x:v>0.058361503118991714</x:v>
      </x:c>
      <x:c r="H71" s="329" t="n">
        <x:f>IFERROR((IF(ISNUMBER(J71),J71*'Methodology'!$C$5,0)+IF(ISNUMBER(L71),L71*'Methodology'!$C$6,0)+IF(ISNUMBER(O71),O71*'Methodology'!$C$7,0)+IF(ISNUMBER(U71),U71*'Methodology'!$C$8,0)+IF(ISNUMBER(W71),W71*'Methodology'!$C$9,0)+IF(ISNUMBER(Y71),Y71*'Methodology'!$C$10,0))/(IF(ISNUMBER(J71),'Methodology'!$C$5,0)+IF(ISNUMBER(L71),'Methodology'!$C$6,0)+IF(ISNUMBER(O71),'Methodology'!$C$7,0)+IF(ISNUMBER(U71),'Methodology'!$C$8,0)+IF(ISNUMBER(W71),'Methodology'!$C$9,0)+IF(ISNUMBER(Y71),'Methodology'!$C$10,0)),"")</x:f>
        <x:v>4.500112648221343</x:v>
      </x:c>
      <x:c r="I71" s="47" t="n">
        <x:f>COUNT(J71,L71,O71,U71,W71,Y71)</x:f>
        <x:v>6</x:v>
      </x:c>
      <x:c r="J71" s="52" t="n">
        <x:v>4.646551724137931</x:v>
      </x:c>
      <x:c r="K71" s="47" t="n">
        <x:f>IF(ISNUMBER(J71),1+COUNTIF($J$5:$J$121,"&gt;"&amp;J71),"")</x:f>
        <x:v>70</x:v>
      </x:c>
      <x:c r="L71" s="52" t="n">
        <x:v>5.747233201581027</x:v>
      </x:c>
      <x:c r="M71" s="47" t="n">
        <x:f>IF(ISNUMBER(L71),1+COUNTIF($L$5:$L$121,"&gt;"&amp;L71),"")</x:f>
        <x:v>56</x:v>
      </x:c>
      <x:c r="N71" s="47" t="str">
        <x:v>SUE + CAR3</x:v>
      </x:c>
      <x:c r="O71" s="52" t="n">
        <x:f>IFERROR(INDEX('Analyst Revisions'!$K$5:$K$121,MATCH(B71,'Analyst Revisions'!$B$5:$B$121,0)),"")</x:f>
        <x:v>1.072</x:v>
      </x:c>
      <x:c r="P71" s="47" t="n">
        <x:f>IF(ISNUMBER(O71),1+COUNTIF($O$5:$O$121,"&gt;"&amp;O71),"")</x:f>
        <x:v>114</x:v>
      </x:c>
      <x:c r="Q71" s="50" t="n">
        <x:f>IFERROR(INDEX('Analyst Revisions'!$G$5:$G$121,MATCH(B71,'Analyst Revisions'!$B$5:$B$121,0)),"")</x:f>
        <x:v>-0.38775</x:v>
      </x:c>
      <x:c r="R71" s="50" t="n">
        <x:f>IFERROR(INDEX('Analyst Revisions'!$H$5:$H$121,MATCH(B71,'Analyst Revisions'!$B$5:$B$121,0)),"")</x:f>
        <x:v>-0.28046</x:v>
      </x:c>
      <x:c r="S71" s="317" t="n">
        <x:f>IFERROR(INDEX('Analyst Revisions'!$I$5:$I$121,MATCH(B71,'Analyst Revisions'!$B$5:$B$121,0)),"")</x:f>
        <x:v>-0.3825500962704129</x:v>
      </x:c>
      <x:c r="T71" s="47" t="str">
        <x:f>IFERROR(INDEX('Analyst Revisions'!$L$5:$L$121,MATCH(B71,'Analyst Revisions'!$B$5:$B$121,0)),"")</x:f>
        <x:v>OK</x:v>
      </x:c>
      <x:c r="U71" s="52" t="n">
        <x:v>4.479066716641679</x:v>
      </x:c>
      <x:c r="V71" s="47" t="n">
        <x:f>IF(ISNUMBER(U71),1+COUNTIF($U$5:$U$121,"&gt;"&amp;U71),"")</x:f>
        <x:v>79</x:v>
      </x:c>
      <x:c r="W71" s="52" t="n">
        <x:v>7.002068965517241</x:v>
      </x:c>
      <x:c r="X71" s="47" t="n">
        <x:f>IF(ISNUMBER(W71),1+COUNTIF($W$5:$W$121,"&gt;"&amp;W71),"")</x:f>
        <x:v>23</x:v>
      </x:c>
      <x:c r="Y71" s="52" t="n">
        <x:v>4.025862068965518</x:v>
      </x:c>
      <x:c r="Z71" s="47" t="n">
        <x:f>IF(ISNUMBER(Y71),1+COUNTIF($Y$5:$Y$121,"&gt;"&amp;Y71),"")</x:f>
        <x:v>78</x:v>
      </x:c>
      <x:c r="AA71" s="47" t="str">
        <x:v>Consumer Staples</x:v>
      </x:c>
      <x:c r="AB71" s="54" t="n">
        <x:v>46213</x:v>
      </x:c>
      <x:c r="AC71" s="54" t="n">
        <x:v>46112</x:v>
      </x:c>
      <x:c r="AD71" s="54" t="n">
        <x:v>46022</x:v>
      </x:c>
      <x:c r="AE71" s="47" t="str">
        <x:v>OK</x:v>
      </x:c>
    </x:row>
    <x:row r="72">
      <x:c r="A72" s="47" t="n">
        <x:f>IF(ISNUMBER(H72),1+COUNTIF($H$5:$H$121,"&gt;"&amp;H72),"")</x:f>
        <x:v>61</x:v>
      </x:c>
      <x:c r="B72" s="47" t="str">
        <x:v>FCFS</x:v>
      </x:c>
      <x:c r="C72" s="47" t="str">
        <x:v>FirstCash Holdings Inc.</x:v>
      </x:c>
      <x:c r="D72" s="49" t="str">
        <x:v>Long</x:v>
      </x:c>
      <x:c r="E72" s="49" t="n">
        <x:v>0.003759</x:v>
      </x:c>
      <x:c r="F72" s="50" t="n">
        <x:v>0.1487927415036028</x:v>
      </x:c>
      <x:c r="G72" s="50" t="n">
        <x:v>0.18576289690326486</x:v>
      </x:c>
      <x:c r="H72" s="329" t="n">
        <x:f>IFERROR((IF(ISNUMBER(J72),J72*'Methodology'!$C$5,0)+IF(ISNUMBER(L72),L72*'Methodology'!$C$6,0)+IF(ISNUMBER(O72),O72*'Methodology'!$C$7,0)+IF(ISNUMBER(U72),U72*'Methodology'!$C$8,0)+IF(ISNUMBER(W72),W72*'Methodology'!$C$9,0)+IF(ISNUMBER(Y72),Y72*'Methodology'!$C$10,0))/(IF(ISNUMBER(J72),'Methodology'!$C$5,0)+IF(ISNUMBER(L72),'Methodology'!$C$6,0)+IF(ISNUMBER(O72),'Methodology'!$C$7,0)+IF(ISNUMBER(U72),'Methodology'!$C$8,0)+IF(ISNUMBER(W72),'Methodology'!$C$9,0)+IF(ISNUMBER(Y72),'Methodology'!$C$10,0)),"")</x:f>
        <x:v>5.382319204034346</x:v>
      </x:c>
      <x:c r="I72" s="47" t="n">
        <x:f>COUNT(J72,L72,O72,U72,W72,Y72)</x:f>
        <x:v>6</x:v>
      </x:c>
      <x:c r="J72" s="52" t="n">
        <x:v>2.7844827586206895</x:v>
      </x:c>
      <x:c r="K72" s="47" t="n">
        <x:f>IF(ISNUMBER(J72),1+COUNTIF($J$5:$J$121,"&gt;"&amp;J72),"")</x:f>
        <x:v>94</x:v>
      </x:c>
      <x:c r="L72" s="52" t="n">
        <x:v>9.293873517786562</x:v>
      </x:c>
      <x:c r="M72" s="47" t="n">
        <x:f>IF(ISNUMBER(L72),1+COUNTIF($L$5:$L$121,"&gt;"&amp;L72),"")</x:f>
        <x:v>4</x:v>
      </x:c>
      <x:c r="N72" s="47" t="str">
        <x:v>SUE + CAR3</x:v>
      </x:c>
      <x:c r="O72" s="52" t="n">
        <x:f>IFERROR(INDEX('Analyst Revisions'!$K$5:$K$121,MATCH(B72,'Analyst Revisions'!$B$5:$B$121,0)),"")</x:f>
        <x:v>6.7330000000000005</x:v>
      </x:c>
      <x:c r="P72" s="47" t="n">
        <x:f>IF(ISNUMBER(O72),1+COUNTIF($O$5:$O$121,"&gt;"&amp;O72),"")</x:f>
        <x:v>43</x:v>
      </x:c>
      <x:c r="Q72" s="50" t="n">
        <x:f>IFERROR(INDEX('Analyst Revisions'!$G$5:$G$121,MATCH(B72,'Analyst Revisions'!$B$5:$B$121,0)),"")</x:f>
        <x:v>2.744</x:v>
      </x:c>
      <x:c r="R72" s="50" t="n">
        <x:f>IFERROR(INDEX('Analyst Revisions'!$H$5:$H$121,MATCH(B72,'Analyst Revisions'!$B$5:$B$121,0)),"")</x:f>
        <x:v>2.734</x:v>
      </x:c>
      <x:c r="S72" s="317" t="n">
        <x:f>IFERROR(INDEX('Analyst Revisions'!$I$5:$I$121,MATCH(B72,'Analyst Revisions'!$B$5:$B$121,0)),"")</x:f>
        <x:v>0.0036576444769569243</x:v>
      </x:c>
      <x:c r="T72" s="47" t="str">
        <x:f>IFERROR(INDEX('Analyst Revisions'!$L$5:$L$121,MATCH(B72,'Analyst Revisions'!$B$5:$B$121,0)),"")</x:f>
        <x:v>OK</x:v>
      </x:c>
      <x:c r="U72" s="52" t="n">
        <x:v>4.458691904047976</x:v>
      </x:c>
      <x:c r="V72" s="47" t="n">
        <x:f>IF(ISNUMBER(U72),1+COUNTIF($U$5:$U$121,"&gt;"&amp;U72),"")</x:f>
        <x:v>81</x:v>
      </x:c>
      <x:c r="W72" s="52" t="n">
        <x:v>4.852931034482758</x:v>
      </x:c>
      <x:c r="X72" s="47" t="n">
        <x:f>IF(ISNUMBER(W72),1+COUNTIF($W$5:$W$121,"&gt;"&amp;W72),"")</x:f>
        <x:v>64</x:v>
      </x:c>
      <x:c r="Y72" s="52" t="n">
        <x:v>1.853448275862069</x:v>
      </x:c>
      <x:c r="Z72" s="47" t="n">
        <x:f>IF(ISNUMBER(Y72),1+COUNTIF($Y$5:$Y$121,"&gt;"&amp;Y72),"")</x:f>
        <x:v>106</x:v>
      </x:c>
      <x:c r="AA72" s="47" t="str">
        <x:v>Consumer Discretionary</x:v>
      </x:c>
      <x:c r="AB72" s="54" t="n">
        <x:v>46213</x:v>
      </x:c>
      <x:c r="AC72" s="54" t="n">
        <x:v>46112</x:v>
      </x:c>
      <x:c r="AD72" s="54" t="n">
        <x:v>46022</x:v>
      </x:c>
      <x:c r="AE72" s="47" t="str">
        <x:v>OK</x:v>
      </x:c>
    </x:row>
    <x:row r="73">
      <x:c r="A73" s="47" t="n">
        <x:f>IF(ISNUMBER(H73),1+COUNTIF($H$5:$H$121,"&gt;"&amp;H73),"")</x:f>
        <x:v>51</x:v>
      </x:c>
      <x:c r="B73" s="47" t="str">
        <x:v>TYL</x:v>
      </x:c>
      <x:c r="C73" s="47" t="str">
        <x:v>Tyler Technologies Inc.</x:v>
      </x:c>
      <x:c r="D73" s="49" t="str">
        <x:v>Long</x:v>
      </x:c>
      <x:c r="E73" s="49" t="n">
        <x:v>0.004257</x:v>
      </x:c>
      <x:c r="F73" s="50" t="n">
        <x:v>0.30700542836963984</x:v>
      </x:c>
      <x:c r="G73" s="50" t="n">
        <x:v>0.005694608035329396</x:v>
      </x:c>
      <x:c r="H73" s="329" t="n">
        <x:f>IFERROR((IF(ISNUMBER(J73),J73*'Methodology'!$C$5,0)+IF(ISNUMBER(L73),L73*'Methodology'!$C$6,0)+IF(ISNUMBER(O73),O73*'Methodology'!$C$7,0)+IF(ISNUMBER(U73),U73*'Methodology'!$C$8,0)+IF(ISNUMBER(W73),W73*'Methodology'!$C$9,0)+IF(ISNUMBER(Y73),Y73*'Methodology'!$C$10,0))/(IF(ISNUMBER(J73),'Methodology'!$C$5,0)+IF(ISNUMBER(L73),'Methodology'!$C$6,0)+IF(ISNUMBER(O73),'Methodology'!$C$7,0)+IF(ISNUMBER(U73),'Methodology'!$C$8,0)+IF(ISNUMBER(W73),'Methodology'!$C$9,0)+IF(ISNUMBER(Y73),'Methodology'!$C$10,0)),"")</x:f>
        <x:v>5.734215210576529</x:v>
      </x:c>
      <x:c r="I73" s="47" t="n">
        <x:f>COUNT(J73,L73,O73,U73,W73,Y73)</x:f>
        <x:v>6</x:v>
      </x:c>
      <x:c r="J73" s="52" t="n">
        <x:v>5.5</x:v>
      </x:c>
      <x:c r="K73" s="47" t="n">
        <x:f>IF(ISNUMBER(J73),1+COUNTIF($J$5:$J$121,"&gt;"&amp;J73),"")</x:f>
        <x:v>59</x:v>
      </x:c>
      <x:c r="L73" s="52" t="n">
        <x:v>5.647628458498024</x:v>
      </x:c>
      <x:c r="M73" s="47" t="n">
        <x:f>IF(ISNUMBER(L73),1+COUNTIF($L$5:$L$121,"&gt;"&amp;L73),"")</x:f>
        <x:v>58</x:v>
      </x:c>
      <x:c r="N73" s="47" t="str">
        <x:v>SUE + CAR3</x:v>
      </x:c>
      <x:c r="O73" s="52" t="n">
        <x:f>IFERROR(INDEX('Analyst Revisions'!$K$5:$K$121,MATCH(B73,'Analyst Revisions'!$B$5:$B$121,0)),"")</x:f>
        <x:v>8.911</x:v>
      </x:c>
      <x:c r="P73" s="47" t="n">
        <x:f>IF(ISNUMBER(O73),1+COUNTIF($O$5:$O$121,"&gt;"&amp;O73),"")</x:f>
        <x:v>15</x:v>
      </x:c>
      <x:c r="Q73" s="50" t="n">
        <x:f>IFERROR(INDEX('Analyst Revisions'!$G$5:$G$121,MATCH(B73,'Analyst Revisions'!$B$5:$B$121,0)),"")</x:f>
        <x:v>3.46679</x:v>
      </x:c>
      <x:c r="R73" s="50" t="n">
        <x:f>IFERROR(INDEX('Analyst Revisions'!$H$5:$H$121,MATCH(B73,'Analyst Revisions'!$B$5:$B$121,0)),"")</x:f>
        <x:v>3.3724</x:v>
      </x:c>
      <x:c r="S73" s="317" t="n">
        <x:f>IFERROR(INDEX('Analyst Revisions'!$I$5:$I$121,MATCH(B73,'Analyst Revisions'!$B$5:$B$121,0)),"")</x:f>
        <x:v>0.027988969280038016</x:v>
      </x:c>
      <x:c r="T73" s="47" t="str">
        <x:f>IFERROR(INDEX('Analyst Revisions'!$L$5:$L$121,MATCH(B73,'Analyst Revisions'!$B$5:$B$121,0)),"")</x:f>
        <x:v>OK</x:v>
      </x:c>
      <x:c r="U73" s="52" t="n">
        <x:v>4.1082383808095955</x:v>
      </x:c>
      <x:c r="V73" s="47" t="n">
        <x:f>IF(ISNUMBER(U73),1+COUNTIF($U$5:$U$121,"&gt;"&amp;U73),"")</x:f>
        <x:v>88</x:v>
      </x:c>
      <x:c r="W73" s="52" t="n">
        <x:v>6.344137931034482</x:v>
      </x:c>
      <x:c r="X73" s="47" t="n">
        <x:f>IF(ISNUMBER(W73),1+COUNTIF($W$5:$W$121,"&gt;"&amp;W73),"")</x:f>
        <x:v>37</x:v>
      </x:c>
      <x:c r="Y73" s="52" t="n">
        <x:v>2.706896551724138</x:v>
      </x:c>
      <x:c r="Z73" s="47" t="n">
        <x:f>IF(ISNUMBER(Y73),1+COUNTIF($Y$5:$Y$121,"&gt;"&amp;Y73),"")</x:f>
        <x:v>95</x:v>
      </x:c>
      <x:c r="AA73" s="47" t="str">
        <x:v>Technology</x:v>
      </x:c>
      <x:c r="AB73" s="54" t="n">
        <x:v>46213</x:v>
      </x:c>
      <x:c r="AC73" s="54" t="n">
        <x:v>46112</x:v>
      </x:c>
      <x:c r="AD73" s="54" t="n">
        <x:v>46022</x:v>
      </x:c>
      <x:c r="AE73" s="47" t="str">
        <x:v>OK</x:v>
      </x:c>
    </x:row>
    <x:row r="74">
      <x:c r="A74" s="47" t="n">
        <x:f>IF(ISNUMBER(H74),1+COUNTIF($H$5:$H$121,"&gt;"&amp;H74),"")</x:f>
        <x:v>53</x:v>
      </x:c>
      <x:c r="B74" s="47" t="str">
        <x:v>ROP</x:v>
      </x:c>
      <x:c r="C74" s="47" t="str">
        <x:v>Roper Technologies Inc.</x:v>
      </x:c>
      <x:c r="D74" s="49" t="str">
        <x:v>Long</x:v>
      </x:c>
      <x:c r="E74" s="49" t="n">
        <x:v>0.004284</x:v>
      </x:c>
      <x:c r="F74" s="50" t="n">
        <x:v>0.3355702707287766</x:v>
      </x:c>
      <x:c r="G74" s="50" t="n">
        <x:v>0.10841101116871157</x:v>
      </x:c>
      <x:c r="H74" s="329" t="n">
        <x:f>IFERROR((IF(ISNUMBER(J74),J74*'Methodology'!$C$5,0)+IF(ISNUMBER(L74),L74*'Methodology'!$C$6,0)+IF(ISNUMBER(O74),O74*'Methodology'!$C$7,0)+IF(ISNUMBER(U74),U74*'Methodology'!$C$8,0)+IF(ISNUMBER(W74),W74*'Methodology'!$C$9,0)+IF(ISNUMBER(Y74),Y74*'Methodology'!$C$10,0))/(IF(ISNUMBER(J74),'Methodology'!$C$5,0)+IF(ISNUMBER(L74),'Methodology'!$C$6,0)+IF(ISNUMBER(O74),'Methodology'!$C$7,0)+IF(ISNUMBER(U74),'Methodology'!$C$8,0)+IF(ISNUMBER(W74),'Methodology'!$C$9,0)+IF(ISNUMBER(Y74),'Methodology'!$C$10,0)),"")</x:f>
        <x:v>5.636285402753169</x:v>
      </x:c>
      <x:c r="I74" s="47" t="n">
        <x:f>COUNT(J74,L74,O74,U74,W74,Y74)</x:f>
        <x:v>6</x:v>
      </x:c>
      <x:c r="J74" s="52" t="n">
        <x:v>3.7155172413793105</x:v>
      </x:c>
      <x:c r="K74" s="47" t="n">
        <x:f>IF(ISNUMBER(J74),1+COUNTIF($J$5:$J$121,"&gt;"&amp;J74),"")</x:f>
        <x:v>82</x:v>
      </x:c>
      <x:c r="L74" s="52" t="n">
        <x:v>6.817984189723321</x:v>
      </x:c>
      <x:c r="M74" s="47" t="n">
        <x:f>IF(ISNUMBER(L74),1+COUNTIF($L$5:$L$121,"&gt;"&amp;L74),"")</x:f>
        <x:v>29</x:v>
      </x:c>
      <x:c r="N74" s="47" t="str">
        <x:v>SUE + CAR3</x:v>
      </x:c>
      <x:c r="O74" s="52" t="n">
        <x:f>IFERROR(INDEX('Analyst Revisions'!$K$5:$K$121,MATCH(B74,'Analyst Revisions'!$B$5:$B$121,0)),"")</x:f>
        <x:v>8.443</x:v>
      </x:c>
      <x:c r="P74" s="47" t="n">
        <x:f>IF(ISNUMBER(O74),1+COUNTIF($O$5:$O$121,"&gt;"&amp;O74),"")</x:f>
        <x:v>21</x:v>
      </x:c>
      <x:c r="Q74" s="50" t="n">
        <x:f>IFERROR(INDEX('Analyst Revisions'!$G$5:$G$121,MATCH(B74,'Analyst Revisions'!$B$5:$B$121,0)),"")</x:f>
        <x:v>5.79003</x:v>
      </x:c>
      <x:c r="R74" s="50" t="n">
        <x:f>IFERROR(INDEX('Analyst Revisions'!$H$5:$H$121,MATCH(B74,'Analyst Revisions'!$B$5:$B$121,0)),"")</x:f>
        <x:v>5.65089</x:v>
      </x:c>
      <x:c r="S74" s="317" t="n">
        <x:f>IFERROR(INDEX('Analyst Revisions'!$I$5:$I$121,MATCH(B74,'Analyst Revisions'!$B$5:$B$121,0)),"")</x:f>
        <x:v>0.0246226700572829</x:v>
      </x:c>
      <x:c r="T74" s="47" t="str">
        <x:f>IFERROR(INDEX('Analyst Revisions'!$L$5:$L$121,MATCH(B74,'Analyst Revisions'!$B$5:$B$121,0)),"")</x:f>
        <x:v>OK</x:v>
      </x:c>
      <x:c r="U74" s="52" t="n">
        <x:v>6.055483508245877</x:v>
      </x:c>
      <x:c r="V74" s="47" t="n">
        <x:f>IF(ISNUMBER(U74),1+COUNTIF($U$5:$U$121,"&gt;"&amp;U74),"")</x:f>
        <x:v>45</x:v>
      </x:c>
      <x:c r="W74" s="52" t="n">
        <x:v>6.375172413793104</x:v>
      </x:c>
      <x:c r="X74" s="47" t="n">
        <x:f>IF(ISNUMBER(W74),1+COUNTIF($W$5:$W$121,"&gt;"&amp;W74),"")</x:f>
        <x:v>36</x:v>
      </x:c>
      <x:c r="Y74" s="52" t="n">
        <x:v>1.9310344827586206</x:v>
      </x:c>
      <x:c r="Z74" s="47" t="n">
        <x:f>IF(ISNUMBER(Y74),1+COUNTIF($Y$5:$Y$121,"&gt;"&amp;Y74),"")</x:f>
        <x:v>105</x:v>
      </x:c>
      <x:c r="AA74" s="47" t="str">
        <x:v>Technology</x:v>
      </x:c>
      <x:c r="AB74" s="54" t="n">
        <x:v>46213</x:v>
      </x:c>
      <x:c r="AC74" s="54" t="n">
        <x:v>46112</x:v>
      </x:c>
      <x:c r="AD74" s="54" t="n">
        <x:v>46022</x:v>
      </x:c>
      <x:c r="AE74" s="47" t="str">
        <x:v>OK</x:v>
      </x:c>
    </x:row>
    <x:row r="75">
      <x:c r="A75" s="47" t="n">
        <x:f>IF(ISNUMBER(H75),1+COUNTIF($H$5:$H$121,"&gt;"&amp;H75),"")</x:f>
        <x:v>73</x:v>
      </x:c>
      <x:c r="B75" s="47" t="str">
        <x:v>VRTX</x:v>
      </x:c>
      <x:c r="C75" s="47" t="str">
        <x:v>Vertex Pharmaceuticals Inc.</x:v>
      </x:c>
      <x:c r="D75" s="49" t="str">
        <x:v>Long</x:v>
      </x:c>
      <x:c r="E75" s="49" t="n">
        <x:v>0.004173</x:v>
      </x:c>
      <x:c r="F75" s="50" t="n">
        <x:v>0.20477015834181894</x:v>
      </x:c>
      <x:c r="G75" s="50" t="n">
        <x:v>0.1799309433653593</x:v>
      </x:c>
      <x:c r="H75" s="329" t="n">
        <x:f>IFERROR((IF(ISNUMBER(J75),J75*'Methodology'!$C$5,0)+IF(ISNUMBER(L75),L75*'Methodology'!$C$6,0)+IF(ISNUMBER(O75),O75*'Methodology'!$C$7,0)+IF(ISNUMBER(U75),U75*'Methodology'!$C$8,0)+IF(ISNUMBER(W75),W75*'Methodology'!$C$9,0)+IF(ISNUMBER(Y75),Y75*'Methodology'!$C$10,0))/(IF(ISNUMBER(J75),'Methodology'!$C$5,0)+IF(ISNUMBER(L75),'Methodology'!$C$6,0)+IF(ISNUMBER(O75),'Methodology'!$C$7,0)+IF(ISNUMBER(U75),'Methodology'!$C$8,0)+IF(ISNUMBER(W75),'Methodology'!$C$9,0)+IF(ISNUMBER(Y75),'Methodology'!$C$10,0)),"")</x:f>
        <x:v>5.004449775112444</x:v>
      </x:c>
      <x:c r="I75" s="47" t="n">
        <x:f>COUNT(J75,L75,O75,U75,W75,Y75)</x:f>
        <x:v>6</x:v>
      </x:c>
      <x:c r="J75" s="52" t="n">
        <x:v>6.896551724137931</x:v>
      </x:c>
      <x:c r="K75" s="47" t="n">
        <x:f>IF(ISNUMBER(J75),1+COUNTIF($J$5:$J$121,"&gt;"&amp;J75),"")</x:f>
        <x:v>41</x:v>
      </x:c>
      <x:c r="L75" s="52" t="n">
        <x:v>5.1869565217391305</x:v>
      </x:c>
      <x:c r="M75" s="47" t="n">
        <x:f>IF(ISNUMBER(L75),1+COUNTIF($L$5:$L$121,"&gt;"&amp;L75),"")</x:f>
        <x:v>70</x:v>
      </x:c>
      <x:c r="N75" s="47" t="str">
        <x:v>SUE + CAR3</x:v>
      </x:c>
      <x:c r="O75" s="52" t="n">
        <x:f>IFERROR(INDEX('Analyst Revisions'!$K$5:$K$121,MATCH(B75,'Analyst Revisions'!$B$5:$B$121,0)),"")</x:f>
        <x:v>4.879</x:v>
      </x:c>
      <x:c r="P75" s="47" t="n">
        <x:f>IF(ISNUMBER(O75),1+COUNTIF($O$5:$O$121,"&gt;"&amp;O75),"")</x:f>
        <x:v>65</x:v>
      </x:c>
      <x:c r="Q75" s="50" t="n">
        <x:f>IFERROR(INDEX('Analyst Revisions'!$G$5:$G$121,MATCH(B75,'Analyst Revisions'!$B$5:$B$121,0)),"")</x:f>
        <x:v>4.86724</x:v>
      </x:c>
      <x:c r="R75" s="50" t="n">
        <x:f>IFERROR(INDEX('Analyst Revisions'!$H$5:$H$121,MATCH(B75,'Analyst Revisions'!$B$5:$B$121,0)),"")</x:f>
        <x:v>4.90386</x:v>
      </x:c>
      <x:c r="S75" s="317" t="n">
        <x:f>IFERROR(INDEX('Analyst Revisions'!$I$5:$I$121,MATCH(B75,'Analyst Revisions'!$B$5:$B$121,0)),"")</x:f>
        <x:v>-0.007467586758186429</x:v>
      </x:c>
      <x:c r="T75" s="47" t="str">
        <x:f>IFERROR(INDEX('Analyst Revisions'!$L$5:$L$121,MATCH(B75,'Analyst Revisions'!$B$5:$B$121,0)),"")</x:f>
        <x:v>OK</x:v>
      </x:c>
      <x:c r="U75" s="52" t="n">
        <x:v>2.838826836581709</x:v>
      </x:c>
      <x:c r="V75" s="47" t="n">
        <x:f>IF(ISNUMBER(U75),1+COUNTIF($U$5:$U$121,"&gt;"&amp;U75),"")</x:f>
        <x:v>110</x:v>
      </x:c>
      <x:c r="W75" s="52" t="n">
        <x:v>4.212068965517242</x:v>
      </x:c>
      <x:c r="X75" s="47" t="n">
        <x:f>IF(ISNUMBER(W75),1+COUNTIF($W$5:$W$121,"&gt;"&amp;W75),"")</x:f>
        <x:v>80</x:v>
      </x:c>
      <x:c r="Y75" s="52" t="n">
        <x:v>3.4827586206896552</x:v>
      </x:c>
      <x:c r="Z75" s="47" t="n">
        <x:f>IF(ISNUMBER(Y75),1+COUNTIF($Y$5:$Y$121,"&gt;"&amp;Y75),"")</x:f>
        <x:v>85</x:v>
      </x:c>
      <x:c r="AA75" s="47" t="str">
        <x:v>Health Care</x:v>
      </x:c>
      <x:c r="AB75" s="54" t="n">
        <x:v>46213</x:v>
      </x:c>
      <x:c r="AC75" s="54" t="n">
        <x:v>46112</x:v>
      </x:c>
      <x:c r="AD75" s="54" t="n">
        <x:v>46022</x:v>
      </x:c>
      <x:c r="AE75" s="47" t="str">
        <x:v>OK</x:v>
      </x:c>
    </x:row>
    <x:row r="76">
      <x:c r="A76" s="47" t="n">
        <x:f>IF(ISNUMBER(H76),1+COUNTIF($H$5:$H$121,"&gt;"&amp;H76),"")</x:f>
        <x:v>56</x:v>
      </x:c>
      <x:c r="B76" s="47" t="str">
        <x:v>REG</x:v>
      </x:c>
      <x:c r="C76" s="47" t="str">
        <x:v>Regency Centers Corp. REIT</x:v>
      </x:c>
      <x:c r="D76" s="49" t="str">
        <x:v>Long</x:v>
      </x:c>
      <x:c r="E76" s="49" t="n">
        <x:v>0.004107</x:v>
      </x:c>
      <x:c r="F76" s="50" t="n">
        <x:v>0.4344121475487339</x:v>
      </x:c>
      <x:c r="G76" s="50" t="n">
        <x:v>0.10274679228112124</x:v>
      </x:c>
      <x:c r="H76" s="329" t="n">
        <x:f>IFERROR((IF(ISNUMBER(J76),J76*'Methodology'!$C$5,0)+IF(ISNUMBER(L76),L76*'Methodology'!$C$6,0)+IF(ISNUMBER(O76),O76*'Methodology'!$C$7,0)+IF(ISNUMBER(U76),U76*'Methodology'!$C$8,0)+IF(ISNUMBER(W76),W76*'Methodology'!$C$9,0)+IF(ISNUMBER(Y76),Y76*'Methodology'!$C$10,0))/(IF(ISNUMBER(J76),'Methodology'!$C$5,0)+IF(ISNUMBER(L76),'Methodology'!$C$6,0)+IF(ISNUMBER(O76),'Methodology'!$C$7,0)+IF(ISNUMBER(U76),'Methodology'!$C$8,0)+IF(ISNUMBER(W76),'Methodology'!$C$9,0)+IF(ISNUMBER(Y76),'Methodology'!$C$10,0)),"")</x:f>
        <x:v>5.568105697151424</x:v>
      </x:c>
      <x:c r="I76" s="47" t="n">
        <x:f>COUNT(J76,L76,O76,U76,W76,Y76)</x:f>
        <x:v>6</x:v>
      </x:c>
      <x:c r="J76" s="52" t="n">
        <x:v>3.327586206896552</x:v>
      </x:c>
      <x:c r="K76" s="47" t="n">
        <x:f>IF(ISNUMBER(J76),1+COUNTIF($J$5:$J$121,"&gt;"&amp;J76),"")</x:f>
        <x:v>87</x:v>
      </x:c>
      <x:c r="L76" s="52" t="n">
        <x:v>4.913043478260869</x:v>
      </x:c>
      <x:c r="M76" s="47" t="n">
        <x:f>IF(ISNUMBER(L76),1+COUNTIF($L$5:$L$121,"&gt;"&amp;L76),"")</x:f>
        <x:v>76</x:v>
      </x:c>
      <x:c r="N76" s="47" t="str">
        <x:v>CAR3 only</x:v>
      </x:c>
      <x:c r="O76" s="52" t="n">
        <x:f>IFERROR(INDEX('Analyst Revisions'!$K$5:$K$121,MATCH(B76,'Analyst Revisions'!$B$5:$B$121,0)),"")</x:f>
        <x:v>8.677</x:v>
      </x:c>
      <x:c r="P76" s="47" t="n">
        <x:f>IF(ISNUMBER(O76),1+COUNTIF($O$5:$O$121,"&gt;"&amp;O76),"")</x:f>
        <x:v>18</x:v>
      </x:c>
      <x:c r="Q76" s="50" t="n">
        <x:f>IFERROR(INDEX('Analyst Revisions'!$G$5:$G$121,MATCH(B76,'Analyst Revisions'!$B$5:$B$121,0)),"")</x:f>
        <x:v>0.60073</x:v>
      </x:c>
      <x:c r="R76" s="50" t="n">
        <x:f>IFERROR(INDEX('Analyst Revisions'!$H$5:$H$121,MATCH(B76,'Analyst Revisions'!$B$5:$B$121,0)),"")</x:f>
        <x:v>0.5857</x:v>
      </x:c>
      <x:c r="S76" s="317" t="n">
        <x:f>IFERROR(INDEX('Analyst Revisions'!$I$5:$I$121,MATCH(B76,'Analyst Revisions'!$B$5:$B$121,0)),"")</x:f>
        <x:v>0.02566160150247565</x:v>
      </x:c>
      <x:c r="T76" s="47" t="str">
        <x:f>IFERROR(INDEX('Analyst Revisions'!$L$5:$L$121,MATCH(B76,'Analyst Revisions'!$B$5:$B$121,0)),"")</x:f>
        <x:v>OK</x:v>
      </x:c>
      <x:c r="U76" s="52" t="n">
        <x:v>5.150862068965517</x:v>
      </x:c>
      <x:c r="V76" s="47" t="n">
        <x:f>IF(ISNUMBER(U76),1+COUNTIF($U$5:$U$121,"&gt;"&amp;U76),"")</x:f>
        <x:v>69</x:v>
      </x:c>
      <x:c r="W76" s="52" t="n">
        <x:v>7.051724137931035</x:v>
      </x:c>
      <x:c r="X76" s="47" t="n">
        <x:f>IF(ISNUMBER(W76),1+COUNTIF($W$5:$W$121,"&gt;"&amp;W76),"")</x:f>
        <x:v>21</x:v>
      </x:c>
      <x:c r="Y76" s="52" t="n">
        <x:v>6.353448275862069</x:v>
      </x:c>
      <x:c r="Z76" s="47" t="n">
        <x:f>IF(ISNUMBER(Y76),1+COUNTIF($Y$5:$Y$121,"&gt;"&amp;Y76),"")</x:f>
        <x:v>48</x:v>
      </x:c>
      <x:c r="AA76" s="47" t="str">
        <x:v>Real Estate</x:v>
      </x:c>
      <x:c r="AB76" s="54" t="n">
        <x:v>46213</x:v>
      </x:c>
      <x:c r="AC76" s="54" t="n">
        <x:v>46112</x:v>
      </x:c>
      <x:c r="AD76" s="54" t="n">
        <x:v>46022</x:v>
      </x:c>
      <x:c r="AE76" s="47" t="str">
        <x:v>OK</x:v>
      </x:c>
    </x:row>
    <x:row r="77">
      <x:c r="A77" s="47" t="n">
        <x:f>IF(ISNUMBER(H77),1+COUNTIF($H$5:$H$121,"&gt;"&amp;H77),"")</x:f>
        <x:v>54</x:v>
      </x:c>
      <x:c r="B77" s="47" t="str">
        <x:v>ENSG</x:v>
      </x:c>
      <x:c r="C77" s="47" t="str">
        <x:v>The Ensign Group Inc.</x:v>
      </x:c>
      <x:c r="D77" s="49" t="str">
        <x:v>Long</x:v>
      </x:c>
      <x:c r="E77" s="49" t="n">
        <x:v>0.004059</x:v>
      </x:c>
      <x:c r="F77" s="50" t="n">
        <x:v>0.343170986150989</x:v>
      </x:c>
      <x:c r="G77" s="50" t="n">
        <x:v>0.04795627329515873</x:v>
      </x:c>
      <x:c r="H77" s="329" t="n">
        <x:f>IFERROR((IF(ISNUMBER(J77),J77*'Methodology'!$C$5,0)+IF(ISNUMBER(L77),L77*'Methodology'!$C$6,0)+IF(ISNUMBER(O77),O77*'Methodology'!$C$7,0)+IF(ISNUMBER(U77),U77*'Methodology'!$C$8,0)+IF(ISNUMBER(W77),W77*'Methodology'!$C$9,0)+IF(ISNUMBER(Y77),Y77*'Methodology'!$C$10,0))/(IF(ISNUMBER(J77),'Methodology'!$C$5,0)+IF(ISNUMBER(L77),'Methodology'!$C$6,0)+IF(ISNUMBER(O77),'Methodology'!$C$7,0)+IF(ISNUMBER(U77),'Methodology'!$C$8,0)+IF(ISNUMBER(W77),'Methodology'!$C$9,0)+IF(ISNUMBER(Y77),'Methodology'!$C$10,0)),"")</x:f>
        <x:v>5.614508109581573</x:v>
      </x:c>
      <x:c r="I77" s="47" t="n">
        <x:f>COUNT(J77,L77,O77,U77,W77,Y77)</x:f>
        <x:v>6</x:v>
      </x:c>
      <x:c r="J77" s="52" t="n">
        <x:v>5.344827586206897</x:v>
      </x:c>
      <x:c r="K77" s="47" t="n">
        <x:f>IF(ISNUMBER(J77),1+COUNTIF($J$5:$J$121,"&gt;"&amp;J77),"")</x:f>
        <x:v>61</x:v>
      </x:c>
      <x:c r="L77" s="52" t="n">
        <x:v>5.752569169960475</x:v>
      </x:c>
      <x:c r="M77" s="47" t="n">
        <x:f>IF(ISNUMBER(L77),1+COUNTIF($L$5:$L$121,"&gt;"&amp;L77),"")</x:f>
        <x:v>55</x:v>
      </x:c>
      <x:c r="N77" s="47" t="str">
        <x:v>SUE + CAR3</x:v>
      </x:c>
      <x:c r="O77" s="52" t="n">
        <x:f>IFERROR(INDEX('Analyst Revisions'!$K$5:$K$121,MATCH(B77,'Analyst Revisions'!$B$5:$B$121,0)),"")</x:f>
        <x:v>8.983</x:v>
      </x:c>
      <x:c r="P77" s="47" t="n">
        <x:f>IF(ISNUMBER(O77),1+COUNTIF($O$5:$O$121,"&gt;"&amp;O77),"")</x:f>
        <x:v>14</x:v>
      </x:c>
      <x:c r="Q77" s="50" t="n">
        <x:f>IFERROR(INDEX('Analyst Revisions'!$G$5:$G$121,MATCH(B77,'Analyst Revisions'!$B$5:$B$121,0)),"")</x:f>
        <x:v>1.95921</x:v>
      </x:c>
      <x:c r="R77" s="50" t="n">
        <x:f>IFERROR(INDEX('Analyst Revisions'!$H$5:$H$121,MATCH(B77,'Analyst Revisions'!$B$5:$B$121,0)),"")</x:f>
        <x:v>1.90245</x:v>
      </x:c>
      <x:c r="S77" s="317" t="n">
        <x:f>IFERROR(INDEX('Analyst Revisions'!$I$5:$I$121,MATCH(B77,'Analyst Revisions'!$B$5:$B$121,0)),"")</x:f>
        <x:v>0.029835212489158675</x:v>
      </x:c>
      <x:c r="T77" s="47" t="str">
        <x:f>IFERROR(INDEX('Analyst Revisions'!$L$5:$L$121,MATCH(B77,'Analyst Revisions'!$B$5:$B$121,0)),"")</x:f>
        <x:v>OK</x:v>
      </x:c>
      <x:c r="U77" s="52" t="n">
        <x:v>5.177275112443779</x:v>
      </x:c>
      <x:c r="V77" s="47" t="n">
        <x:f>IF(ISNUMBER(U77),1+COUNTIF($U$5:$U$121,"&gt;"&amp;U77),"")</x:f>
        <x:v>68</x:v>
      </x:c>
      <x:c r="W77" s="52" t="n">
        <x:v>4.43551724137931</x:v>
      </x:c>
      <x:c r="X77" s="47" t="n">
        <x:f>IF(ISNUMBER(W77),1+COUNTIF($W$5:$W$121,"&gt;"&amp;W77),"")</x:f>
        <x:v>72</x:v>
      </x:c>
      <x:c r="Y77" s="52" t="n">
        <x:v>2.4741379310344827</x:v>
      </x:c>
      <x:c r="Z77" s="47" t="n">
        <x:f>IF(ISNUMBER(Y77),1+COUNTIF($Y$5:$Y$121,"&gt;"&amp;Y77),"")</x:f>
        <x:v>98</x:v>
      </x:c>
      <x:c r="AA77" s="47" t="str">
        <x:v>Health Care</x:v>
      </x:c>
      <x:c r="AB77" s="54" t="n">
        <x:v>46213</x:v>
      </x:c>
      <x:c r="AC77" s="54" t="n">
        <x:v>46112</x:v>
      </x:c>
      <x:c r="AD77" s="54" t="n">
        <x:v>46022</x:v>
      </x:c>
      <x:c r="AE77" s="47" t="str">
        <x:v>OK</x:v>
      </x:c>
    </x:row>
    <x:row r="78">
      <x:c r="A78" s="47" t="n">
        <x:f>IF(ISNUMBER(H78),1+COUNTIF($H$5:$H$121,"&gt;"&amp;H78),"")</x:f>
        <x:v>80</x:v>
      </x:c>
      <x:c r="B78" s="47" t="str">
        <x:v>ERIE</x:v>
      </x:c>
      <x:c r="C78" s="47" t="str">
        <x:v>Erie Indemnity Co.</x:v>
      </x:c>
      <x:c r="D78" s="49" t="str">
        <x:v>Long</x:v>
      </x:c>
      <x:c r="E78" s="49" t="n">
        <x:v>0.00433</x:v>
      </x:c>
      <x:c r="F78" s="50" t="n">
        <x:v>0.08123755805399635</x:v>
      </x:c>
      <x:c r="G78" s="50" t="n">
        <x:v>-0.030773687382989037</x:v>
      </x:c>
      <x:c r="H78" s="329" t="n">
        <x:f>IFERROR((IF(ISNUMBER(J78),J78*'Methodology'!$C$5,0)+IF(ISNUMBER(L78),L78*'Methodology'!$C$6,0)+IF(ISNUMBER(O78),O78*'Methodology'!$C$7,0)+IF(ISNUMBER(U78),U78*'Methodology'!$C$8,0)+IF(ISNUMBER(W78),W78*'Methodology'!$C$9,0)+IF(ISNUMBER(Y78),Y78*'Methodology'!$C$10,0))/(IF(ISNUMBER(J78),'Methodology'!$C$5,0)+IF(ISNUMBER(L78),'Methodology'!$C$6,0)+IF(ISNUMBER(O78),'Methodology'!$C$7,0)+IF(ISNUMBER(U78),'Methodology'!$C$8,0)+IF(ISNUMBER(W78),'Methodology'!$C$9,0)+IF(ISNUMBER(Y78),'Methodology'!$C$10,0)),"")</x:f>
        <x:v>4.79223688155922</x:v>
      </x:c>
      <x:c r="I78" s="47" t="n">
        <x:f>COUNT(J78,L78,O78,U78,W78,Y78)</x:f>
        <x:v>6</x:v>
      </x:c>
      <x:c r="J78" s="52" t="n">
        <x:v>9.068965517241379</x:v>
      </x:c>
      <x:c r="K78" s="47" t="n">
        <x:f>IF(ISNUMBER(J78),1+COUNTIF($J$5:$J$121,"&gt;"&amp;J78),"")</x:f>
        <x:v>13</x:v>
      </x:c>
      <x:c r="L78" s="52" t="n">
        <x:v>2.1739130434782608</x:v>
      </x:c>
      <x:c r="M78" s="47" t="n">
        <x:f>IF(ISNUMBER(L78),1+COUNTIF($L$5:$L$121,"&gt;"&amp;L78),"")</x:f>
        <x:v>112</x:v>
      </x:c>
      <x:c r="N78" s="47" t="str">
        <x:v>CAR3 only</x:v>
      </x:c>
      <x:c r="O78" s="52" t="n">
        <x:f>IFERROR(INDEX('Analyst Revisions'!$K$5:$K$121,MATCH(B78,'Analyst Revisions'!$B$5:$B$121,0)),"")</x:f>
        <x:v>4.096</x:v>
      </x:c>
      <x:c r="P78" s="47" t="n">
        <x:f>IF(ISNUMBER(O78),1+COUNTIF($O$5:$O$121,"&gt;"&amp;O78),"")</x:f>
        <x:v>75</x:v>
      </x:c>
      <x:c r="Q78" s="50" t="n">
        <x:f>IFERROR(INDEX('Analyst Revisions'!$G$5:$G$121,MATCH(B78,'Analyst Revisions'!$B$5:$B$121,0)),"")</x:f>
        <x:v>3.41</x:v>
      </x:c>
      <x:c r="R78" s="50" t="n">
        <x:f>IFERROR(INDEX('Analyst Revisions'!$H$5:$H$121,MATCH(B78,'Analyst Revisions'!$B$5:$B$121,0)),"")</x:f>
        <x:v>3.46</x:v>
      </x:c>
      <x:c r="S78" s="317" t="n">
        <x:f>IFERROR(INDEX('Analyst Revisions'!$I$5:$I$121,MATCH(B78,'Analyst Revisions'!$B$5:$B$121,0)),"")</x:f>
        <x:v>-0.01445086705202307</x:v>
      </x:c>
      <x:c r="T78" s="47" t="str">
        <x:f>IFERROR(INDEX('Analyst Revisions'!$L$5:$L$121,MATCH(B78,'Analyst Revisions'!$B$5:$B$121,0)),"")</x:f>
        <x:v>THIN COVERAGE</x:v>
      </x:c>
      <x:c r="U78" s="52" t="n">
        <x:v>5.112068965517241</x:v>
      </x:c>
      <x:c r="V78" s="47" t="n">
        <x:f>IF(ISNUMBER(U78),1+COUNTIF($U$5:$U$121,"&gt;"&amp;U78),"")</x:f>
        <x:v>71</x:v>
      </x:c>
      <x:c r="W78" s="52" t="n">
        <x:v>2.086206896551724</x:v>
      </x:c>
      <x:c r="X78" s="47" t="n">
        <x:f>IF(ISNUMBER(W78),1+COUNTIF($W$5:$W$121,"&gt;"&amp;W78),"")</x:f>
        <x:v>110</x:v>
      </x:c>
      <x:c r="Y78" s="52" t="n">
        <x:v>4.491379310344827</x:v>
      </x:c>
      <x:c r="Z78" s="47" t="n">
        <x:f>IF(ISNUMBER(Y78),1+COUNTIF($Y$5:$Y$121,"&gt;"&amp;Y78),"")</x:f>
        <x:v>72</x:v>
      </x:c>
      <x:c r="AA78" s="47" t="str">
        <x:v>Finance</x:v>
      </x:c>
      <x:c r="AB78" s="54" t="n">
        <x:v>46213</x:v>
      </x:c>
      <x:c r="AC78" s="54" t="n">
        <x:v>46112</x:v>
      </x:c>
      <x:c r="AD78" s="54" t="n">
        <x:v>46022</x:v>
      </x:c>
      <x:c r="AE78" s="47" t="str">
        <x:v>OK</x:v>
      </x:c>
    </x:row>
    <x:row r="79">
      <x:c r="A79" s="47" t="n">
        <x:f>IF(ISNUMBER(H79),1+COUNTIF($H$5:$H$121,"&gt;"&amp;H79),"")</x:f>
        <x:v>68</x:v>
      </x:c>
      <x:c r="B79" s="47" t="str">
        <x:v>TMUS</x:v>
      </x:c>
      <x:c r="C79" s="47" t="str">
        <x:v>T-Mobile US Inc.</x:v>
      </x:c>
      <x:c r="D79" s="49" t="str">
        <x:v>Long</x:v>
      </x:c>
      <x:c r="E79" s="49" t="n">
        <x:v>0.003871</x:v>
      </x:c>
      <x:c r="F79" s="50" t="n">
        <x:v>0.014164695333075817</x:v>
      </x:c>
      <x:c r="G79" s="50" t="n">
        <x:v>-0.13145411950553626</x:v>
      </x:c>
      <x:c r="H79" s="329" t="n">
        <x:f>IFERROR((IF(ISNUMBER(J79),J79*'Methodology'!$C$5,0)+IF(ISNUMBER(L79),L79*'Methodology'!$C$6,0)+IF(ISNUMBER(O79),O79*'Methodology'!$C$7,0)+IF(ISNUMBER(U79),U79*'Methodology'!$C$8,0)+IF(ISNUMBER(W79),W79*'Methodology'!$C$9,0)+IF(ISNUMBER(Y79),Y79*'Methodology'!$C$10,0))/(IF(ISNUMBER(J79),'Methodology'!$C$5,0)+IF(ISNUMBER(L79),'Methodology'!$C$6,0)+IF(ISNUMBER(O79),'Methodology'!$C$7,0)+IF(ISNUMBER(U79),'Methodology'!$C$8,0)+IF(ISNUMBER(W79),'Methodology'!$C$9,0)+IF(ISNUMBER(Y79),'Methodology'!$C$10,0)),"")</x:f>
        <x:v>5.284232043069374</x:v>
      </x:c>
      <x:c r="I79" s="47" t="n">
        <x:f>COUNT(J79,L79,O79,U79,W79,Y79)</x:f>
        <x:v>6</x:v>
      </x:c>
      <x:c r="J79" s="52" t="n">
        <x:v>3.1724137931034484</x:v>
      </x:c>
      <x:c r="K79" s="47" t="n">
        <x:f>IF(ISNUMBER(J79),1+COUNTIF($J$5:$J$121,"&gt;"&amp;J79),"")</x:f>
        <x:v>89</x:v>
      </x:c>
      <x:c r="L79" s="52" t="n">
        <x:v>5.642292490118577</x:v>
      </x:c>
      <x:c r="M79" s="47" t="n">
        <x:f>IF(ISNUMBER(L79),1+COUNTIF($L$5:$L$121,"&gt;"&amp;L79),"")</x:f>
        <x:v>59</x:v>
      </x:c>
      <x:c r="N79" s="47" t="str">
        <x:v>SUE + CAR3</x:v>
      </x:c>
      <x:c r="O79" s="52" t="n">
        <x:f>IFERROR(INDEX('Analyst Revisions'!$K$5:$K$121,MATCH(B79,'Analyst Revisions'!$B$5:$B$121,0)),"")</x:f>
        <x:v>7.353999999999999</x:v>
      </x:c>
      <x:c r="P79" s="47" t="n">
        <x:f>IF(ISNUMBER(O79),1+COUNTIF($O$5:$O$121,"&gt;"&amp;O79),"")</x:f>
        <x:v>35</x:v>
      </x:c>
      <x:c r="Q79" s="50" t="n">
        <x:f>IFERROR(INDEX('Analyst Revisions'!$G$5:$G$121,MATCH(B79,'Analyst Revisions'!$B$5:$B$121,0)),"")</x:f>
        <x:v>2.9015</x:v>
      </x:c>
      <x:c r="R79" s="50" t="n">
        <x:f>IFERROR(INDEX('Analyst Revisions'!$H$5:$H$121,MATCH(B79,'Analyst Revisions'!$B$5:$B$121,0)),"")</x:f>
        <x:v>2.87715</x:v>
      </x:c>
      <x:c r="S79" s="317" t="n">
        <x:f>IFERROR(INDEX('Analyst Revisions'!$I$5:$I$121,MATCH(B79,'Analyst Revisions'!$B$5:$B$121,0)),"")</x:f>
        <x:v>0.008463236188589436</x:v>
      </x:c>
      <x:c r="T79" s="47" t="str">
        <x:f>IFERROR(INDEX('Analyst Revisions'!$L$5:$L$121,MATCH(B79,'Analyst Revisions'!$B$5:$B$121,0)),"")</x:f>
        <x:v>OK</x:v>
      </x:c>
      <x:c r="U79" s="52" t="n">
        <x:v>6.285206146926537</x:v>
      </x:c>
      <x:c r="V79" s="47" t="n">
        <x:f>IF(ISNUMBER(U79),1+COUNTIF($U$5:$U$121,"&gt;"&amp;U79),"")</x:f>
        <x:v>39</x:v>
      </x:c>
      <x:c r="W79" s="52" t="n">
        <x:v>5.3743103448275855</x:v>
      </x:c>
      <x:c r="X79" s="47" t="n">
        <x:f>IF(ISNUMBER(W79),1+COUNTIF($W$5:$W$121,"&gt;"&amp;W79),"")</x:f>
        <x:v>55</x:v>
      </x:c>
      <x:c r="Y79" s="52" t="n">
        <x:v>5.0344827586206895</x:v>
      </x:c>
      <x:c r="Z79" s="47" t="n">
        <x:f>IF(ISNUMBER(Y79),1+COUNTIF($Y$5:$Y$121,"&gt;"&amp;Y79),"")</x:f>
        <x:v>65</x:v>
      </x:c>
      <x:c r="AA79" s="47" t="str">
        <x:v>Telecommunications</x:v>
      </x:c>
      <x:c r="AB79" s="54" t="n">
        <x:v>46213</x:v>
      </x:c>
      <x:c r="AC79" s="54" t="n">
        <x:v>46112</x:v>
      </x:c>
      <x:c r="AD79" s="54" t="n">
        <x:v>46022</x:v>
      </x:c>
      <x:c r="AE79" s="47" t="str">
        <x:v>OK</x:v>
      </x:c>
    </x:row>
    <x:row r="80">
      <x:c r="A80" s="47" t="n">
        <x:f>IF(ISNUMBER(H80),1+COUNTIF($H$5:$H$121,"&gt;"&amp;H80),"")</x:f>
        <x:v>74</x:v>
      </x:c>
      <x:c r="B80" s="47" t="str">
        <x:v>G</x:v>
      </x:c>
      <x:c r="C80" s="47" t="str">
        <x:v>Genpact Ltd.</x:v>
      </x:c>
      <x:c r="D80" s="49" t="str">
        <x:v>Long</x:v>
      </x:c>
      <x:c r="E80" s="49" t="n">
        <x:v>0.003687</x:v>
      </x:c>
      <x:c r="F80" s="50" t="n">
        <x:v>0.2642708356459945</x:v>
      </x:c>
      <x:c r="G80" s="50" t="n">
        <x:v>0.15447144416502606</x:v>
      </x:c>
      <x:c r="H80" s="329" t="n">
        <x:f>IFERROR((IF(ISNUMBER(J80),J80*'Methodology'!$C$5,0)+IF(ISNUMBER(L80),L80*'Methodology'!$C$6,0)+IF(ISNUMBER(O80),O80*'Methodology'!$C$7,0)+IF(ISNUMBER(U80),U80*'Methodology'!$C$8,0)+IF(ISNUMBER(W80),W80*'Methodology'!$C$9,0)+IF(ISNUMBER(Y80),Y80*'Methodology'!$C$10,0))/(IF(ISNUMBER(J80),'Methodology'!$C$5,0)+IF(ISNUMBER(L80),'Methodology'!$C$6,0)+IF(ISNUMBER(O80),'Methodology'!$C$7,0)+IF(ISNUMBER(U80),'Methodology'!$C$8,0)+IF(ISNUMBER(W80),'Methodology'!$C$9,0)+IF(ISNUMBER(Y80),'Methodology'!$C$10,0)),"")</x:f>
        <x:v>4.973363295624916</x:v>
      </x:c>
      <x:c r="I80" s="47" t="n">
        <x:f>COUNT(J80,L80,O80,U80,W80,Y80)</x:f>
        <x:v>6</x:v>
      </x:c>
      <x:c r="J80" s="52" t="n">
        <x:v>5.112068965517242</x:v>
      </x:c>
      <x:c r="K80" s="47" t="n">
        <x:f>IF(ISNUMBER(J80),1+COUNTIF($J$5:$J$121,"&gt;"&amp;J80),"")</x:f>
        <x:v>64</x:v>
      </x:c>
      <x:c r="L80" s="52" t="n">
        <x:v>4.185573122529645</x:v>
      </x:c>
      <x:c r="M80" s="47" t="n">
        <x:f>IF(ISNUMBER(L80),1+COUNTIF($L$5:$L$121,"&gt;"&amp;L80),"")</x:f>
        <x:v>85</x:v>
      </x:c>
      <x:c r="N80" s="47" t="str">
        <x:v>SUE + CAR3</x:v>
      </x:c>
      <x:c r="O80" s="52" t="n">
        <x:f>IFERROR(INDEX('Analyst Revisions'!$K$5:$K$121,MATCH(B80,'Analyst Revisions'!$B$5:$B$121,0)),"")</x:f>
        <x:v>5.572</x:v>
      </x:c>
      <x:c r="P80" s="47" t="n">
        <x:f>IF(ISNUMBER(O80),1+COUNTIF($O$5:$O$121,"&gt;"&amp;O80),"")</x:f>
        <x:v>56</x:v>
      </x:c>
      <x:c r="Q80" s="50" t="n">
        <x:f>IFERROR(INDEX('Analyst Revisions'!$G$5:$G$121,MATCH(B80,'Analyst Revisions'!$B$5:$B$121,0)),"")</x:f>
        <x:v>1.04408</x:v>
      </x:c>
      <x:c r="R80" s="50" t="n">
        <x:f>IFERROR(INDEX('Analyst Revisions'!$H$5:$H$121,MATCH(B80,'Analyst Revisions'!$B$5:$B$121,0)),"")</x:f>
        <x:v>1.04775</x:v>
      </x:c>
      <x:c r="S80" s="317" t="n">
        <x:f>IFERROR(INDEX('Analyst Revisions'!$I$5:$I$121,MATCH(B80,'Analyst Revisions'!$B$5:$B$121,0)),"")</x:f>
        <x:v>-0.0035027439751849796</x:v>
      </x:c>
      <x:c r="T80" s="47" t="str">
        <x:f>IFERROR(INDEX('Analyst Revisions'!$L$5:$L$121,MATCH(B80,'Analyst Revisions'!$B$5:$B$121,0)),"")</x:f>
        <x:v>OK</x:v>
      </x:c>
      <x:c r="U80" s="52" t="n">
        <x:v>8.391368065967017</x:v>
      </x:c>
      <x:c r="V80" s="47" t="n">
        <x:f>IF(ISNUMBER(U80),1+COUNTIF($U$5:$U$121,"&gt;"&amp;U80),"")</x:f>
        <x:v>16</x:v>
      </x:c>
      <x:c r="W80" s="52" t="n">
        <x:v>4.306724137931035</x:v>
      </x:c>
      <x:c r="X80" s="47" t="n">
        <x:f>IF(ISNUMBER(W80),1+COUNTIF($W$5:$W$121,"&gt;"&amp;W80),"")</x:f>
        <x:v>77</x:v>
      </x:c>
      <x:c r="Y80" s="52" t="n">
        <x:v>2.7844827586206895</x:v>
      </x:c>
      <x:c r="Z80" s="47" t="n">
        <x:f>IF(ISNUMBER(Y80),1+COUNTIF($Y$5:$Y$121,"&gt;"&amp;Y80),"")</x:f>
        <x:v>94</x:v>
      </x:c>
      <x:c r="AA80" s="47" t="str">
        <x:v>Consumer Discretionary</x:v>
      </x:c>
      <x:c r="AB80" s="54" t="n">
        <x:v>46213</x:v>
      </x:c>
      <x:c r="AC80" s="54" t="n">
        <x:v>46112</x:v>
      </x:c>
      <x:c r="AD80" s="54" t="n">
        <x:v>46022</x:v>
      </x:c>
      <x:c r="AE80" s="47" t="str">
        <x:v>OK</x:v>
      </x:c>
    </x:row>
    <x:row r="81">
      <x:c r="A81" s="47" t="n">
        <x:f>IF(ISNUMBER(H81),1+COUNTIF($H$5:$H$121,"&gt;"&amp;H81),"")</x:f>
        <x:v>76</x:v>
      </x:c>
      <x:c r="B81" s="47" t="str">
        <x:v>T</x:v>
      </x:c>
      <x:c r="C81" s="47" t="str">
        <x:v>AT&amp;T Inc.</x:v>
      </x:c>
      <x:c r="D81" s="49" t="str">
        <x:v>Long</x:v>
      </x:c>
      <x:c r="E81" s="49" t="n">
        <x:v>0.003343</x:v>
      </x:c>
      <x:c r="F81" s="50" t="n">
        <x:v>-0.29191779073391977</x:v>
      </x:c>
      <x:c r="G81" s="50" t="n">
        <x:v>-0.24577810426140084</x:v>
      </x:c>
      <x:c r="H81" s="329" t="n">
        <x:f>IFERROR((IF(ISNUMBER(J81),J81*'Methodology'!$C$5,0)+IF(ISNUMBER(L81),L81*'Methodology'!$C$6,0)+IF(ISNUMBER(O81),O81*'Methodology'!$C$7,0)+IF(ISNUMBER(U81),U81*'Methodology'!$C$8,0)+IF(ISNUMBER(W81),W81*'Methodology'!$C$9,0)+IF(ISNUMBER(Y81),Y81*'Methodology'!$C$10,0))/(IF(ISNUMBER(J81),'Methodology'!$C$5,0)+IF(ISNUMBER(L81),'Methodology'!$C$6,0)+IF(ISNUMBER(O81),'Methodology'!$C$7,0)+IF(ISNUMBER(U81),'Methodology'!$C$8,0)+IF(ISNUMBER(W81),'Methodology'!$C$9,0)+IF(ISNUMBER(Y81),'Methodology'!$C$10,0)),"")</x:f>
        <x:v>4.891319408477579</x:v>
      </x:c>
      <x:c r="I81" s="47" t="n">
        <x:f>COUNT(J81,L81,O81,U81,W81,Y81)</x:f>
        <x:v>6</x:v>
      </x:c>
      <x:c r="J81" s="52" t="n">
        <x:v>3.560344827586207</x:v>
      </x:c>
      <x:c r="K81" s="47" t="n">
        <x:f>IF(ISNUMBER(J81),1+COUNTIF($J$5:$J$121,"&gt;"&amp;J81),"")</x:f>
        <x:v>84</x:v>
      </x:c>
      <x:c r="L81" s="52" t="n">
        <x:v>5.628063241106719</x:v>
      </x:c>
      <x:c r="M81" s="47" t="n">
        <x:f>IF(ISNUMBER(L81),1+COUNTIF($L$5:$L$121,"&gt;"&amp;L81),"")</x:f>
        <x:v>60</x:v>
      </x:c>
      <x:c r="N81" s="47" t="str">
        <x:v>SUE + CAR3</x:v>
      </x:c>
      <x:c r="O81" s="52" t="n">
        <x:f>IFERROR(INDEX('Analyst Revisions'!$K$5:$K$121,MATCH(B81,'Analyst Revisions'!$B$5:$B$121,0)),"")</x:f>
        <x:v>5.104</x:v>
      </x:c>
      <x:c r="P81" s="47" t="n">
        <x:f>IF(ISNUMBER(O81),1+COUNTIF($O$5:$O$121,"&gt;"&amp;O81),"")</x:f>
        <x:v>62</x:v>
      </x:c>
      <x:c r="Q81" s="50" t="n">
        <x:f>IFERROR(INDEX('Analyst Revisions'!$G$5:$G$121,MATCH(B81,'Analyst Revisions'!$B$5:$B$121,0)),"")</x:f>
        <x:v>0.60395</x:v>
      </x:c>
      <x:c r="R81" s="50" t="n">
        <x:f>IFERROR(INDEX('Analyst Revisions'!$H$5:$H$121,MATCH(B81,'Analyst Revisions'!$B$5:$B$121,0)),"")</x:f>
        <x:v>0.60746</x:v>
      </x:c>
      <x:c r="S81" s="317" t="n">
        <x:f>IFERROR(INDEX('Analyst Revisions'!$I$5:$I$121,MATCH(B81,'Analyst Revisions'!$B$5:$B$121,0)),"")</x:f>
        <x:v>-0.005778158232640854</x:v>
      </x:c>
      <x:c r="T81" s="47" t="str">
        <x:f>IFERROR(INDEX('Analyst Revisions'!$L$5:$L$121,MATCH(B81,'Analyst Revisions'!$B$5:$B$121,0)),"")</x:f>
        <x:v>OK</x:v>
      </x:c>
      <x:c r="U81" s="52" t="n">
        <x:v>8.734197901049475</x:v>
      </x:c>
      <x:c r="V81" s="47" t="n">
        <x:f>IF(ISNUMBER(U81),1+COUNTIF($U$5:$U$121,"&gt;"&amp;U81),"")</x:f>
        <x:v>9</x:v>
      </x:c>
      <x:c r="W81" s="52" t="n">
        <x:v>4.561206896551725</x:v>
      </x:c>
      <x:c r="X81" s="47" t="n">
        <x:f>IF(ISNUMBER(W81),1+COUNTIF($W$5:$W$121,"&gt;"&amp;W81),"")</x:f>
        <x:v>68</x:v>
      </x:c>
      <x:c r="Y81" s="52" t="n">
        <x:v>2.396551724137931</x:v>
      </x:c>
      <x:c r="Z81" s="47" t="n">
        <x:f>IF(ISNUMBER(Y81),1+COUNTIF($Y$5:$Y$121,"&gt;"&amp;Y81),"")</x:f>
        <x:v>99</x:v>
      </x:c>
      <x:c r="AA81" s="47" t="str">
        <x:v>Telecommunications</x:v>
      </x:c>
      <x:c r="AB81" s="54" t="n">
        <x:v>46213</x:v>
      </x:c>
      <x:c r="AC81" s="54" t="n">
        <x:v>46112</x:v>
      </x:c>
      <x:c r="AD81" s="54" t="n">
        <x:v>46022</x:v>
      </x:c>
      <x:c r="AE81" s="47" t="str">
        <x:v>OK</x:v>
      </x:c>
    </x:row>
    <x:row r="82">
      <x:c r="A82" s="47" t="n">
        <x:f>IF(ISNUMBER(H82),1+COUNTIF($H$5:$H$121,"&gt;"&amp;H82),"")</x:f>
        <x:v>66</x:v>
      </x:c>
      <x:c r="B82" s="47" t="str">
        <x:v>FAST</x:v>
      </x:c>
      <x:c r="C82" s="47" t="str">
        <x:v>Fastenal Co.</x:v>
      </x:c>
      <x:c r="D82" s="49" t="str">
        <x:v>Long</x:v>
      </x:c>
      <x:c r="E82" s="49" t="n">
        <x:v>0.004237</x:v>
      </x:c>
      <x:c r="F82" s="50" t="n">
        <x:v>0.2840875443450334</x:v>
      </x:c>
      <x:c r="G82" s="50" t="n">
        <x:v>0.010094951266704715</x:v>
      </x:c>
      <x:c r="H82" s="329" t="n">
        <x:f>IFERROR((IF(ISNUMBER(J82),J82*'Methodology'!$C$5,0)+IF(ISNUMBER(L82),L82*'Methodology'!$C$6,0)+IF(ISNUMBER(O82),O82*'Methodology'!$C$7,0)+IF(ISNUMBER(U82),U82*'Methodology'!$C$8,0)+IF(ISNUMBER(W82),W82*'Methodology'!$C$9,0)+IF(ISNUMBER(Y82),Y82*'Methodology'!$C$10,0))/(IF(ISNUMBER(J82),'Methodology'!$C$5,0)+IF(ISNUMBER(L82),'Methodology'!$C$6,0)+IF(ISNUMBER(O82),'Methodology'!$C$7,0)+IF(ISNUMBER(U82),'Methodology'!$C$8,0)+IF(ISNUMBER(W82),'Methodology'!$C$9,0)+IF(ISNUMBER(Y82),'Methodology'!$C$10,0)),"")</x:f>
        <x:v>5.301017786561264</x:v>
      </x:c>
      <x:c r="I82" s="47" t="n">
        <x:f>COUNT(J82,L82,O82,U82,W82,Y82)</x:f>
        <x:v>6</x:v>
      </x:c>
      <x:c r="J82" s="52" t="n">
        <x:v>9.612068965517242</x:v>
      </x:c>
      <x:c r="K82" s="47" t="n">
        <x:f>IF(ISNUMBER(J82),1+COUNTIF($J$5:$J$121,"&gt;"&amp;J82),"")</x:f>
        <x:v>6</x:v>
      </x:c>
      <x:c r="L82" s="52" t="n">
        <x:v>1.6332015810276679</x:v>
      </x:c>
      <x:c r="M82" s="47" t="n">
        <x:f>IF(ISNUMBER(L82),1+COUNTIF($L$5:$L$121,"&gt;"&amp;L82),"")</x:f>
        <x:v>114</x:v>
      </x:c>
      <x:c r="N82" s="47" t="str">
        <x:v>SUE + CAR3</x:v>
      </x:c>
      <x:c r="O82" s="52" t="n">
        <x:f>IFERROR(INDEX('Analyst Revisions'!$K$5:$K$121,MATCH(B82,'Analyst Revisions'!$B$5:$B$121,0)),"")</x:f>
        <x:v>7.75</x:v>
      </x:c>
      <x:c r="P82" s="47" t="n">
        <x:f>IF(ISNUMBER(O82),1+COUNTIF($O$5:$O$121,"&gt;"&amp;O82),"")</x:f>
        <x:v>30</x:v>
      </x:c>
      <x:c r="Q82" s="50" t="n">
        <x:f>IFERROR(INDEX('Analyst Revisions'!$G$5:$G$121,MATCH(B82,'Analyst Revisions'!$B$5:$B$121,0)),"")</x:f>
        <x:v>0.33183</x:v>
      </x:c>
      <x:c r="R82" s="50" t="n">
        <x:f>IFERROR(INDEX('Analyst Revisions'!$H$5:$H$121,MATCH(B82,'Analyst Revisions'!$B$5:$B$121,0)),"")</x:f>
        <x:v>0.32721</x:v>
      </x:c>
      <x:c r="S82" s="317" t="n">
        <x:f>IFERROR(INDEX('Analyst Revisions'!$I$5:$I$121,MATCH(B82,'Analyst Revisions'!$B$5:$B$121,0)),"")</x:f>
        <x:v>0.014119372879802002</x:v>
      </x:c>
      <x:c r="T82" s="47" t="str">
        <x:f>IFERROR(INDEX('Analyst Revisions'!$L$5:$L$121,MATCH(B82,'Analyst Revisions'!$B$5:$B$121,0)),"")</x:f>
        <x:v>OK</x:v>
      </x:c>
      <x:c r="U82" s="52" t="n">
        <x:v>2.5381634182908543</x:v>
      </x:c>
      <x:c r="V82" s="47" t="n">
        <x:f>IF(ISNUMBER(U82),1+COUNTIF($U$5:$U$121,"&gt;"&amp;U82),"")</x:f>
        <x:v>115</x:v>
      </x:c>
      <x:c r="W82" s="52" t="n">
        <x:v>4.295862068965517</x:v>
      </x:c>
      <x:c r="X82" s="47" t="n">
        <x:f>IF(ISNUMBER(W82),1+COUNTIF($W$5:$W$121,"&gt;"&amp;W82),"")</x:f>
        <x:v>78</x:v>
      </x:c>
      <x:c r="Y82" s="52" t="n">
        <x:v>3.9482758620689653</x:v>
      </x:c>
      <x:c r="Z82" s="47" t="n">
        <x:f>IF(ISNUMBER(Y82),1+COUNTIF($Y$5:$Y$121,"&gt;"&amp;Y82),"")</x:f>
        <x:v>79</x:v>
      </x:c>
      <x:c r="AA82" s="47" t="str">
        <x:v>Consumer Discretionary</x:v>
      </x:c>
      <x:c r="AB82" s="54" t="n">
        <x:v>46213</x:v>
      </x:c>
      <x:c r="AC82" s="54" t="n">
        <x:v>46112</x:v>
      </x:c>
      <x:c r="AD82" s="54" t="n">
        <x:v>46022</x:v>
      </x:c>
      <x:c r="AE82" s="47" t="str">
        <x:v>OK</x:v>
      </x:c>
    </x:row>
    <x:row r="83">
      <x:c r="A83" s="47" t="n">
        <x:f>IF(ISNUMBER(H83),1+COUNTIF($H$5:$H$121,"&gt;"&amp;H83),"")</x:f>
        <x:v>82</x:v>
      </x:c>
      <x:c r="B83" s="47" t="str">
        <x:v>LMT</x:v>
      </x:c>
      <x:c r="C83" s="47" t="str">
        <x:v>Lockheed Martin Corp.</x:v>
      </x:c>
      <x:c r="D83" s="49" t="str">
        <x:v>Long</x:v>
      </x:c>
      <x:c r="E83" s="49" t="n">
        <x:v>0.003599</x:v>
      </x:c>
      <x:c r="F83" s="50" t="n">
        <x:v>-0.046373329483009</x:v>
      </x:c>
      <x:c r="G83" s="50" t="n">
        <x:v>-0.06476912300554814</x:v>
      </x:c>
      <x:c r="H83" s="329" t="n">
        <x:f>IFERROR((IF(ISNUMBER(J83),J83*'Methodology'!$C$5,0)+IF(ISNUMBER(L83),L83*'Methodology'!$C$6,0)+IF(ISNUMBER(O83),O83*'Methodology'!$C$7,0)+IF(ISNUMBER(U83),U83*'Methodology'!$C$8,0)+IF(ISNUMBER(W83),W83*'Methodology'!$C$9,0)+IF(ISNUMBER(Y83),Y83*'Methodology'!$C$10,0))/(IF(ISNUMBER(J83),'Methodology'!$C$5,0)+IF(ISNUMBER(L83),'Methodology'!$C$6,0)+IF(ISNUMBER(O83),'Methodology'!$C$7,0)+IF(ISNUMBER(U83),'Methodology'!$C$8,0)+IF(ISNUMBER(W83),'Methodology'!$C$9,0)+IF(ISNUMBER(Y83),'Methodology'!$C$10,0)),"")</x:f>
        <x:v>4.656407046476762</x:v>
      </x:c>
      <x:c r="I83" s="47" t="n">
        <x:f>COUNT(J83,L83,O83,U83,W83,Y83)</x:f>
        <x:v>6</x:v>
      </x:c>
      <x:c r="J83" s="52" t="n">
        <x:v>6.586206896551724</x:v>
      </x:c>
      <x:c r="K83" s="47" t="n">
        <x:f>IF(ISNUMBER(J83),1+COUNTIF($J$5:$J$121,"&gt;"&amp;J83),"")</x:f>
        <x:v>45</x:v>
      </x:c>
      <x:c r="L83" s="52" t="n">
        <x:v>2.3304347826086955</x:v>
      </x:c>
      <x:c r="M83" s="47" t="n">
        <x:f>IF(ISNUMBER(L83),1+COUNTIF($L$5:$L$121,"&gt;"&amp;L83),"")</x:f>
        <x:v>110</x:v>
      </x:c>
      <x:c r="N83" s="47" t="str">
        <x:v>SUE + CAR3</x:v>
      </x:c>
      <x:c r="O83" s="52" t="n">
        <x:f>IFERROR(INDEX('Analyst Revisions'!$K$5:$K$121,MATCH(B83,'Analyst Revisions'!$B$5:$B$121,0)),"")</x:f>
        <x:v>3.943</x:v>
      </x:c>
      <x:c r="P83" s="47" t="n">
        <x:f>IF(ISNUMBER(O83),1+COUNTIF($O$5:$O$121,"&gt;"&amp;O83),"")</x:f>
        <x:v>77</x:v>
      </x:c>
      <x:c r="Q83" s="50" t="n">
        <x:f>IFERROR(INDEX('Analyst Revisions'!$G$5:$G$121,MATCH(B83,'Analyst Revisions'!$B$5:$B$121,0)),"")</x:f>
        <x:v>7.47162</x:v>
      </x:c>
      <x:c r="R83" s="50" t="n">
        <x:f>IFERROR(INDEX('Analyst Revisions'!$H$5:$H$121,MATCH(B83,'Analyst Revisions'!$B$5:$B$121,0)),"")</x:f>
        <x:v>7.59156</x:v>
      </x:c>
      <x:c r="S83" s="317" t="n">
        <x:f>IFERROR(INDEX('Analyst Revisions'!$I$5:$I$121,MATCH(B83,'Analyst Revisions'!$B$5:$B$121,0)),"")</x:f>
        <x:v>-0.015799124290659706</x:v>
      </x:c>
      <x:c r="T83" s="47" t="str">
        <x:f>IFERROR(INDEX('Analyst Revisions'!$L$5:$L$121,MATCH(B83,'Analyst Revisions'!$B$5:$B$121,0)),"")</x:f>
        <x:v>OK</x:v>
      </x:c>
      <x:c r="U83" s="52" t="n">
        <x:v>4.800374812593704</x:v>
      </x:c>
      <x:c r="V83" s="47" t="n">
        <x:f>IF(ISNUMBER(U83),1+COUNTIF($U$5:$U$121,"&gt;"&amp;U83),"")</x:f>
        <x:v>77</x:v>
      </x:c>
      <x:c r="W83" s="52" t="n">
        <x:v>4.932068965517241</x:v>
      </x:c>
      <x:c r="X83" s="47" t="n">
        <x:f>IF(ISNUMBER(W83),1+COUNTIF($W$5:$W$121,"&gt;"&amp;W83),"")</x:f>
        <x:v>61</x:v>
      </x:c>
      <x:c r="Y83" s="52" t="n">
        <x:v>6.198275862068965</x:v>
      </x:c>
      <x:c r="Z83" s="47" t="n">
        <x:f>IF(ISNUMBER(Y83),1+COUNTIF($Y$5:$Y$121,"&gt;"&amp;Y83),"")</x:f>
        <x:v>50</x:v>
      </x:c>
      <x:c r="AA83" s="47" t="str">
        <x:v>Industrials</x:v>
      </x:c>
      <x:c r="AB83" s="54" t="n">
        <x:v>46213</x:v>
      </x:c>
      <x:c r="AC83" s="54" t="n">
        <x:v>46110</x:v>
      </x:c>
      <x:c r="AD83" s="54" t="n">
        <x:v>46022</x:v>
      </x:c>
      <x:c r="AE83" s="47" t="str">
        <x:v>OK</x:v>
      </x:c>
    </x:row>
    <x:row r="84">
      <x:c r="A84" s="47" t="n">
        <x:f>IF(ISNUMBER(H84),1+COUNTIF($H$5:$H$121,"&gt;"&amp;H84),"")</x:f>
        <x:v>72</x:v>
      </x:c>
      <x:c r="B84" s="47" t="str">
        <x:v>BJ</x:v>
      </x:c>
      <x:c r="C84" s="47" t="str">
        <x:v>BJ's Wholesale Club Holdings Inc.</x:v>
      </x:c>
      <x:c r="D84" s="49" t="str">
        <x:v>Long</x:v>
      </x:c>
      <x:c r="E84" s="49" t="n">
        <x:v>0.003785</x:v>
      </x:c>
      <x:c r="F84" s="50" t="n">
        <x:v>-0.2261360462125055</x:v>
      </x:c>
      <x:c r="G84" s="50" t="n">
        <x:v>-0.1283237108376308</x:v>
      </x:c>
      <x:c r="H84" s="329" t="n">
        <x:f>IFERROR((IF(ISNUMBER(J84),J84*'Methodology'!$C$5,0)+IF(ISNUMBER(L84),L84*'Methodology'!$C$6,0)+IF(ISNUMBER(O84),O84*'Methodology'!$C$7,0)+IF(ISNUMBER(U84),U84*'Methodology'!$C$8,0)+IF(ISNUMBER(W84),W84*'Methodology'!$C$9,0)+IF(ISNUMBER(Y84),Y84*'Methodology'!$C$10,0))/(IF(ISNUMBER(J84),'Methodology'!$C$5,0)+IF(ISNUMBER(L84),'Methodology'!$C$6,0)+IF(ISNUMBER(O84),'Methodology'!$C$7,0)+IF(ISNUMBER(U84),'Methodology'!$C$8,0)+IF(ISNUMBER(W84),'Methodology'!$C$9,0)+IF(ISNUMBER(Y84),'Methodology'!$C$10,0)),"")</x:f>
        <x:v>5.116063854436418</x:v>
      </x:c>
      <x:c r="I84" s="47" t="n">
        <x:f>COUNT(J84,L84,O84,U84,W84,Y84)</x:f>
        <x:v>6</x:v>
      </x:c>
      <x:c r="J84" s="52" t="n">
        <x:v>7.75</x:v>
      </x:c>
      <x:c r="K84" s="47" t="n">
        <x:f>IF(ISNUMBER(J84),1+COUNTIF($J$5:$J$121,"&gt;"&amp;J84),"")</x:f>
        <x:v>30</x:v>
      </x:c>
      <x:c r="L84" s="52" t="n">
        <x:v>2.2539525691699605</x:v>
      </x:c>
      <x:c r="M84" s="47" t="n">
        <x:f>IF(ISNUMBER(L84),1+COUNTIF($L$5:$L$121,"&gt;"&amp;L84),"")</x:f>
        <x:v>111</x:v>
      </x:c>
      <x:c r="N84" s="47" t="str">
        <x:v>SUE + CAR3</x:v>
      </x:c>
      <x:c r="O84" s="52" t="n">
        <x:f>IFERROR(INDEX('Analyst Revisions'!$K$5:$K$121,MATCH(B84,'Analyst Revisions'!$B$5:$B$121,0)),"")</x:f>
        <x:v>6.814</x:v>
      </x:c>
      <x:c r="P84" s="47" t="n">
        <x:f>IF(ISNUMBER(O84),1+COUNTIF($O$5:$O$121,"&gt;"&amp;O84),"")</x:f>
        <x:v>42</x:v>
      </x:c>
      <x:c r="Q84" s="50" t="n">
        <x:f>IFERROR(INDEX('Analyst Revisions'!$G$5:$G$121,MATCH(B84,'Analyst Revisions'!$B$5:$B$121,0)),"")</x:f>
        <x:v>1.1621</x:v>
      </x:c>
      <x:c r="R84" s="50" t="n">
        <x:f>IFERROR(INDEX('Analyst Revisions'!$H$5:$H$121,MATCH(B84,'Analyst Revisions'!$B$5:$B$121,0)),"")</x:f>
        <x:v>1.15764</x:v>
      </x:c>
      <x:c r="S84" s="317" t="n">
        <x:f>IFERROR(INDEX('Analyst Revisions'!$I$5:$I$121,MATCH(B84,'Analyst Revisions'!$B$5:$B$121,0)),"")</x:f>
        <x:v>0.003852665768287126</x:v>
      </x:c>
      <x:c r="T84" s="47" t="str">
        <x:f>IFERROR(INDEX('Analyst Revisions'!$L$5:$L$121,MATCH(B84,'Analyst Revisions'!$B$5:$B$121,0)),"")</x:f>
        <x:v>OK</x:v>
      </x:c>
      <x:c r="U84" s="52" t="n">
        <x:v>5.276922788605697</x:v>
      </x:c>
      <x:c r="V84" s="47" t="n">
        <x:f>IF(ISNUMBER(U84),1+COUNTIF($U$5:$U$121,"&gt;"&amp;U84),"")</x:f>
        <x:v>66</x:v>
      </x:c>
      <x:c r="W84" s="52" t="n">
        <x:v>3.468793103448276</x:v>
      </x:c>
      <x:c r="X84" s="47" t="n">
        <x:f>IF(ISNUMBER(W84),1+COUNTIF($W$5:$W$121,"&gt;"&amp;W84),"")</x:f>
        <x:v>90</x:v>
      </x:c>
      <x:c r="Y84" s="52" t="n">
        <x:v>4.568965517241379</x:v>
      </x:c>
      <x:c r="Z84" s="47" t="n">
        <x:f>IF(ISNUMBER(Y84),1+COUNTIF($Y$5:$Y$121,"&gt;"&amp;Y84),"")</x:f>
        <x:v>71</x:v>
      </x:c>
      <x:c r="AA84" s="47" t="str">
        <x:v>Consumer Discretionary</x:v>
      </x:c>
      <x:c r="AB84" s="54" t="n">
        <x:v>46213</x:v>
      </x:c>
      <x:c r="AC84" s="54" t="n">
        <x:v>46144</x:v>
      </x:c>
      <x:c r="AD84" s="54" t="n">
        <x:v>46053</x:v>
      </x:c>
      <x:c r="AE84" s="47" t="str">
        <x:v>OK</x:v>
      </x:c>
    </x:row>
    <x:row r="85">
      <x:c r="A85" s="47" t="n">
        <x:f>IF(ISNUMBER(H85),1+COUNTIF($H$5:$H$121,"&gt;"&amp;H85),"")</x:f>
        <x:v>77</x:v>
      </x:c>
      <x:c r="B85" s="47" t="str">
        <x:v>MRSH</x:v>
      </x:c>
      <x:c r="C85" s="47" t="str">
        <x:v>Marsh and McLennan Cos. Inc.</x:v>
      </x:c>
      <x:c r="D85" s="49" t="str">
        <x:v>Long</x:v>
      </x:c>
      <x:c r="E85" s="49" t="n">
        <x:v>0.004293</x:v>
      </x:c>
      <x:c r="F85" s="50" t="n">
        <x:v>0.16171120689280682</x:v>
      </x:c>
      <x:c r="G85" s="50" t="n">
        <x:v>-0.08191835007011287</x:v>
      </x:c>
      <x:c r="H85" s="329" t="n">
        <x:f>IFERROR((IF(ISNUMBER(J85),J85*'Methodology'!$C$5,0)+IF(ISNUMBER(L85),L85*'Methodology'!$C$6,0)+IF(ISNUMBER(O85),O85*'Methodology'!$C$7,0)+IF(ISNUMBER(U85),U85*'Methodology'!$C$8,0)+IF(ISNUMBER(W85),W85*'Methodology'!$C$9,0)+IF(ISNUMBER(Y85),Y85*'Methodology'!$C$10,0))/(IF(ISNUMBER(J85),'Methodology'!$C$5,0)+IF(ISNUMBER(L85),'Methodology'!$C$6,0)+IF(ISNUMBER(O85),'Methodology'!$C$7,0)+IF(ISNUMBER(U85),'Methodology'!$C$8,0)+IF(ISNUMBER(W85),'Methodology'!$C$9,0)+IF(ISNUMBER(Y85),'Methodology'!$C$10,0)),"")</x:f>
        <x:v>4.879850483848983</x:v>
      </x:c>
      <x:c r="I85" s="47" t="n">
        <x:f>COUNT(J85,L85,O85,U85,W85,Y85)</x:f>
        <x:v>6</x:v>
      </x:c>
      <x:c r="J85" s="52" t="n">
        <x:v>3.9482758620689653</x:v>
      </x:c>
      <x:c r="K85" s="47" t="n">
        <x:f>IF(ISNUMBER(J85),1+COUNTIF($J$5:$J$121,"&gt;"&amp;J85),"")</x:f>
        <x:v>79</x:v>
      </x:c>
      <x:c r="L85" s="52" t="n">
        <x:v>3.9009881422924897</x:v>
      </x:c>
      <x:c r="M85" s="47" t="n">
        <x:f>IF(ISNUMBER(L85),1+COUNTIF($L$5:$L$121,"&gt;"&amp;L85),"")</x:f>
        <x:v>90</x:v>
      </x:c>
      <x:c r="N85" s="47" t="str">
        <x:v>SUE + CAR3</x:v>
      </x:c>
      <x:c r="O85" s="52" t="n">
        <x:f>IFERROR(INDEX('Analyst Revisions'!$K$5:$K$121,MATCH(B85,'Analyst Revisions'!$B$5:$B$121,0)),"")</x:f>
        <x:v>5.419</x:v>
      </x:c>
      <x:c r="P85" s="47" t="n">
        <x:f>IF(ISNUMBER(O85),1+COUNTIF($O$5:$O$121,"&gt;"&amp;O85),"")</x:f>
        <x:v>58</x:v>
      </x:c>
      <x:c r="Q85" s="50" t="n">
        <x:f>IFERROR(INDEX('Analyst Revisions'!$G$5:$G$121,MATCH(B85,'Analyst Revisions'!$B$5:$B$121,0)),"")</x:f>
        <x:v>1.9766</x:v>
      </x:c>
      <x:c r="R85" s="50" t="n">
        <x:f>IFERROR(INDEX('Analyst Revisions'!$H$5:$H$121,MATCH(B85,'Analyst Revisions'!$B$5:$B$121,0)),"")</x:f>
        <x:v>1.98461</x:v>
      </x:c>
      <x:c r="S85" s="317" t="n">
        <x:f>IFERROR(INDEX('Analyst Revisions'!$I$5:$I$121,MATCH(B85,'Analyst Revisions'!$B$5:$B$121,0)),"")</x:f>
        <x:v>-0.004036057462171445</x:v>
      </x:c>
      <x:c r="T85" s="47" t="str">
        <x:f>IFERROR(INDEX('Analyst Revisions'!$L$5:$L$121,MATCH(B85,'Analyst Revisions'!$B$5:$B$121,0)),"")</x:f>
        <x:v>OK</x:v>
      </x:c>
      <x:c r="U85" s="52" t="n">
        <x:v>4.336206896551724</x:v>
      </x:c>
      <x:c r="V85" s="47" t="n">
        <x:f>IF(ISNUMBER(U85),1+COUNTIF($U$5:$U$121,"&gt;"&amp;U85),"")</x:f>
        <x:v>85</x:v>
      </x:c>
      <x:c r="W85" s="52" t="n">
        <x:v>7.517241379310345</x:v>
      </x:c>
      <x:c r="X85" s="47" t="n">
        <x:f>IF(ISNUMBER(W85),1+COUNTIF($W$5:$W$121,"&gt;"&amp;W85),"")</x:f>
        <x:v>18</x:v>
      </x:c>
      <x:c r="Y85" s="52" t="n">
        <x:v>6.275862068965517</x:v>
      </x:c>
      <x:c r="Z85" s="47" t="n">
        <x:f>IF(ISNUMBER(Y85),1+COUNTIF($Y$5:$Y$121,"&gt;"&amp;Y85),"")</x:f>
        <x:v>49</x:v>
      </x:c>
      <x:c r="AA85" s="47" t="str">
        <x:v>Finance</x:v>
      </x:c>
      <x:c r="AB85" s="54" t="n">
        <x:v>46213</x:v>
      </x:c>
      <x:c r="AC85" s="54" t="n">
        <x:v>46112</x:v>
      </x:c>
      <x:c r="AD85" s="54" t="n">
        <x:v>46022</x:v>
      </x:c>
      <x:c r="AE85" s="47" t="str">
        <x:v>OK</x:v>
      </x:c>
    </x:row>
    <x:row r="86">
      <x:c r="A86" s="47" t="n">
        <x:f>IF(ISNUMBER(H86),1+COUNTIF($H$5:$H$121,"&gt;"&amp;H86),"")</x:f>
        <x:v>78</x:v>
      </x:c>
      <x:c r="B86" s="47" t="str">
        <x:v>ABT</x:v>
      </x:c>
      <x:c r="C86" s="47" t="str">
        <x:v>Abbott Laboratories</x:v>
      </x:c>
      <x:c r="D86" s="49" t="str">
        <x:v>Long</x:v>
      </x:c>
      <x:c r="E86" s="49" t="n">
        <x:v>0.004361</x:v>
      </x:c>
      <x:c r="F86" s="50" t="n">
        <x:v>0.4510200603121302</x:v>
      </x:c>
      <x:c r="G86" s="50" t="n">
        <x:v>0.17762185868052782</x:v>
      </x:c>
      <x:c r="H86" s="329" t="n">
        <x:f>IFERROR((IF(ISNUMBER(J86),J86*'Methodology'!$C$5,0)+IF(ISNUMBER(L86),L86*'Methodology'!$C$6,0)+IF(ISNUMBER(O86),O86*'Methodology'!$C$7,0)+IF(ISNUMBER(U86),U86*'Methodology'!$C$8,0)+IF(ISNUMBER(W86),W86*'Methodology'!$C$9,0)+IF(ISNUMBER(Y86),Y86*'Methodology'!$C$10,0))/(IF(ISNUMBER(J86),'Methodology'!$C$5,0)+IF(ISNUMBER(L86),'Methodology'!$C$6,0)+IF(ISNUMBER(O86),'Methodology'!$C$7,0)+IF(ISNUMBER(U86),'Methodology'!$C$8,0)+IF(ISNUMBER(W86),'Methodology'!$C$9,0)+IF(ISNUMBER(Y86),'Methodology'!$C$10,0)),"")</x:f>
        <x:v>4.877433760392531</x:v>
      </x:c>
      <x:c r="I86" s="47" t="n">
        <x:f>COUNT(J86,L86,O86,U86,W86,Y86)</x:f>
        <x:v>6</x:v>
      </x:c>
      <x:c r="J86" s="52" t="n">
        <x:v>4.956896551724138</x:v>
      </x:c>
      <x:c r="K86" s="47" t="n">
        <x:f>IF(ISNUMBER(J86),1+COUNTIF($J$5:$J$121,"&gt;"&amp;J86),"")</x:f>
        <x:v>66</x:v>
      </x:c>
      <x:c r="L86" s="52" t="n">
        <x:v>3.324703557312253</x:v>
      </x:c>
      <x:c r="M86" s="47" t="n">
        <x:f>IF(ISNUMBER(L86),1+COUNTIF($L$5:$L$121,"&gt;"&amp;L86),"")</x:f>
        <x:v>101</x:v>
      </x:c>
      <x:c r="N86" s="47" t="str">
        <x:v>SUE + CAR3</x:v>
      </x:c>
      <x:c r="O86" s="52" t="n">
        <x:f>IFERROR(INDEX('Analyst Revisions'!$K$5:$K$121,MATCH(B86,'Analyst Revisions'!$B$5:$B$121,0)),"")</x:f>
        <x:v>5.8870000000000005</x:v>
      </x:c>
      <x:c r="P86" s="47" t="n">
        <x:f>IF(ISNUMBER(O86),1+COUNTIF($O$5:$O$121,"&gt;"&amp;O86),"")</x:f>
        <x:v>52</x:v>
      </x:c>
      <x:c r="Q86" s="50" t="n">
        <x:f>IFERROR(INDEX('Analyst Revisions'!$G$5:$G$121,MATCH(B86,'Analyst Revisions'!$B$5:$B$121,0)),"")</x:f>
        <x:v>1.41931</x:v>
      </x:c>
      <x:c r="R86" s="50" t="n">
        <x:f>IFERROR(INDEX('Analyst Revisions'!$H$5:$H$121,MATCH(B86,'Analyst Revisions'!$B$5:$B$121,0)),"")</x:f>
        <x:v>1.42094</x:v>
      </x:c>
      <x:c r="S86" s="317" t="n">
        <x:f>IFERROR(INDEX('Analyst Revisions'!$I$5:$I$121,MATCH(B86,'Analyst Revisions'!$B$5:$B$121,0)),"")</x:f>
        <x:v>-0.0011471279575492421</x:v>
      </x:c>
      <x:c r="T86" s="47" t="str">
        <x:f>IFERROR(INDEX('Analyst Revisions'!$L$5:$L$121,MATCH(B86,'Analyst Revisions'!$B$5:$B$121,0)),"")</x:f>
        <x:v>OK</x:v>
      </x:c>
      <x:c r="U86" s="52" t="n">
        <x:v>5.122458770614693</x:v>
      </x:c>
      <x:c r="V86" s="47" t="n">
        <x:f>IF(ISNUMBER(U86),1+COUNTIF($U$5:$U$121,"&gt;"&amp;U86),"")</x:f>
        <x:v>70</x:v>
      </x:c>
      <x:c r="W86" s="52" t="n">
        <x:v>5.422413793103448</x:v>
      </x:c>
      <x:c r="X86" s="47" t="n">
        <x:f>IF(ISNUMBER(W86),1+COUNTIF($W$5:$W$121,"&gt;"&amp;W86),"")</x:f>
        <x:v>51</x:v>
      </x:c>
      <x:c r="Y86" s="52" t="n">
        <x:v>5.887931034482759</x:v>
      </x:c>
      <x:c r="Z86" s="47" t="n">
        <x:f>IF(ISNUMBER(Y86),1+COUNTIF($Y$5:$Y$121,"&gt;"&amp;Y86),"")</x:f>
        <x:v>54</x:v>
      </x:c>
      <x:c r="AA86" s="47" t="str">
        <x:v>Health Care</x:v>
      </x:c>
      <x:c r="AB86" s="54" t="n">
        <x:v>46213</x:v>
      </x:c>
      <x:c r="AC86" s="54" t="n">
        <x:v>46112</x:v>
      </x:c>
      <x:c r="AD86" s="54" t="n">
        <x:v>46022</x:v>
      </x:c>
      <x:c r="AE86" s="47" t="str">
        <x:v>OK</x:v>
      </x:c>
    </x:row>
    <x:row r="87">
      <x:c r="A87" s="47" t="n">
        <x:f>IF(ISNUMBER(H87),1+COUNTIF($H$5:$H$121,"&gt;"&amp;H87),"")</x:f>
        <x:v>90</x:v>
      </x:c>
      <x:c r="B87" s="47" t="str">
        <x:v>SBRA</x:v>
      </x:c>
      <x:c r="C87" s="47" t="str">
        <x:v>Sabra Health Care REIT Inc.</x:v>
      </x:c>
      <x:c r="D87" s="49" t="str">
        <x:v>Long</x:v>
      </x:c>
      <x:c r="E87" s="49" t="n">
        <x:v>0.003779</x:v>
      </x:c>
      <x:c r="F87" s="50" t="n">
        <x:v>0.24085582635384103</x:v>
      </x:c>
      <x:c r="G87" s="50" t="n">
        <x:v>0.017575274911056805</x:v>
      </x:c>
      <x:c r="H87" s="329" t="n">
        <x:f>IFERROR((IF(ISNUMBER(J87),J87*'Methodology'!$C$5,0)+IF(ISNUMBER(L87),L87*'Methodology'!$C$6,0)+IF(ISNUMBER(O87),O87*'Methodology'!$C$7,0)+IF(ISNUMBER(U87),U87*'Methodology'!$C$8,0)+IF(ISNUMBER(W87),W87*'Methodology'!$C$9,0)+IF(ISNUMBER(Y87),Y87*'Methodology'!$C$10,0))/(IF(ISNUMBER(J87),'Methodology'!$C$5,0)+IF(ISNUMBER(L87),'Methodology'!$C$6,0)+IF(ISNUMBER(O87),'Methodology'!$C$7,0)+IF(ISNUMBER(U87),'Methodology'!$C$8,0)+IF(ISNUMBER(W87),'Methodology'!$C$9,0)+IF(ISNUMBER(Y87),'Methodology'!$C$10,0)),"")</x:f>
        <x:v>4.451464222434237</x:v>
      </x:c>
      <x:c r="I87" s="47" t="n">
        <x:f>COUNT(J87,L87,O87,U87,W87,Y87)</x:f>
        <x:v>6</x:v>
      </x:c>
      <x:c r="J87" s="52" t="n">
        <x:v>3.0172413793103448</x:v>
      </x:c>
      <x:c r="K87" s="47" t="n">
        <x:f>IF(ISNUMBER(J87),1+COUNTIF($J$5:$J$121,"&gt;"&amp;J87),"")</x:f>
        <x:v>91</x:v>
      </x:c>
      <x:c r="L87" s="52" t="n">
        <x:v>5.551581027667984</x:v>
      </x:c>
      <x:c r="M87" s="47" t="n">
        <x:f>IF(ISNUMBER(L87),1+COUNTIF($L$5:$L$121,"&gt;"&amp;L87),"")</x:f>
        <x:v>63</x:v>
      </x:c>
      <x:c r="N87" s="47" t="str">
        <x:v>SUE + CAR3</x:v>
      </x:c>
      <x:c r="O87" s="52" t="n">
        <x:f>IFERROR(INDEX('Analyst Revisions'!$K$5:$K$121,MATCH(B87,'Analyst Revisions'!$B$5:$B$121,0)),"")</x:f>
        <x:v>3.709</x:v>
      </x:c>
      <x:c r="P87" s="47" t="n">
        <x:f>IF(ISNUMBER(O87),1+COUNTIF($O$5:$O$121,"&gt;"&amp;O87),"")</x:f>
        <x:v>80</x:v>
      </x:c>
      <x:c r="Q87" s="50" t="n">
        <x:f>IFERROR(INDEX('Analyst Revisions'!$G$5:$G$121,MATCH(B87,'Analyst Revisions'!$B$5:$B$121,0)),"")</x:f>
        <x:v>0.16667</x:v>
      </x:c>
      <x:c r="R87" s="50" t="n">
        <x:f>IFERROR(INDEX('Analyst Revisions'!$H$5:$H$121,MATCH(B87,'Analyst Revisions'!$B$5:$B$121,0)),"")</x:f>
        <x:v>0.17</x:v>
      </x:c>
      <x:c r="S87" s="317" t="n">
        <x:f>IFERROR(INDEX('Analyst Revisions'!$I$5:$I$121,MATCH(B87,'Analyst Revisions'!$B$5:$B$121,0)),"")</x:f>
        <x:v>-0.019588235294117642</x:v>
      </x:c>
      <x:c r="T87" s="47" t="str">
        <x:f>IFERROR(INDEX('Analyst Revisions'!$L$5:$L$121,MATCH(B87,'Analyst Revisions'!$B$5:$B$121,0)),"")</x:f>
        <x:v>OK</x:v>
      </x:c>
      <x:c r="U87" s="52" t="n">
        <x:v>5.306034482758621</x:v>
      </x:c>
      <x:c r="V87" s="47" t="n">
        <x:f>IF(ISNUMBER(U87),1+COUNTIF($U$5:$U$121,"&gt;"&amp;U87),"")</x:f>
        <x:v>64</x:v>
      </x:c>
      <x:c r="W87" s="52" t="n">
        <x:v>7.75</x:v>
      </x:c>
      <x:c r="X87" s="47" t="n">
        <x:f>IF(ISNUMBER(W87),1+COUNTIF($W$5:$W$121,"&gt;"&amp;W87),"")</x:f>
        <x:v>16</x:v>
      </x:c>
      <x:c r="Y87" s="52" t="n">
        <x:v>2.163793103448276</x:v>
      </x:c>
      <x:c r="Z87" s="47" t="n">
        <x:f>IF(ISNUMBER(Y87),1+COUNTIF($Y$5:$Y$121,"&gt;"&amp;Y87),"")</x:f>
        <x:v>102</x:v>
      </x:c>
      <x:c r="AA87" s="47" t="str">
        <x:v>Real Estate</x:v>
      </x:c>
      <x:c r="AB87" s="54" t="n">
        <x:v>46213</x:v>
      </x:c>
      <x:c r="AC87" s="54" t="n">
        <x:v>46112</x:v>
      </x:c>
      <x:c r="AD87" s="54" t="n">
        <x:v>46022</x:v>
      </x:c>
      <x:c r="AE87" s="47" t="str">
        <x:v>OK</x:v>
      </x:c>
    </x:row>
    <x:row r="88">
      <x:c r="A88" s="47" t="n">
        <x:f>IF(ISNUMBER(H88),1+COUNTIF($H$5:$H$121,"&gt;"&amp;H88),"")</x:f>
        <x:v>100</x:v>
      </x:c>
      <x:c r="B88" s="47" t="str">
        <x:v>CACI</x:v>
      </x:c>
      <x:c r="C88" s="47" t="str">
        <x:v>CACI International Inc.</x:v>
      </x:c>
      <x:c r="D88" s="49" t="str">
        <x:v>Long</x:v>
      </x:c>
      <x:c r="E88" s="49" t="n">
        <x:v>0.004182</x:v>
      </x:c>
      <x:c r="F88" s="50" t="n">
        <x:v>-0.017929153282266443</x:v>
      </x:c>
      <x:c r="G88" s="50" t="n">
        <x:v>0.17624883032560967</x:v>
      </x:c>
      <x:c r="H88" s="329" t="n">
        <x:f>IFERROR((IF(ISNUMBER(J88),J88*'Methodology'!$C$5,0)+IF(ISNUMBER(L88),L88*'Methodology'!$C$6,0)+IF(ISNUMBER(O88),O88*'Methodology'!$C$7,0)+IF(ISNUMBER(U88),U88*'Methodology'!$C$8,0)+IF(ISNUMBER(W88),W88*'Methodology'!$C$9,0)+IF(ISNUMBER(Y88),Y88*'Methodology'!$C$10,0))/(IF(ISNUMBER(J88),'Methodology'!$C$5,0)+IF(ISNUMBER(L88),'Methodology'!$C$6,0)+IF(ISNUMBER(O88),'Methodology'!$C$7,0)+IF(ISNUMBER(U88),'Methodology'!$C$8,0)+IF(ISNUMBER(W88),'Methodology'!$C$9,0)+IF(ISNUMBER(Y88),'Methodology'!$C$10,0)),"")</x:f>
        <x:v>4.183796442687746</x:v>
      </x:c>
      <x:c r="I88" s="47" t="n">
        <x:f>COUNT(J88,L88,O88,U88,W88,Y88)</x:f>
        <x:v>6</x:v>
      </x:c>
      <x:c r="J88" s="52" t="n">
        <x:v>2.2413793103448274</x:v>
      </x:c>
      <x:c r="K88" s="47" t="n">
        <x:f>IF(ISNUMBER(J88),1+COUNTIF($J$5:$J$121,"&gt;"&amp;J88),"")</x:f>
        <x:v>101</x:v>
      </x:c>
      <x:c r="L88" s="52" t="n">
        <x:v>7.68596837944664</x:v>
      </x:c>
      <x:c r="M88" s="47" t="n">
        <x:f>IF(ISNUMBER(L88),1+COUNTIF($L$5:$L$121,"&gt;"&amp;L88),"")</x:f>
        <x:v>18</x:v>
      </x:c>
      <x:c r="N88" s="47" t="str">
        <x:v>SUE + CAR3</x:v>
      </x:c>
      <x:c r="O88" s="52" t="n">
        <x:f>IFERROR(INDEX('Analyst Revisions'!$K$5:$K$121,MATCH(B88,'Analyst Revisions'!$B$5:$B$121,0)),"")</x:f>
        <x:v>2.161</x:v>
      </x:c>
      <x:c r="P88" s="47" t="n">
        <x:f>IF(ISNUMBER(O88),1+COUNTIF($O$5:$O$121,"&gt;"&amp;O88),"")</x:f>
        <x:v>100</x:v>
      </x:c>
      <x:c r="Q88" s="50" t="n">
        <x:f>IFERROR(INDEX('Analyst Revisions'!$G$5:$G$121,MATCH(B88,'Analyst Revisions'!$B$5:$B$121,0)),"")</x:f>
        <x:v>6.67744</x:v>
      </x:c>
      <x:c r="R88" s="50" t="n">
        <x:f>IFERROR(INDEX('Analyst Revisions'!$H$5:$H$121,MATCH(B88,'Analyst Revisions'!$B$5:$B$121,0)),"")</x:f>
        <x:v>7.19585</x:v>
      </x:c>
      <x:c r="S88" s="317" t="n">
        <x:f>IFERROR(INDEX('Analyst Revisions'!$I$5:$I$121,MATCH(B88,'Analyst Revisions'!$B$5:$B$121,0)),"")</x:f>
        <x:v>-0.07204291362382488</x:v>
      </x:c>
      <x:c r="T88" s="47" t="str">
        <x:f>IFERROR(INDEX('Analyst Revisions'!$L$5:$L$121,MATCH(B88,'Analyst Revisions'!$B$5:$B$121,0)),"")</x:f>
        <x:v>OK</x:v>
      </x:c>
      <x:c r="U88" s="52" t="n">
        <x:v>6.525790854572713</x:v>
      </x:c>
      <x:c r="V88" s="47" t="n">
        <x:f>IF(ISNUMBER(U88),1+COUNTIF($U$5:$U$121,"&gt;"&amp;U88),"")</x:f>
        <x:v>37</x:v>
      </x:c>
      <x:c r="W88" s="52" t="n">
        <x:v>4.472758620689655</x:v>
      </x:c>
      <x:c r="X88" s="47" t="n">
        <x:f>IF(ISNUMBER(W88),1+COUNTIF($W$5:$W$121,"&gt;"&amp;W88),"")</x:f>
        <x:v>71</x:v>
      </x:c>
      <x:c r="Y88" s="52" t="n">
        <x:v>1.0775862068965518</x:v>
      </x:c>
      <x:c r="Z88" s="47" t="n">
        <x:f>IF(ISNUMBER(Y88),1+COUNTIF($Y$5:$Y$121,"&gt;"&amp;Y88),"")</x:f>
        <x:v>116</x:v>
      </x:c>
      <x:c r="AA88" s="47" t="str">
        <x:v>Technology</x:v>
      </x:c>
      <x:c r="AB88" s="54" t="n">
        <x:v>46213</x:v>
      </x:c>
      <x:c r="AC88" s="54" t="n">
        <x:v>46112</x:v>
      </x:c>
      <x:c r="AD88" s="54" t="n">
        <x:v>45838</x:v>
      </x:c>
      <x:c r="AE88" s="47" t="str">
        <x:v>OK</x:v>
      </x:c>
    </x:row>
    <x:row r="89">
      <x:c r="A89" s="47" t="n">
        <x:f>IF(ISNUMBER(H89),1+COUNTIF($H$5:$H$121,"&gt;"&amp;H89),"")</x:f>
        <x:v>95</x:v>
      </x:c>
      <x:c r="B89" s="47" t="str">
        <x:v>ED</x:v>
      </x:c>
      <x:c r="C89" s="47" t="str">
        <x:v>Consolidated Edison Inc.</x:v>
      </x:c>
      <x:c r="D89" s="49" t="str">
        <x:v>Long</x:v>
      </x:c>
      <x:c r="E89" s="49" t="n">
        <x:v>0.004204</x:v>
      </x:c>
      <x:c r="F89" s="50" t="n">
        <x:v>-0.19949078763507044</x:v>
      </x:c>
      <x:c r="G89" s="50" t="n">
        <x:v>-0.10171732778628781</x:v>
      </x:c>
      <x:c r="H89" s="329" t="n">
        <x:f>IFERROR((IF(ISNUMBER(J89),J89*'Methodology'!$C$5,0)+IF(ISNUMBER(L89),L89*'Methodology'!$C$6,0)+IF(ISNUMBER(O89),O89*'Methodology'!$C$7,0)+IF(ISNUMBER(U89),U89*'Methodology'!$C$8,0)+IF(ISNUMBER(W89),W89*'Methodology'!$C$9,0)+IF(ISNUMBER(Y89),Y89*'Methodology'!$C$10,0))/(IF(ISNUMBER(J89),'Methodology'!$C$5,0)+IF(ISNUMBER(L89),'Methodology'!$C$6,0)+IF(ISNUMBER(O89),'Methodology'!$C$7,0)+IF(ISNUMBER(U89),'Methodology'!$C$8,0)+IF(ISNUMBER(W89),'Methodology'!$C$9,0)+IF(ISNUMBER(Y89),'Methodology'!$C$10,0)),"")</x:f>
        <x:v>4.393242469674253</x:v>
      </x:c>
      <x:c r="I89" s="47" t="n">
        <x:f>COUNT(J89,L89,O89,U89,W89,Y89)</x:f>
        <x:v>6</x:v>
      </x:c>
      <x:c r="J89" s="52" t="n">
        <x:v>3.0948275862068964</x:v>
      </x:c>
      <x:c r="K89" s="47" t="n">
        <x:f>IF(ISNUMBER(J89),1+COUNTIF($J$5:$J$121,"&gt;"&amp;J89),"")</x:f>
        <x:v>90</x:v>
      </x:c>
      <x:c r="L89" s="52" t="n">
        <x:v>6.335968379446641</x:v>
      </x:c>
      <x:c r="M89" s="47" t="n">
        <x:f>IF(ISNUMBER(L89),1+COUNTIF($L$5:$L$121,"&gt;"&amp;L89),"")</x:f>
        <x:v>39</x:v>
      </x:c>
      <x:c r="N89" s="47" t="str">
        <x:v>SUE + CAR3</x:v>
      </x:c>
      <x:c r="O89" s="52" t="n">
        <x:f>IFERROR(INDEX('Analyst Revisions'!$K$5:$K$121,MATCH(B89,'Analyst Revisions'!$B$5:$B$121,0)),"")</x:f>
        <x:v>3.475</x:v>
      </x:c>
      <x:c r="P89" s="47" t="n">
        <x:f>IF(ISNUMBER(O89),1+COUNTIF($O$5:$O$121,"&gt;"&amp;O89),"")</x:f>
        <x:v>83</x:v>
      </x:c>
      <x:c r="Q89" s="50" t="n">
        <x:f>IFERROR(INDEX('Analyst Revisions'!$G$5:$G$121,MATCH(B89,'Analyst Revisions'!$B$5:$B$121,0)),"")</x:f>
        <x:v>2.00402</x:v>
      </x:c>
      <x:c r="R89" s="50" t="n">
        <x:f>IFERROR(INDEX('Analyst Revisions'!$H$5:$H$121,MATCH(B89,'Analyst Revisions'!$B$5:$B$121,0)),"")</x:f>
        <x:v>2.04769</x:v>
      </x:c>
      <x:c r="S89" s="317" t="n">
        <x:f>IFERROR(INDEX('Analyst Revisions'!$I$5:$I$121,MATCH(B89,'Analyst Revisions'!$B$5:$B$121,0)),"")</x:f>
        <x:v>-0.02132647031533077</x:v>
      </x:c>
      <x:c r="T89" s="47" t="str">
        <x:f>IFERROR(INDEX('Analyst Revisions'!$L$5:$L$121,MATCH(B89,'Analyst Revisions'!$B$5:$B$121,0)),"")</x:f>
        <x:v>OK</x:v>
      </x:c>
      <x:c r="U89" s="52" t="n">
        <x:v>5.477736131934033</x:v>
      </x:c>
      <x:c r="V89" s="47" t="n">
        <x:f>IF(ISNUMBER(U89),1+COUNTIF($U$5:$U$121,"&gt;"&amp;U89),"")</x:f>
        <x:v>58</x:v>
      </x:c>
      <x:c r="W89" s="52" t="n">
        <x:v>5.077931034482758</x:v>
      </x:c>
      <x:c r="X89" s="47" t="n">
        <x:f>IF(ISNUMBER(W89),1+COUNTIF($W$5:$W$121,"&gt;"&amp;W89),"")</x:f>
        <x:v>58</x:v>
      </x:c>
      <x:c r="Y89" s="52" t="n">
        <x:v>2.5517241379310347</x:v>
      </x:c>
      <x:c r="Z89" s="47" t="n">
        <x:f>IF(ISNUMBER(Y89),1+COUNTIF($Y$5:$Y$121,"&gt;"&amp;Y89),"")</x:f>
        <x:v>97</x:v>
      </x:c>
      <x:c r="AA89" s="47" t="str">
        <x:v>Utilities</x:v>
      </x:c>
      <x:c r="AB89" s="54" t="n">
        <x:v>46213</x:v>
      </x:c>
      <x:c r="AC89" s="54" t="n">
        <x:v>46112</x:v>
      </x:c>
      <x:c r="AD89" s="54" t="n">
        <x:v>46022</x:v>
      </x:c>
      <x:c r="AE89" s="47" t="str">
        <x:v>OK</x:v>
      </x:c>
    </x:row>
    <x:row r="90">
      <x:c r="A90" s="47" t="n">
        <x:f>IF(ISNUMBER(H90),1+COUNTIF($H$5:$H$121,"&gt;"&amp;H90),"")</x:f>
        <x:v>99</x:v>
      </x:c>
      <x:c r="B90" s="47" t="str">
        <x:v>YUM</x:v>
      </x:c>
      <x:c r="C90" s="47" t="str">
        <x:v>Yum! Brands Inc.</x:v>
      </x:c>
      <x:c r="D90" s="49" t="str">
        <x:v>Long</x:v>
      </x:c>
      <x:c r="E90" s="49" t="n">
        <x:v>0.004218</x:v>
      </x:c>
      <x:c r="F90" s="50" t="n">
        <x:v>0.26387696543795586</x:v>
      </x:c>
      <x:c r="G90" s="50" t="n">
        <x:v>0.041008961246633856</x:v>
      </x:c>
      <x:c r="H90" s="329" t="n">
        <x:f>IFERROR((IF(ISNUMBER(J90),J90*'Methodology'!$C$5,0)+IF(ISNUMBER(L90),L90*'Methodology'!$C$6,0)+IF(ISNUMBER(O90),O90*'Methodology'!$C$7,0)+IF(ISNUMBER(U90),U90*'Methodology'!$C$8,0)+IF(ISNUMBER(W90),W90*'Methodology'!$C$9,0)+IF(ISNUMBER(Y90),Y90*'Methodology'!$C$10,0))/(IF(ISNUMBER(J90),'Methodology'!$C$5,0)+IF(ISNUMBER(L90),'Methodology'!$C$6,0)+IF(ISNUMBER(O90),'Methodology'!$C$7,0)+IF(ISNUMBER(U90),'Methodology'!$C$8,0)+IF(ISNUMBER(W90),'Methodology'!$C$9,0)+IF(ISNUMBER(Y90),'Methodology'!$C$10,0)),"")</x:f>
        <x:v>4.198559084094316</x:v>
      </x:c>
      <x:c r="I90" s="47" t="n">
        <x:f>COUNT(J90,L90,O90,U90,W90,Y90)</x:f>
        <x:v>6</x:v>
      </x:c>
      <x:c r="J90" s="52" t="n">
        <x:v>1.4655172413793103</x:v>
      </x:c>
      <x:c r="K90" s="47" t="n">
        <x:f>IF(ISNUMBER(J90),1+COUNTIF($J$5:$J$121,"&gt;"&amp;J90),"")</x:f>
        <x:v>111</x:v>
      </x:c>
      <x:c r="L90" s="52" t="n">
        <x:v>8.648221343873518</x:v>
      </x:c>
      <x:c r="M90" s="47" t="n">
        <x:f>IF(ISNUMBER(L90),1+COUNTIF($L$5:$L$121,"&gt;"&amp;L90),"")</x:f>
        <x:v>8</x:v>
      </x:c>
      <x:c r="N90" s="47" t="str">
        <x:v>SUE + CAR3</x:v>
      </x:c>
      <x:c r="O90" s="52" t="n">
        <x:f>IFERROR(INDEX('Analyst Revisions'!$K$5:$K$121,MATCH(B90,'Analyst Revisions'!$B$5:$B$121,0)),"")</x:f>
        <x:v>2.314</x:v>
      </x:c>
      <x:c r="P90" s="47" t="n">
        <x:f>IF(ISNUMBER(O90),1+COUNTIF($O$5:$O$121,"&gt;"&amp;O90),"")</x:f>
        <x:v>98</x:v>
      </x:c>
      <x:c r="Q90" s="50" t="n">
        <x:f>IFERROR(INDEX('Analyst Revisions'!$G$5:$G$121,MATCH(B90,'Analyst Revisions'!$B$5:$B$121,0)),"")</x:f>
        <x:v>1.57635</x:v>
      </x:c>
      <x:c r="R90" s="50" t="n">
        <x:f>IFERROR(INDEX('Analyst Revisions'!$H$5:$H$121,MATCH(B90,'Analyst Revisions'!$B$5:$B$121,0)),"")</x:f>
        <x:v>1.69202</x:v>
      </x:c>
      <x:c r="S90" s="317" t="n">
        <x:f>IFERROR(INDEX('Analyst Revisions'!$I$5:$I$121,MATCH(B90,'Analyst Revisions'!$B$5:$B$121,0)),"")</x:f>
        <x:v>-0.06836207609839136</x:v>
      </x:c>
      <x:c r="T90" s="47" t="str">
        <x:f>IFERROR(INDEX('Analyst Revisions'!$L$5:$L$121,MATCH(B90,'Analyst Revisions'!$B$5:$B$121,0)),"")</x:f>
        <x:v>OK</x:v>
      </x:c>
      <x:c r="U90" s="52" t="n">
        <x:v>3.4199475262368813</x:v>
      </x:c>
      <x:c r="V90" s="47" t="n">
        <x:f>IF(ISNUMBER(U90),1+COUNTIF($U$5:$U$121,"&gt;"&amp;U90),"")</x:f>
        <x:v>99</x:v>
      </x:c>
      <x:c r="W90" s="52" t="n">
        <x:v>2.7953448275862067</x:v>
      </x:c>
      <x:c r="X90" s="47" t="n">
        <x:f>IF(ISNUMBER(W90),1+COUNTIF($W$5:$W$121,"&gt;"&amp;W90),"")</x:f>
        <x:v>100</x:v>
      </x:c>
      <x:c r="Y90" s="52" t="n">
        <x:v>5.344827586206897</x:v>
      </x:c>
      <x:c r="Z90" s="47" t="n">
        <x:f>IF(ISNUMBER(Y90),1+COUNTIF($Y$5:$Y$121,"&gt;"&amp;Y90),"")</x:f>
        <x:v>61</x:v>
      </x:c>
      <x:c r="AA90" s="47" t="str">
        <x:v>Consumer Discretionary</x:v>
      </x:c>
      <x:c r="AB90" s="54" t="n">
        <x:v>46213</x:v>
      </x:c>
      <x:c r="AC90" s="54" t="n">
        <x:v>46112</x:v>
      </x:c>
      <x:c r="AD90" s="54" t="n">
        <x:v>46022</x:v>
      </x:c>
      <x:c r="AE90" s="47" t="str">
        <x:v>OK</x:v>
      </x:c>
    </x:row>
    <x:row r="91">
      <x:c r="A91" s="47" t="n">
        <x:f>IF(ISNUMBER(H91),1+COUNTIF($H$5:$H$121,"&gt;"&amp;H91),"")</x:f>
        <x:v>106</x:v>
      </x:c>
      <x:c r="B91" s="47" t="str">
        <x:v>MOS</x:v>
      </x:c>
      <x:c r="C91" s="47" t="str">
        <x:v>The Mosaic Co.</x:v>
      </x:c>
      <x:c r="D91" s="49" t="str">
        <x:v>Long</x:v>
      </x:c>
      <x:c r="E91" s="49" t="n">
        <x:v>0.003921</x:v>
      </x:c>
      <x:c r="F91" s="50" t="n">
        <x:v>0.4716245465474435</x:v>
      </x:c>
      <x:c r="G91" s="50" t="n">
        <x:v>0.17993745226425145</x:v>
      </x:c>
      <x:c r="H91" s="329" t="n">
        <x:f>IFERROR((IF(ISNUMBER(J91),J91*'Methodology'!$C$5,0)+IF(ISNUMBER(L91),L91*'Methodology'!$C$6,0)+IF(ISNUMBER(O91),O91*'Methodology'!$C$7,0)+IF(ISNUMBER(U91),U91*'Methodology'!$C$8,0)+IF(ISNUMBER(W91),W91*'Methodology'!$C$9,0)+IF(ISNUMBER(Y91),Y91*'Methodology'!$C$10,0))/(IF(ISNUMBER(J91),'Methodology'!$C$5,0)+IF(ISNUMBER(L91),'Methodology'!$C$6,0)+IF(ISNUMBER(O91),'Methodology'!$C$7,0)+IF(ISNUMBER(U91),'Methodology'!$C$8,0)+IF(ISNUMBER(W91),'Methodology'!$C$9,0)+IF(ISNUMBER(Y91),'Methodology'!$C$10,0)),"")</x:f>
        <x:v>3.9614805097451273</x:v>
      </x:c>
      <x:c r="I91" s="47" t="n">
        <x:f>COUNT(J91,L91,O91,U91,W91,Y91)</x:f>
        <x:v>6</x:v>
      </x:c>
      <x:c r="J91" s="52" t="n">
        <x:v>4.025862068965518</x:v>
      </x:c>
      <x:c r="K91" s="47" t="n">
        <x:f>IF(ISNUMBER(J91),1+COUNTIF($J$5:$J$121,"&gt;"&amp;J91),"")</x:f>
        <x:v>78</x:v>
      </x:c>
      <x:c r="L91" s="52" t="n">
        <x:v>3.523913043478261</x:v>
      </x:c>
      <x:c r="M91" s="47" t="n">
        <x:f>IF(ISNUMBER(L91),1+COUNTIF($L$5:$L$121,"&gt;"&amp;L91),"")</x:f>
        <x:v>98</x:v>
      </x:c>
      <x:c r="N91" s="47" t="str">
        <x:v>SUE + CAR3</x:v>
      </x:c>
      <x:c r="O91" s="52" t="n">
        <x:f>IFERROR(INDEX('Analyst Revisions'!$K$5:$K$121,MATCH(B91,'Analyst Revisions'!$B$5:$B$121,0)),"")</x:f>
        <x:v>1</x:v>
      </x:c>
      <x:c r="P91" s="47" t="n">
        <x:f>IF(ISNUMBER(O91),1+COUNTIF($O$5:$O$121,"&gt;"&amp;O91),"")</x:f>
        <x:v>115</x:v>
      </x:c>
      <x:c r="Q91" s="50" t="n">
        <x:f>IFERROR(INDEX('Analyst Revisions'!$G$5:$G$121,MATCH(B91,'Analyst Revisions'!$B$5:$B$121,0)),"")</x:f>
        <x:v>0.02972</x:v>
      </x:c>
      <x:c r="R91" s="50" t="n">
        <x:f>IFERROR(INDEX('Analyst Revisions'!$H$5:$H$121,MATCH(B91,'Analyst Revisions'!$B$5:$B$121,0)),"")</x:f>
        <x:v>0.31443</x:v>
      </x:c>
      <x:c r="S91" s="317" t="n">
        <x:f>IFERROR(INDEX('Analyst Revisions'!$I$5:$I$121,MATCH(B91,'Analyst Revisions'!$B$5:$B$121,0)),"")</x:f>
        <x:v>-0.9054797570206404</x:v>
      </x:c>
      <x:c r="T91" s="47" t="str">
        <x:f>IFERROR(INDEX('Analyst Revisions'!$L$5:$L$121,MATCH(B91,'Analyst Revisions'!$B$5:$B$121,0)),"")</x:f>
        <x:v>OK</x:v>
      </x:c>
      <x:c r="U91" s="52" t="n">
        <x:v>5.488227136431783</x:v>
      </x:c>
      <x:c r="V91" s="47" t="n">
        <x:f>IF(ISNUMBER(U91),1+COUNTIF($U$5:$U$121,"&gt;"&amp;U91),"")</x:f>
        <x:v>56</x:v>
      </x:c>
      <x:c r="W91" s="52" t="n">
        <x:v>4.393620689655172</x:v>
      </x:c>
      <x:c r="X91" s="47" t="n">
        <x:f>IF(ISNUMBER(W91),1+COUNTIF($W$5:$W$121,"&gt;"&amp;W91),"")</x:f>
        <x:v>73</x:v>
      </x:c>
      <x:c r="Y91" s="52" t="n">
        <x:v>7.2844827586206895</x:v>
      </x:c>
      <x:c r="Z91" s="47" t="n">
        <x:f>IF(ISNUMBER(Y91),1+COUNTIF($Y$5:$Y$121,"&gt;"&amp;Y91),"")</x:f>
        <x:v>36</x:v>
      </x:c>
      <x:c r="AA91" s="47" t="str">
        <x:v>Industrials</x:v>
      </x:c>
      <x:c r="AB91" s="54" t="n">
        <x:v>46213</x:v>
      </x:c>
      <x:c r="AC91" s="54" t="n">
        <x:v>46112</x:v>
      </x:c>
      <x:c r="AD91" s="54" t="n">
        <x:v>46022</x:v>
      </x:c>
      <x:c r="AE91" s="47" t="str">
        <x:v>OK</x:v>
      </x:c>
    </x:row>
    <x:row r="92">
      <x:c r="A92" s="47" t="n">
        <x:f>IF(ISNUMBER(H92),1+COUNTIF($H$5:$H$121,"&gt;"&amp;H92),"")</x:f>
        <x:v>79</x:v>
      </x:c>
      <x:c r="B92" s="47" t="str">
        <x:v>KR</x:v>
      </x:c>
      <x:c r="C92" s="47" t="str">
        <x:v>The Kroger Co.</x:v>
      </x:c>
      <x:c r="D92" s="49" t="str">
        <x:v>Long</x:v>
      </x:c>
      <x:c r="E92" s="49" t="n">
        <x:v>0.003644</x:v>
      </x:c>
      <x:c r="F92" s="50" t="n">
        <x:v>-0.10838777477724561</x:v>
      </x:c>
      <x:c r="G92" s="50" t="n">
        <x:v>0.0018546801043051032</x:v>
      </x:c>
      <x:c r="H92" s="329" t="n">
        <x:f>IFERROR((IF(ISNUMBER(J92),J92*'Methodology'!$C$5,0)+IF(ISNUMBER(L92),L92*'Methodology'!$C$6,0)+IF(ISNUMBER(O92),O92*'Methodology'!$C$7,0)+IF(ISNUMBER(U92),U92*'Methodology'!$C$8,0)+IF(ISNUMBER(W92),W92*'Methodology'!$C$9,0)+IF(ISNUMBER(Y92),Y92*'Methodology'!$C$10,0))/(IF(ISNUMBER(J92),'Methodology'!$C$5,0)+IF(ISNUMBER(L92),'Methodology'!$C$6,0)+IF(ISNUMBER(O92),'Methodology'!$C$7,0)+IF(ISNUMBER(U92),'Methodology'!$C$8,0)+IF(ISNUMBER(W92),'Methodology'!$C$9,0)+IF(ISNUMBER(Y92),'Methodology'!$C$10,0)),"")</x:f>
        <x:v>4.81795400027259</x:v>
      </x:c>
      <x:c r="I92" s="47" t="n">
        <x:f>COUNT(J92,L92,O92,U92,W92,Y92)</x:f>
        <x:v>6</x:v>
      </x:c>
      <x:c r="J92" s="52" t="n">
        <x:v>2.9396551724137927</x:v>
      </x:c>
      <x:c r="K92" s="47" t="n">
        <x:f>IF(ISNUMBER(J92),1+COUNTIF($J$5:$J$121,"&gt;"&amp;J92),"")</x:f>
        <x:v>92</x:v>
      </x:c>
      <x:c r="L92" s="52" t="n">
        <x:v>2.9138339920948617</x:v>
      </x:c>
      <x:c r="M92" s="47" t="n">
        <x:f>IF(ISNUMBER(L92),1+COUNTIF($L$5:$L$121,"&gt;"&amp;L92),"")</x:f>
        <x:v>105</x:v>
      </x:c>
      <x:c r="N92" s="47" t="str">
        <x:v>SUE + CAR3</x:v>
      </x:c>
      <x:c r="O92" s="52" t="n">
        <x:f>IFERROR(INDEX('Analyst Revisions'!$K$5:$K$121,MATCH(B92,'Analyst Revisions'!$B$5:$B$121,0)),"")</x:f>
        <x:v>6.193</x:v>
      </x:c>
      <x:c r="P92" s="47" t="n">
        <x:f>IF(ISNUMBER(O92),1+COUNTIF($O$5:$O$121,"&gt;"&amp;O92),"")</x:f>
        <x:v>47</x:v>
      </x:c>
      <x:c r="Q92" s="50" t="n">
        <x:f>IFERROR(INDEX('Analyst Revisions'!$G$5:$G$121,MATCH(B92,'Analyst Revisions'!$B$5:$B$121,0)),"")</x:f>
        <x:v>1.05481</x:v>
      </x:c>
      <x:c r="R92" s="50" t="n">
        <x:f>IFERROR(INDEX('Analyst Revisions'!$H$5:$H$121,MATCH(B92,'Analyst Revisions'!$B$5:$B$121,0)),"")</x:f>
        <x:v>1.05481</x:v>
      </x:c>
      <x:c r="S92" s="317" t="n">
        <x:f>IFERROR(INDEX('Analyst Revisions'!$I$5:$I$121,MATCH(B92,'Analyst Revisions'!$B$5:$B$121,0)),"")</x:f>
        <x:v>0</x:v>
      </x:c>
      <x:c r="T92" s="47" t="str">
        <x:f>IFERROR(INDEX('Analyst Revisions'!$L$5:$L$121,MATCH(B92,'Analyst Revisions'!$B$5:$B$121,0)),"")</x:f>
        <x:v>OK</x:v>
      </x:c>
      <x:c r="U92" s="52" t="n">
        <x:v>5.735356071964017</x:v>
      </x:c>
      <x:c r="V92" s="47" t="n">
        <x:f>IF(ISNUMBER(U92),1+COUNTIF($U$5:$U$121,"&gt;"&amp;U92),"")</x:f>
        <x:v>52</x:v>
      </x:c>
      <x:c r="W92" s="52" t="n">
        <x:v>6.097413793103448</x:v>
      </x:c>
      <x:c r="X92" s="47" t="n">
        <x:f>IF(ISNUMBER(W92),1+COUNTIF($W$5:$W$121,"&gt;"&amp;W92),"")</x:f>
        <x:v>41</x:v>
      </x:c>
      <x:c r="Y92" s="52" t="n">
        <x:v>9.068965517241379</x:v>
      </x:c>
      <x:c r="Z92" s="47" t="n">
        <x:f>IF(ISNUMBER(Y92),1+COUNTIF($Y$5:$Y$121,"&gt;"&amp;Y92),"")</x:f>
        <x:v>13</x:v>
      </x:c>
      <x:c r="AA92" s="47" t="str">
        <x:v>Consumer Staples</x:v>
      </x:c>
      <x:c r="AB92" s="54" t="n">
        <x:v>46213</x:v>
      </x:c>
      <x:c r="AC92" s="54" t="n">
        <x:v>46165</x:v>
      </x:c>
      <x:c r="AD92" s="54" t="n">
        <x:v>46053</x:v>
      </x:c>
      <x:c r="AE92" s="47" t="str">
        <x:v>OK</x:v>
      </x:c>
    </x:row>
    <x:row r="93">
      <x:c r="A93" s="47" t="n">
        <x:f>IF(ISNUMBER(H93),1+COUNTIF($H$5:$H$121,"&gt;"&amp;H93),"")</x:f>
        <x:v>97</x:v>
      </x:c>
      <x:c r="B93" s="47" t="str">
        <x:v>CCC</x:v>
      </x:c>
      <x:c r="C93" s="47" t="str">
        <x:v>CCC Intelligent Solutions Holdings Inc.</x:v>
      </x:c>
      <x:c r="D93" s="49" t="str">
        <x:v>Long</x:v>
      </x:c>
      <x:c r="E93" s="49" t="n">
        <x:v>0.005222</x:v>
      </x:c>
      <x:c r="F93" s="50" t="n">
        <x:v>0.23981597989120043</x:v>
      </x:c>
      <x:c r="G93" s="50" t="n">
        <x:v>0.07787463909678498</x:v>
      </x:c>
      <x:c r="H93" s="329" t="n">
        <x:f>IFERROR((IF(ISNUMBER(J93),J93*'Methodology'!$C$5,0)+IF(ISNUMBER(L93),L93*'Methodology'!$C$6,0)+IF(ISNUMBER(O93),O93*'Methodology'!$C$7,0)+IF(ISNUMBER(U93),U93*'Methodology'!$C$8,0)+IF(ISNUMBER(W93),W93*'Methodology'!$C$9,0)+IF(ISNUMBER(Y93),Y93*'Methodology'!$C$10,0))/(IF(ISNUMBER(J93),'Methodology'!$C$5,0)+IF(ISNUMBER(L93),'Methodology'!$C$6,0)+IF(ISNUMBER(O93),'Methodology'!$C$7,0)+IF(ISNUMBER(U93),'Methodology'!$C$8,0)+IF(ISNUMBER(W93),'Methodology'!$C$9,0)+IF(ISNUMBER(Y93),'Methodology'!$C$10,0)),"")</x:f>
        <x:v>4.377274703557313</x:v>
      </x:c>
      <x:c r="I93" s="47" t="n">
        <x:f>COUNT(J93,L93,O93,U93,W93,Y93)</x:f>
        <x:v>6</x:v>
      </x:c>
      <x:c r="J93" s="52" t="n">
        <x:v>2.163793103448276</x:v>
      </x:c>
      <x:c r="K93" s="47" t="n">
        <x:f>IF(ISNUMBER(J93),1+COUNTIF($J$5:$J$121,"&gt;"&amp;J93),"")</x:f>
        <x:v>102</x:v>
      </x:c>
      <x:c r="L93" s="52" t="n">
        <x:v>7.059881422924901</x:v>
      </x:c>
      <x:c r="M93" s="47" t="n">
        <x:f>IF(ISNUMBER(L93),1+COUNTIF($L$5:$L$121,"&gt;"&amp;L93),"")</x:f>
        <x:v>23</x:v>
      </x:c>
      <x:c r="N93" s="47" t="str">
        <x:v>SUE + CAR3</x:v>
      </x:c>
      <x:c r="O93" s="52" t="n">
        <x:f>IFERROR(INDEX('Analyst Revisions'!$K$5:$K$121,MATCH(B93,'Analyst Revisions'!$B$5:$B$121,0)),"")</x:f>
        <x:v>3.5559999999999996</x:v>
      </x:c>
      <x:c r="P93" s="47" t="n">
        <x:f>IF(ISNUMBER(O93),1+COUNTIF($O$5:$O$121,"&gt;"&amp;O93),"")</x:f>
        <x:v>82</x:v>
      </x:c>
      <x:c r="Q93" s="50" t="n">
        <x:f>IFERROR(INDEX('Analyst Revisions'!$G$5:$G$121,MATCH(B93,'Analyst Revisions'!$B$5:$B$121,0)),"")</x:f>
        <x:v>0.11085</x:v>
      </x:c>
      <x:c r="R93" s="50" t="n">
        <x:f>IFERROR(INDEX('Analyst Revisions'!$H$5:$H$121,MATCH(B93,'Analyst Revisions'!$B$5:$B$121,0)),"")</x:f>
        <x:v>0.1132</x:v>
      </x:c>
      <x:c r="S93" s="317" t="n">
        <x:f>IFERROR(INDEX('Analyst Revisions'!$I$5:$I$121,MATCH(B93,'Analyst Revisions'!$B$5:$B$121,0)),"")</x:f>
        <x:v>-0.020759717314487555</x:v>
      </x:c>
      <x:c r="T93" s="47" t="str">
        <x:f>IFERROR(INDEX('Analyst Revisions'!$L$5:$L$121,MATCH(B93,'Analyst Revisions'!$B$5:$B$121,0)),"")</x:f>
        <x:v>OK</x:v>
      </x:c>
      <x:c r="U93" s="52" t="n">
        <x:v>4.929066716641679</x:v>
      </x:c>
      <x:c r="V93" s="47" t="n">
        <x:f>IF(ISNUMBER(U93),1+COUNTIF($U$5:$U$121,"&gt;"&amp;U93),"")</x:f>
        <x:v>74</x:v>
      </x:c>
      <x:c r="W93" s="52" t="n">
        <x:v>4.50844827586207</x:v>
      </x:c>
      <x:c r="X93" s="47" t="n">
        <x:f>IF(ISNUMBER(W93),1+COUNTIF($W$5:$W$121,"&gt;"&amp;W93),"")</x:f>
        <x:v>69</x:v>
      </x:c>
      <x:c r="Y93" s="52" t="n">
        <x:v>3.870689655172414</x:v>
      </x:c>
      <x:c r="Z93" s="47" t="n">
        <x:f>IF(ISNUMBER(Y93),1+COUNTIF($Y$5:$Y$121,"&gt;"&amp;Y93),"")</x:f>
        <x:v>80</x:v>
      </x:c>
      <x:c r="AA93" s="47" t="str">
        <x:v>Technology</x:v>
      </x:c>
      <x:c r="AB93" s="54" t="n">
        <x:v>46213</x:v>
      </x:c>
      <x:c r="AC93" s="54" t="n">
        <x:v>46022</x:v>
      </x:c>
      <x:c r="AD93" s="54" t="n">
        <x:v>46022</x:v>
      </x:c>
      <x:c r="AE93" s="47" t="str">
        <x:v>OK</x:v>
      </x:c>
    </x:row>
    <x:row r="94">
      <x:c r="A94" s="47" t="n">
        <x:f>IF(ISNUMBER(H94),1+COUNTIF($H$5:$H$121,"&gt;"&amp;H94),"")</x:f>
        <x:v>71</x:v>
      </x:c>
      <x:c r="B94" s="47" t="str">
        <x:v>WELL</x:v>
      </x:c>
      <x:c r="C94" s="47" t="str">
        <x:v>Welltower Inc. REIT</x:v>
      </x:c>
      <x:c r="D94" s="49" t="str">
        <x:v>Long</x:v>
      </x:c>
      <x:c r="E94" s="49" t="n">
        <x:v>0.004381</x:v>
      </x:c>
      <x:c r="F94" s="50" t="n">
        <x:v>0.3778856916466246</x:v>
      </x:c>
      <x:c r="G94" s="50" t="n">
        <x:v>0.09811960782404805</x:v>
      </x:c>
      <x:c r="H94" s="329" t="n">
        <x:f>IFERROR((IF(ISNUMBER(J94),J94*'Methodology'!$C$5,0)+IF(ISNUMBER(L94),L94*'Methodology'!$C$6,0)+IF(ISNUMBER(O94),O94*'Methodology'!$C$7,0)+IF(ISNUMBER(U94),U94*'Methodology'!$C$8,0)+IF(ISNUMBER(W94),W94*'Methodology'!$C$9,0)+IF(ISNUMBER(Y94),Y94*'Methodology'!$C$10,0))/(IF(ISNUMBER(J94),'Methodology'!$C$5,0)+IF(ISNUMBER(L94),'Methodology'!$C$6,0)+IF(ISNUMBER(O94),'Methodology'!$C$7,0)+IF(ISNUMBER(U94),'Methodology'!$C$8,0)+IF(ISNUMBER(W94),'Methodology'!$C$9,0)+IF(ISNUMBER(Y94),'Methodology'!$C$10,0)),"")</x:f>
        <x:v>5.170600926809322</x:v>
      </x:c>
      <x:c r="I94" s="47" t="n">
        <x:f>COUNT(J94,L94,O94,U94,W94,Y94)</x:f>
        <x:v>6</x:v>
      </x:c>
      <x:c r="J94" s="52" t="n">
        <x:v>3.25</x:v>
      </x:c>
      <x:c r="K94" s="47" t="n">
        <x:f>IF(ISNUMBER(J94),1+COUNTIF($J$5:$J$121,"&gt;"&amp;J94),"")</x:f>
        <x:v>88</x:v>
      </x:c>
      <x:c r="L94" s="52" t="n">
        <x:v>8.4899209486166</x:v>
      </x:c>
      <x:c r="M94" s="47" t="n">
        <x:f>IF(ISNUMBER(L94),1+COUNTIF($L$5:$L$121,"&gt;"&amp;L94),"")</x:f>
        <x:v>10</x:v>
      </x:c>
      <x:c r="N94" s="47" t="str">
        <x:v>SUE + CAR3</x:v>
      </x:c>
      <x:c r="O94" s="52" t="n">
        <x:f>IFERROR(INDEX('Analyst Revisions'!$K$5:$K$121,MATCH(B94,'Analyst Revisions'!$B$5:$B$121,0)),"")</x:f>
        <x:v>8.361999999999998</x:v>
      </x:c>
      <x:c r="P94" s="47" t="n">
        <x:f>IF(ISNUMBER(O94),1+COUNTIF($O$5:$O$121,"&gt;"&amp;O94),"")</x:f>
        <x:v>22</x:v>
      </x:c>
      <x:c r="Q94" s="50" t="n">
        <x:f>IFERROR(INDEX('Analyst Revisions'!$G$5:$G$121,MATCH(B94,'Analyst Revisions'!$B$5:$B$121,0)),"")</x:f>
        <x:v>0.68</x:v>
      </x:c>
      <x:c r="R94" s="50" t="n">
        <x:f>IFERROR(INDEX('Analyst Revisions'!$H$5:$H$121,MATCH(B94,'Analyst Revisions'!$B$5:$B$121,0)),"")</x:f>
        <x:v>0.665</x:v>
      </x:c>
      <x:c r="S94" s="317" t="n">
        <x:f>IFERROR(INDEX('Analyst Revisions'!$I$5:$I$121,MATCH(B94,'Analyst Revisions'!$B$5:$B$121,0)),"")</x:f>
        <x:v>0.02255639097744363</x:v>
      </x:c>
      <x:c r="T94" s="47" t="str">
        <x:f>IFERROR(INDEX('Analyst Revisions'!$L$5:$L$121,MATCH(B94,'Analyst Revisions'!$B$5:$B$121,0)),"")</x:f>
        <x:v>THIN COVERAGE</x:v>
      </x:c>
      <x:c r="U94" s="52" t="n">
        <x:v>3.0172413793103448</x:v>
      </x:c>
      <x:c r="V94" s="47" t="n">
        <x:f>IF(ISNUMBER(U94),1+COUNTIF($U$5:$U$121,"&gt;"&amp;U94),"")</x:f>
        <x:v>107</x:v>
      </x:c>
      <x:c r="W94" s="52" t="n">
        <x:v>1.387931034482759</x:v>
      </x:c>
      <x:c r="X94" s="47" t="n">
        <x:f>IF(ISNUMBER(W94),1+COUNTIF($W$5:$W$121,"&gt;"&amp;W94),"")</x:f>
        <x:v>114</x:v>
      </x:c>
      <x:c r="Y94" s="52" t="n">
        <x:v>3.1724137931034484</x:v>
      </x:c>
      <x:c r="Z94" s="47" t="n">
        <x:f>IF(ISNUMBER(Y94),1+COUNTIF($Y$5:$Y$121,"&gt;"&amp;Y94),"")</x:f>
        <x:v>89</x:v>
      </x:c>
      <x:c r="AA94" s="47" t="str">
        <x:v>Real Estate</x:v>
      </x:c>
      <x:c r="AB94" s="54" t="n">
        <x:v>46213</x:v>
      </x:c>
      <x:c r="AC94" s="54" t="n">
        <x:v>46112</x:v>
      </x:c>
      <x:c r="AD94" s="54" t="n">
        <x:v>46022</x:v>
      </x:c>
      <x:c r="AE94" s="47" t="str">
        <x:v>OK</x:v>
      </x:c>
    </x:row>
    <x:row r="95">
      <x:c r="A95" s="47" t="n">
        <x:f>IF(ISNUMBER(H95),1+COUNTIF($H$5:$H$121,"&gt;"&amp;H95),"")</x:f>
        <x:v>96</x:v>
      </x:c>
      <x:c r="B95" s="47" t="str">
        <x:v>LIN</x:v>
      </x:c>
      <x:c r="C95" s="47" t="str">
        <x:v>Linde PLC</x:v>
      </x:c>
      <x:c r="D95" s="49" t="str">
        <x:v>Long</x:v>
      </x:c>
      <x:c r="E95" s="49" t="n">
        <x:v>0.003644</x:v>
      </x:c>
      <x:c r="F95" s="50" t="n">
        <x:v>0.392294158588773</x:v>
      </x:c>
      <x:c r="G95" s="50" t="n">
        <x:v>0.11492284441123202</x:v>
      </x:c>
      <x:c r="H95" s="329" t="n">
        <x:f>IFERROR((IF(ISNUMBER(J95),J95*'Methodology'!$C$5,0)+IF(ISNUMBER(L95),L95*'Methodology'!$C$6,0)+IF(ISNUMBER(O95),O95*'Methodology'!$C$7,0)+IF(ISNUMBER(U95),U95*'Methodology'!$C$8,0)+IF(ISNUMBER(W95),W95*'Methodology'!$C$9,0)+IF(ISNUMBER(Y95),Y95*'Methodology'!$C$10,0))/(IF(ISNUMBER(J95),'Methodology'!$C$5,0)+IF(ISNUMBER(L95),'Methodology'!$C$6,0)+IF(ISNUMBER(O95),'Methodology'!$C$7,0)+IF(ISNUMBER(U95),'Methodology'!$C$8,0)+IF(ISNUMBER(W95),'Methodology'!$C$9,0)+IF(ISNUMBER(Y95),'Methodology'!$C$10,0)),"")</x:f>
        <x:v>4.387292149379855</x:v>
      </x:c>
      <x:c r="I95" s="47" t="n">
        <x:f>COUNT(J95,L95,O95,U95,W95,Y95)</x:f>
        <x:v>6</x:v>
      </x:c>
      <x:c r="J95" s="52" t="n">
        <x:v>4.724137931034482</x:v>
      </x:c>
      <x:c r="K95" s="47" t="n">
        <x:f>IF(ISNUMBER(J95),1+COUNTIF($J$5:$J$121,"&gt;"&amp;J95),"")</x:f>
        <x:v>69</x:v>
      </x:c>
      <x:c r="L95" s="52" t="n">
        <x:v>6.1527667984189724</x:v>
      </x:c>
      <x:c r="M95" s="47" t="n">
        <x:f>IF(ISNUMBER(L95),1+COUNTIF($L$5:$L$121,"&gt;"&amp;L95),"")</x:f>
        <x:v>42</x:v>
      </x:c>
      <x:c r="N95" s="47" t="str">
        <x:v>SUE + CAR3</x:v>
      </x:c>
      <x:c r="O95" s="52" t="n">
        <x:f>IFERROR(INDEX('Analyst Revisions'!$K$5:$K$121,MATCH(B95,'Analyst Revisions'!$B$5:$B$121,0)),"")</x:f>
        <x:v>3.79</x:v>
      </x:c>
      <x:c r="P95" s="47" t="n">
        <x:f>IF(ISNUMBER(O95),1+COUNTIF($O$5:$O$121,"&gt;"&amp;O95),"")</x:f>
        <x:v>79</x:v>
      </x:c>
      <x:c r="Q95" s="50" t="n">
        <x:f>IFERROR(INDEX('Analyst Revisions'!$G$5:$G$121,MATCH(B95,'Analyst Revisions'!$B$5:$B$121,0)),"")</x:f>
        <x:v>4.52</x:v>
      </x:c>
      <x:c r="R95" s="50" t="n">
        <x:f>IFERROR(INDEX('Analyst Revisions'!$H$5:$H$121,MATCH(B95,'Analyst Revisions'!$B$5:$B$121,0)),"")</x:f>
        <x:v>4.61</x:v>
      </x:c>
      <x:c r="S95" s="317" t="n">
        <x:f>IFERROR(INDEX('Analyst Revisions'!$I$5:$I$121,MATCH(B95,'Analyst Revisions'!$B$5:$B$121,0)),"")</x:f>
        <x:v>-0.019522776572668273</x:v>
      </x:c>
      <x:c r="T95" s="47" t="str">
        <x:f>IFERROR(INDEX('Analyst Revisions'!$L$5:$L$121,MATCH(B95,'Analyst Revisions'!$B$5:$B$121,0)),"")</x:f>
        <x:v>OK</x:v>
      </x:c>
      <x:c r="U95" s="52" t="n">
        <x:v>2.666214392803598</x:v>
      </x:c>
      <x:c r="V95" s="47" t="n">
        <x:f>IF(ISNUMBER(U95),1+COUNTIF($U$5:$U$121,"&gt;"&amp;U95),"")</x:f>
        <x:v>112</x:v>
      </x:c>
      <x:c r="W95" s="52" t="n">
        <x:v>3.7217241379310346</x:v>
      </x:c>
      <x:c r="X95" s="47" t="n">
        <x:f>IF(ISNUMBER(W95),1+COUNTIF($W$5:$W$121,"&gt;"&amp;W95),"")</x:f>
        <x:v>86</x:v>
      </x:c>
      <x:c r="Y95" s="52" t="n">
        <x:v>2.9396551724137927</x:v>
      </x:c>
      <x:c r="Z95" s="47" t="n">
        <x:f>IF(ISNUMBER(Y95),1+COUNTIF($Y$5:$Y$121,"&gt;"&amp;Y95),"")</x:f>
        <x:v>92</x:v>
      </x:c>
      <x:c r="AA95" s="47" t="str">
        <x:v>Basic Materials</x:v>
      </x:c>
      <x:c r="AB95" s="54" t="n">
        <x:v>46213</x:v>
      </x:c>
      <x:c r="AC95" s="54" t="n">
        <x:v>46112</x:v>
      </x:c>
      <x:c r="AD95" s="54" t="n">
        <x:v>46022</x:v>
      </x:c>
      <x:c r="AE95" s="47" t="str">
        <x:v>OK</x:v>
      </x:c>
    </x:row>
    <x:row r="96">
      <x:c r="A96" s="47" t="n">
        <x:f>IF(ISNUMBER(H96),1+COUNTIF($H$5:$H$121,"&gt;"&amp;H96),"")</x:f>
        <x:v>104</x:v>
      </x:c>
      <x:c r="B96" s="47" t="str">
        <x:v>VTR</x:v>
      </x:c>
      <x:c r="C96" s="47" t="str">
        <x:v>Ventas Inc. REIT</x:v>
      </x:c>
      <x:c r="D96" s="49" t="str">
        <x:v>Long</x:v>
      </x:c>
      <x:c r="E96" s="49" t="n">
        <x:v>0.004053</x:v>
      </x:c>
      <x:c r="F96" s="50" t="n">
        <x:v>0.3429567615360264</x:v>
      </x:c>
      <x:c r="G96" s="50" t="n">
        <x:v>0.09621604522945264</x:v>
      </x:c>
      <x:c r="H96" s="329" t="n">
        <x:f>IFERROR((IF(ISNUMBER(J96),J96*'Methodology'!$C$5,0)+IF(ISNUMBER(L96),L96*'Methodology'!$C$6,0)+IF(ISNUMBER(O96),O96*'Methodology'!$C$7,0)+IF(ISNUMBER(U96),U96*'Methodology'!$C$8,0)+IF(ISNUMBER(W96),W96*'Methodology'!$C$9,0)+IF(ISNUMBER(Y96),Y96*'Methodology'!$C$10,0))/(IF(ISNUMBER(J96),'Methodology'!$C$5,0)+IF(ISNUMBER(L96),'Methodology'!$C$6,0)+IF(ISNUMBER(O96),'Methodology'!$C$7,0)+IF(ISNUMBER(U96),'Methodology'!$C$8,0)+IF(ISNUMBER(W96),'Methodology'!$C$9,0)+IF(ISNUMBER(Y96),'Methodology'!$C$10,0)),"")</x:f>
        <x:v>3.9966206215074283</x:v>
      </x:c>
      <x:c r="I96" s="47" t="n">
        <x:f>COUNT(J96,L96,O96,U96,W96,Y96)</x:f>
        <x:v>6</x:v>
      </x:c>
      <x:c r="J96" s="52" t="n">
        <x:v>2.396551724137931</x:v>
      </x:c>
      <x:c r="K96" s="47" t="n">
        <x:f>IF(ISNUMBER(J96),1+COUNTIF($J$5:$J$121,"&gt;"&amp;J96),"")</x:f>
        <x:v>99</x:v>
      </x:c>
      <x:c r="L96" s="52" t="n">
        <x:v>6.663241106719367</x:v>
      </x:c>
      <x:c r="M96" s="47" t="n">
        <x:f>IF(ISNUMBER(L96),1+COUNTIF($L$5:$L$121,"&gt;"&amp;L96),"")</x:f>
        <x:v>34</x:v>
      </x:c>
      <x:c r="N96" s="47" t="str">
        <x:v>SUE + CAR3</x:v>
      </x:c>
      <x:c r="O96" s="52" t="n">
        <x:f>IFERROR(INDEX('Analyst Revisions'!$K$5:$K$121,MATCH(B96,'Analyst Revisions'!$B$5:$B$121,0)),"")</x:f>
        <x:v>1.459</x:v>
      </x:c>
      <x:c r="P96" s="47" t="n">
        <x:f>IF(ISNUMBER(O96),1+COUNTIF($O$5:$O$121,"&gt;"&amp;O96),"")</x:f>
        <x:v>109</x:v>
      </x:c>
      <x:c r="Q96" s="50" t="n">
        <x:f>IFERROR(INDEX('Analyst Revisions'!$G$5:$G$121,MATCH(B96,'Analyst Revisions'!$B$5:$B$121,0)),"")</x:f>
        <x:v>0.11</x:v>
      </x:c>
      <x:c r="R96" s="50" t="n">
        <x:f>IFERROR(INDEX('Analyst Revisions'!$H$5:$H$121,MATCH(B96,'Analyst Revisions'!$B$5:$B$121,0)),"")</x:f>
        <x:v>0.15</x:v>
      </x:c>
      <x:c r="S96" s="317" t="n">
        <x:f>IFERROR(INDEX('Analyst Revisions'!$I$5:$I$121,MATCH(B96,'Analyst Revisions'!$B$5:$B$121,0)),"")</x:f>
        <x:v>-0.26666666666666666</x:v>
      </x:c>
      <x:c r="T96" s="47" t="str">
        <x:f>IFERROR(INDEX('Analyst Revisions'!$L$5:$L$121,MATCH(B96,'Analyst Revisions'!$B$5:$B$121,0)),"")</x:f>
        <x:v>THIN COVERAGE</x:v>
      </x:c>
      <x:c r="U96" s="52" t="n">
        <x:v>3.094827586206897</x:v>
      </x:c>
      <x:c r="V96" s="47" t="n">
        <x:f>IF(ISNUMBER(U96),1+COUNTIF($U$5:$U$121,"&gt;"&amp;U96),"")</x:f>
        <x:v>104</x:v>
      </x:c>
      <x:c r="W96" s="52" t="n">
        <x:v>6.663793103448276</x:v>
      </x:c>
      <x:c r="X96" s="47" t="n">
        <x:f>IF(ISNUMBER(W96),1+COUNTIF($W$5:$W$121,"&gt;"&amp;W96),"")</x:f>
        <x:v>30</x:v>
      </x:c>
      <x:c r="Y96" s="52" t="n">
        <x:v>3.6379310344827585</x:v>
      </x:c>
      <x:c r="Z96" s="47" t="n">
        <x:f>IF(ISNUMBER(Y96),1+COUNTIF($Y$5:$Y$121,"&gt;"&amp;Y96),"")</x:f>
        <x:v>83</x:v>
      </x:c>
      <x:c r="AA96" s="47" t="str">
        <x:v>Real Estate</x:v>
      </x:c>
      <x:c r="AB96" s="54" t="n">
        <x:v>46213</x:v>
      </x:c>
      <x:c r="AC96" s="54" t="n">
        <x:v>46112</x:v>
      </x:c>
      <x:c r="AD96" s="54" t="n">
        <x:v>46022</x:v>
      </x:c>
      <x:c r="AE96" s="47" t="str">
        <x:v>OK</x:v>
      </x:c>
    </x:row>
    <x:row r="97">
      <x:c r="A97" s="47" t="n">
        <x:f>IF(ISNUMBER(H97),1+COUNTIF($H$5:$H$121,"&gt;"&amp;H97),"")</x:f>
        <x:v>91</x:v>
      </x:c>
      <x:c r="B97" s="47" t="str">
        <x:v>PR</x:v>
      </x:c>
      <x:c r="C97" s="47" t="str">
        <x:v>Permian Resources Corp.</x:v>
      </x:c>
      <x:c r="D97" s="49" t="str">
        <x:v>Long</x:v>
      </x:c>
      <x:c r="E97" s="49" t="n">
        <x:v>0.003754</x:v>
      </x:c>
      <x:c r="F97" s="50" t="n">
        <x:v>0.07388309590108909</x:v>
      </x:c>
      <x:c r="G97" s="50" t="n">
        <x:v>-0.0802880697844768</x:v>
      </x:c>
      <x:c r="H97" s="329" t="n">
        <x:f>IFERROR((IF(ISNUMBER(J97),J97*'Methodology'!$C$5,0)+IF(ISNUMBER(L97),L97*'Methodology'!$C$6,0)+IF(ISNUMBER(O97),O97*'Methodology'!$C$7,0)+IF(ISNUMBER(U97),U97*'Methodology'!$C$8,0)+IF(ISNUMBER(W97),W97*'Methodology'!$C$9,0)+IF(ISNUMBER(Y97),Y97*'Methodology'!$C$10,0))/(IF(ISNUMBER(J97),'Methodology'!$C$5,0)+IF(ISNUMBER(L97),'Methodology'!$C$6,0)+IF(ISNUMBER(O97),'Methodology'!$C$7,0)+IF(ISNUMBER(U97),'Methodology'!$C$8,0)+IF(ISNUMBER(W97),'Methodology'!$C$9,0)+IF(ISNUMBER(Y97),'Methodology'!$C$10,0)),"")</x:f>
        <x:v>4.449568806505837</x:v>
      </x:c>
      <x:c r="I97" s="47" t="n">
        <x:f>COUNT(J97,L97,O97,U97,W97,Y97)</x:f>
        <x:v>6</x:v>
      </x:c>
      <x:c r="J97" s="52" t="n">
        <x:v>4.103448275862069</x:v>
      </x:c>
      <x:c r="K97" s="47" t="n">
        <x:f>IF(ISNUMBER(J97),1+COUNTIF($J$5:$J$121,"&gt;"&amp;J97),"")</x:f>
        <x:v>77</x:v>
      </x:c>
      <x:c r="L97" s="52" t="n">
        <x:v>1.6011857707509882</x:v>
      </x:c>
      <x:c r="M97" s="47" t="n">
        <x:f>IF(ISNUMBER(L97),1+COUNTIF($L$5:$L$121,"&gt;"&amp;L97),"")</x:f>
        <x:v>115</x:v>
      </x:c>
      <x:c r="N97" s="47" t="str">
        <x:v>SUE + CAR3</x:v>
      </x:c>
      <x:c r="O97" s="52" t="n">
        <x:f>IFERROR(INDEX('Analyst Revisions'!$K$5:$K$121,MATCH(B97,'Analyst Revisions'!$B$5:$B$121,0)),"")</x:f>
        <x:v>4.564</x:v>
      </x:c>
      <x:c r="P97" s="47" t="n">
        <x:f>IF(ISNUMBER(O97),1+COUNTIF($O$5:$O$121,"&gt;"&amp;O97),"")</x:f>
        <x:v>69</x:v>
      </x:c>
      <x:c r="Q97" s="50" t="n">
        <x:f>IFERROR(INDEX('Analyst Revisions'!$G$5:$G$121,MATCH(B97,'Analyst Revisions'!$B$5:$B$121,0)),"")</x:f>
        <x:v>0.51446</x:v>
      </x:c>
      <x:c r="R97" s="50" t="n">
        <x:f>IFERROR(INDEX('Analyst Revisions'!$H$5:$H$121,MATCH(B97,'Analyst Revisions'!$B$5:$B$121,0)),"")</x:f>
        <x:v>0.51953</x:v>
      </x:c>
      <x:c r="S97" s="317" t="n">
        <x:f>IFERROR(INDEX('Analyst Revisions'!$I$5:$I$121,MATCH(B97,'Analyst Revisions'!$B$5:$B$121,0)),"")</x:f>
        <x:v>-0.009758820472350044</x:v>
      </x:c>
      <x:c r="T97" s="47" t="str">
        <x:f>IFERROR(INDEX('Analyst Revisions'!$L$5:$L$121,MATCH(B97,'Analyst Revisions'!$B$5:$B$121,0)),"")</x:f>
        <x:v>OK</x:v>
      </x:c>
      <x:c r="U97" s="52" t="n">
        <x:v>5.873313343328336</x:v>
      </x:c>
      <x:c r="V97" s="47" t="n">
        <x:f>IF(ISNUMBER(U97),1+COUNTIF($U$5:$U$121,"&gt;"&amp;U97),"")</x:f>
        <x:v>49</x:v>
      </x:c>
      <x:c r="W97" s="52" t="n">
        <x:v>6.043103448275861</x:v>
      </x:c>
      <x:c r="X97" s="47" t="n">
        <x:f>IF(ISNUMBER(W97),1+COUNTIF($W$5:$W$121,"&gt;"&amp;W97),"")</x:f>
        <x:v>43</x:v>
      </x:c>
      <x:c r="Y97" s="52" t="n">
        <x:v>8.448275862068964</x:v>
      </x:c>
      <x:c r="Z97" s="47" t="n">
        <x:f>IF(ISNUMBER(Y97),1+COUNTIF($Y$5:$Y$121,"&gt;"&amp;Y97),"")</x:f>
        <x:v>21</x:v>
      </x:c>
      <x:c r="AA97" s="47" t="str">
        <x:v>Energy</x:v>
      </x:c>
      <x:c r="AB97" s="54" t="n">
        <x:v>46213</x:v>
      </x:c>
      <x:c r="AC97" s="54" t="n">
        <x:v>46112</x:v>
      </x:c>
      <x:c r="AD97" s="54" t="n">
        <x:v>46022</x:v>
      </x:c>
      <x:c r="AE97" s="47" t="str">
        <x:v>OK</x:v>
      </x:c>
    </x:row>
    <x:row r="98">
      <x:c r="A98" s="47" t="n">
        <x:f>IF(ISNUMBER(H98),1+COUNTIF($H$5:$H$121,"&gt;"&amp;H98),"")</x:f>
        <x:v>98</x:v>
      </x:c>
      <x:c r="B98" s="47" t="str">
        <x:v>ADC</x:v>
      </x:c>
      <x:c r="C98" s="47" t="str">
        <x:v>Agree Realty Corp. REIT</x:v>
      </x:c>
      <x:c r="D98" s="49" t="str">
        <x:v>Long</x:v>
      </x:c>
      <x:c r="E98" s="49" t="n">
        <x:v>0.004155</x:v>
      </x:c>
      <x:c r="F98" s="50" t="n">
        <x:v>0.32584594416795964</x:v>
      </x:c>
      <x:c r="G98" s="50" t="n">
        <x:v>0.14709284522977262</x:v>
      </x:c>
      <x:c r="H98" s="329" t="n">
        <x:f>IFERROR((IF(ISNUMBER(J98),J98*'Methodology'!$C$5,0)+IF(ISNUMBER(L98),L98*'Methodology'!$C$6,0)+IF(ISNUMBER(O98),O98*'Methodology'!$C$7,0)+IF(ISNUMBER(U98),U98*'Methodology'!$C$8,0)+IF(ISNUMBER(W98),W98*'Methodology'!$C$9,0)+IF(ISNUMBER(Y98),Y98*'Methodology'!$C$10,0))/(IF(ISNUMBER(J98),'Methodology'!$C$5,0)+IF(ISNUMBER(L98),'Methodology'!$C$6,0)+IF(ISNUMBER(O98),'Methodology'!$C$7,0)+IF(ISNUMBER(U98),'Methodology'!$C$8,0)+IF(ISNUMBER(W98),'Methodology'!$C$9,0)+IF(ISNUMBER(Y98),'Methodology'!$C$10,0)),"")</x:f>
        <x:v>4.228451546953796</x:v>
      </x:c>
      <x:c r="I98" s="47" t="n">
        <x:f>COUNT(J98,L98,O98,U98,W98,Y98)</x:f>
        <x:v>6</x:v>
      </x:c>
      <x:c r="J98" s="52" t="n">
        <x:v>4.568965517241379</x:v>
      </x:c>
      <x:c r="K98" s="47" t="n">
        <x:f>IF(ISNUMBER(J98),1+COUNTIF($J$5:$J$121,"&gt;"&amp;J98),"")</x:f>
        <x:v>71</x:v>
      </x:c>
      <x:c r="L98" s="52" t="n">
        <x:v>5.914426877470356</x:v>
      </x:c>
      <x:c r="M98" s="47" t="n">
        <x:f>IF(ISNUMBER(L98),1+COUNTIF($L$5:$L$121,"&gt;"&amp;L98),"")</x:f>
        <x:v>50</x:v>
      </x:c>
      <x:c r="N98" s="47" t="str">
        <x:v>SUE + CAR3</x:v>
      </x:c>
      <x:c r="O98" s="52" t="n">
        <x:f>IFERROR(INDEX('Analyst Revisions'!$K$5:$K$121,MATCH(B98,'Analyst Revisions'!$B$5:$B$121,0)),"")</x:f>
        <x:v>3.637</x:v>
      </x:c>
      <x:c r="P98" s="47" t="n">
        <x:f>IF(ISNUMBER(O98),1+COUNTIF($O$5:$O$121,"&gt;"&amp;O98),"")</x:f>
        <x:v>81</x:v>
      </x:c>
      <x:c r="Q98" s="50" t="n">
        <x:f>IFERROR(INDEX('Analyst Revisions'!$G$5:$G$121,MATCH(B98,'Analyst Revisions'!$B$5:$B$121,0)),"")</x:f>
        <x:v>0.46</x:v>
      </x:c>
      <x:c r="R98" s="50" t="n">
        <x:f>IFERROR(INDEX('Analyst Revisions'!$H$5:$H$121,MATCH(B98,'Analyst Revisions'!$B$5:$B$121,0)),"")</x:f>
        <x:v>0.46922</x:v>
      </x:c>
      <x:c r="S98" s="317" t="n">
        <x:f>IFERROR(INDEX('Analyst Revisions'!$I$5:$I$121,MATCH(B98,'Analyst Revisions'!$B$5:$B$121,0)),"")</x:f>
        <x:v>-0.019649631303013525</x:v>
      </x:c>
      <x:c r="T98" s="47" t="str">
        <x:f>IFERROR(INDEX('Analyst Revisions'!$L$5:$L$121,MATCH(B98,'Analyst Revisions'!$B$5:$B$121,0)),"")</x:f>
        <x:v>THIN COVERAGE</x:v>
      </x:c>
      <x:c r="U98" s="52" t="n">
        <x:v>5.306034482758621</x:v>
      </x:c>
      <x:c r="V98" s="47" t="n">
        <x:f>IF(ISNUMBER(U98),1+COUNTIF($U$5:$U$121,"&gt;"&amp;U98),"")</x:f>
        <x:v>64</x:v>
      </x:c>
      <x:c r="W98" s="52" t="n">
        <x:v>2.163793103448276</x:v>
      </x:c>
      <x:c r="X98" s="47" t="n">
        <x:f>IF(ISNUMBER(W98),1+COUNTIF($W$5:$W$121,"&gt;"&amp;W98),"")</x:f>
        <x:v>109</x:v>
      </x:c>
      <x:c r="Y98" s="52" t="n">
        <x:v>1.543103448275862</x:v>
      </x:c>
      <x:c r="Z98" s="47" t="n">
        <x:f>IF(ISNUMBER(Y98),1+COUNTIF($Y$5:$Y$121,"&gt;"&amp;Y98),"")</x:f>
        <x:v>110</x:v>
      </x:c>
      <x:c r="AA98" s="47" t="str">
        <x:v>Real Estate</x:v>
      </x:c>
      <x:c r="AB98" s="54" t="n">
        <x:v>46213</x:v>
      </x:c>
      <x:c r="AC98" s="54" t="n">
        <x:v>46112</x:v>
      </x:c>
      <x:c r="AD98" s="54" t="n">
        <x:v>46022</x:v>
      </x:c>
      <x:c r="AE98" s="47" t="str">
        <x:v>OK</x:v>
      </x:c>
    </x:row>
    <x:row r="99">
      <x:c r="A99" s="47" t="n">
        <x:f>IF(ISNUMBER(H99),1+COUNTIF($H$5:$H$121,"&gt;"&amp;H99),"")</x:f>
        <x:v>86</x:v>
      </x:c>
      <x:c r="B99" s="47" t="str">
        <x:v>RSG</x:v>
      </x:c>
      <x:c r="C99" s="47" t="str">
        <x:v>Republic Services Inc.</x:v>
      </x:c>
      <x:c r="D99" s="49" t="str">
        <x:v>Long</x:v>
      </x:c>
      <x:c r="E99" s="49" t="n">
        <x:v>0.004146</x:v>
      </x:c>
      <x:c r="F99" s="50" t="n">
        <x:v>0.1356140238804152</x:v>
      </x:c>
      <x:c r="G99" s="50" t="n">
        <x:v>0.04765566932139244</x:v>
      </x:c>
      <x:c r="H99" s="329" t="n">
        <x:f>IFERROR((IF(ISNUMBER(J99),J99*'Methodology'!$C$5,0)+IF(ISNUMBER(L99),L99*'Methodology'!$C$6,0)+IF(ISNUMBER(O99),O99*'Methodology'!$C$7,0)+IF(ISNUMBER(U99),U99*'Methodology'!$C$8,0)+IF(ISNUMBER(W99),W99*'Methodology'!$C$9,0)+IF(ISNUMBER(Y99),Y99*'Methodology'!$C$10,0))/(IF(ISNUMBER(J99),'Methodology'!$C$5,0)+IF(ISNUMBER(L99),'Methodology'!$C$6,0)+IF(ISNUMBER(O99),'Methodology'!$C$7,0)+IF(ISNUMBER(U99),'Methodology'!$C$8,0)+IF(ISNUMBER(W99),'Methodology'!$C$9,0)+IF(ISNUMBER(Y99),'Methodology'!$C$10,0)),"")</x:f>
        <x:v>4.5417743628185905</x:v>
      </x:c>
      <x:c r="I99" s="47" t="n">
        <x:f>COUNT(J99,L99,O99,U99,W99,Y99)</x:f>
        <x:v>6</x:v>
      </x:c>
      <x:c r="J99" s="52" t="n">
        <x:v>3.405172413793103</x:v>
      </x:c>
      <x:c r="K99" s="47" t="n">
        <x:f>IF(ISNUMBER(J99),1+COUNTIF($J$5:$J$121,"&gt;"&amp;J99),"")</x:f>
        <x:v>86</x:v>
      </x:c>
      <x:c r="L99" s="52" t="n">
        <x:v>5.910869565217391</x:v>
      </x:c>
      <x:c r="M99" s="47" t="n">
        <x:f>IF(ISNUMBER(L99),1+COUNTIF($L$5:$L$121,"&gt;"&amp;L99),"")</x:f>
        <x:v>51</x:v>
      </x:c>
      <x:c r="N99" s="47" t="str">
        <x:v>SUE + CAR3</x:v>
      </x:c>
      <x:c r="O99" s="52" t="n">
        <x:f>IFERROR(INDEX('Analyst Revisions'!$K$5:$K$121,MATCH(B99,'Analyst Revisions'!$B$5:$B$121,0)),"")</x:f>
        <x:v>5.6530000000000005</x:v>
      </x:c>
      <x:c r="P99" s="47" t="n">
        <x:f>IF(ISNUMBER(O99),1+COUNTIF($O$5:$O$121,"&gt;"&amp;O99),"")</x:f>
        <x:v>55</x:v>
      </x:c>
      <x:c r="Q99" s="50" t="n">
        <x:f>IFERROR(INDEX('Analyst Revisions'!$G$5:$G$121,MATCH(B99,'Analyst Revisions'!$B$5:$B$121,0)),"")</x:f>
        <x:v>1.92572</x:v>
      </x:c>
      <x:c r="R99" s="50" t="n">
        <x:f>IFERROR(INDEX('Analyst Revisions'!$H$5:$H$121,MATCH(B99,'Analyst Revisions'!$B$5:$B$121,0)),"")</x:f>
        <x:v>1.9322</x:v>
      </x:c>
      <x:c r="S99" s="317" t="n">
        <x:f>IFERROR(INDEX('Analyst Revisions'!$I$5:$I$121,MATCH(B99,'Analyst Revisions'!$B$5:$B$121,0)),"")</x:f>
        <x:v>-0.0033536900941930543</x:v>
      </x:c>
      <x:c r="T99" s="47" t="str">
        <x:f>IFERROR(INDEX('Analyst Revisions'!$L$5:$L$121,MATCH(B99,'Analyst Revisions'!$B$5:$B$121,0)),"")</x:f>
        <x:v>OK</x:v>
      </x:c>
      <x:c r="U99" s="52" t="n">
        <x:v>3.5527886056971516</x:v>
      </x:c>
      <x:c r="V99" s="47" t="n">
        <x:f>IF(ISNUMBER(U99),1+COUNTIF($U$5:$U$121,"&gt;"&amp;U99),"")</x:f>
        <x:v>97</x:v>
      </x:c>
      <x:c r="W99" s="52" t="n">
        <x:v>4.787758620689655</x:v>
      </x:c>
      <x:c r="X99" s="47" t="n">
        <x:f>IF(ISNUMBER(W99),1+COUNTIF($W$5:$W$121,"&gt;"&amp;W99),"")</x:f>
        <x:v>65</x:v>
      </x:c>
      <x:c r="Y99" s="52" t="n">
        <x:v>3.0948275862068964</x:v>
      </x:c>
      <x:c r="Z99" s="47" t="n">
        <x:f>IF(ISNUMBER(Y99),1+COUNTIF($Y$5:$Y$121,"&gt;"&amp;Y99),"")</x:f>
        <x:v>90</x:v>
      </x:c>
      <x:c r="AA99" s="47" t="str">
        <x:v>Utilities</x:v>
      </x:c>
      <x:c r="AB99" s="54" t="n">
        <x:v>46213</x:v>
      </x:c>
      <x:c r="AC99" s="54" t="n">
        <x:v>46112</x:v>
      </x:c>
      <x:c r="AD99" s="54" t="n">
        <x:v>46022</x:v>
      </x:c>
      <x:c r="AE99" s="47" t="str">
        <x:v>OK</x:v>
      </x:c>
    </x:row>
    <x:row r="100">
      <x:c r="A100" s="47" t="n">
        <x:f>IF(ISNUMBER(H100),1+COUNTIF($H$5:$H$121,"&gt;"&amp;H100),"")</x:f>
        <x:v>81</x:v>
      </x:c>
      <x:c r="B100" s="47" t="str">
        <x:v>MCK</x:v>
      </x:c>
      <x:c r="C100" s="47" t="str">
        <x:v>McKesson Corp.</x:v>
      </x:c>
      <x:c r="D100" s="49" t="str">
        <x:v>Long</x:v>
      </x:c>
      <x:c r="E100" s="49" t="n">
        <x:v>0.004158</x:v>
      </x:c>
      <x:c r="F100" s="50" t="n">
        <x:v>0.055227106225139294</x:v>
      </x:c>
      <x:c r="G100" s="50" t="n">
        <x:v>0.02312889354101876</x:v>
      </x:c>
      <x:c r="H100" s="329" t="n">
        <x:f>IFERROR((IF(ISNUMBER(J100),J100*'Methodology'!$C$5,0)+IF(ISNUMBER(L100),L100*'Methodology'!$C$6,0)+IF(ISNUMBER(O100),O100*'Methodology'!$C$7,0)+IF(ISNUMBER(U100),U100*'Methodology'!$C$8,0)+IF(ISNUMBER(W100),W100*'Methodology'!$C$9,0)+IF(ISNUMBER(Y100),Y100*'Methodology'!$C$10,0))/(IF(ISNUMBER(J100),'Methodology'!$C$5,0)+IF(ISNUMBER(L100),'Methodology'!$C$6,0)+IF(ISNUMBER(O100),'Methodology'!$C$7,0)+IF(ISNUMBER(U100),'Methodology'!$C$8,0)+IF(ISNUMBER(W100),'Methodology'!$C$9,0)+IF(ISNUMBER(Y100),'Methodology'!$C$10,0)),"")</x:f>
        <x:v>4.70952562355186</x:v>
      </x:c>
      <x:c r="I100" s="47" t="n">
        <x:f>COUNT(J100,L100,O100,U100,W100,Y100)</x:f>
        <x:v>6</x:v>
      </x:c>
      <x:c r="J100" s="52" t="n">
        <x:v>1.1551724137931034</x:v>
      </x:c>
      <x:c r="K100" s="47" t="n">
        <x:f>IF(ISNUMBER(J100),1+COUNTIF($J$5:$J$121,"&gt;"&amp;J100),"")</x:f>
        <x:v>113</x:v>
      </x:c>
      <x:c r="L100" s="52" t="n">
        <x:v>4.738735177865612</x:v>
      </x:c>
      <x:c r="M100" s="47" t="n">
        <x:f>IF(ISNUMBER(L100),1+COUNTIF($L$5:$L$121,"&gt;"&amp;L100),"")</x:f>
        <x:v>77</x:v>
      </x:c>
      <x:c r="N100" s="47" t="str">
        <x:v>SUE + CAR3</x:v>
      </x:c>
      <x:c r="O100" s="52" t="n">
        <x:f>IFERROR(INDEX('Analyst Revisions'!$K$5:$K$121,MATCH(B100,'Analyst Revisions'!$B$5:$B$121,0)),"")</x:f>
        <x:v>7.201</x:v>
      </x:c>
      <x:c r="P100" s="47" t="n">
        <x:f>IF(ISNUMBER(O100),1+COUNTIF($O$5:$O$121,"&gt;"&amp;O100),"")</x:f>
        <x:v>37</x:v>
      </x:c>
      <x:c r="Q100" s="50" t="n">
        <x:f>IFERROR(INDEX('Analyst Revisions'!$G$5:$G$121,MATCH(B100,'Analyst Revisions'!$B$5:$B$121,0)),"")</x:f>
        <x:v>10.81569</x:v>
      </x:c>
      <x:c r="R100" s="50" t="n">
        <x:f>IFERROR(INDEX('Analyst Revisions'!$H$5:$H$121,MATCH(B100,'Analyst Revisions'!$B$5:$B$121,0)),"")</x:f>
        <x:v>10.74442</x:v>
      </x:c>
      <x:c r="S100" s="317" t="n">
        <x:f>IFERROR(INDEX('Analyst Revisions'!$I$5:$I$121,MATCH(B100,'Analyst Revisions'!$B$5:$B$121,0)),"")</x:f>
        <x:v>0.006633210540913346</x:v>
      </x:c>
      <x:c r="T100" s="47" t="str">
        <x:f>IFERROR(INDEX('Analyst Revisions'!$L$5:$L$121,MATCH(B100,'Analyst Revisions'!$B$5:$B$121,0)),"")</x:f>
        <x:v>OK</x:v>
      </x:c>
      <x:c r="U100" s="52" t="n">
        <x:v>5.844145427286357</x:v>
      </x:c>
      <x:c r="V100" s="47" t="n">
        <x:f>IF(ISNUMBER(U100),1+COUNTIF($U$5:$U$121,"&gt;"&amp;U100),"")</x:f>
        <x:v>51</x:v>
      </x:c>
      <x:c r="W100" s="52" t="n">
        <x:v>6.047758620689655</x:v>
      </x:c>
      <x:c r="X100" s="47" t="n">
        <x:f>IF(ISNUMBER(W100),1+COUNTIF($W$5:$W$121,"&gt;"&amp;W100),"")</x:f>
        <x:v>42</x:v>
      </x:c>
      <x:c r="Y100" s="52" t="n">
        <x:v>6.431034482758621</x:v>
      </x:c>
      <x:c r="Z100" s="47" t="n">
        <x:f>IF(ISNUMBER(Y100),1+COUNTIF($Y$5:$Y$121,"&gt;"&amp;Y100),"")</x:f>
        <x:v>47</x:v>
      </x:c>
      <x:c r="AA100" s="47" t="str">
        <x:v>Health Care</x:v>
      </x:c>
      <x:c r="AB100" s="54" t="n">
        <x:v>46213</x:v>
      </x:c>
      <x:c r="AC100" s="54" t="n">
        <x:v>46112</x:v>
      </x:c>
      <x:c r="AD100" s="54" t="n">
        <x:v>46112</x:v>
      </x:c>
      <x:c r="AE100" s="47" t="str">
        <x:v>OK</x:v>
      </x:c>
    </x:row>
    <x:row r="101">
      <x:c r="A101" s="47" t="n">
        <x:f>IF(ISNUMBER(H101),1+COUNTIF($H$5:$H$121,"&gt;"&amp;H101),"")</x:f>
        <x:v>89</x:v>
      </x:c>
      <x:c r="B101" s="47" t="str">
        <x:v>PAYX</x:v>
      </x:c>
      <x:c r="C101" s="47" t="str">
        <x:v>Paychex Inc.</x:v>
      </x:c>
      <x:c r="D101" s="49" t="str">
        <x:v>Long</x:v>
      </x:c>
      <x:c r="E101" s="49" t="n">
        <x:v>0.004623</x:v>
      </x:c>
      <x:c r="F101" s="50" t="n">
        <x:v>0.46691114196693567</x:v>
      </x:c>
      <x:c r="G101" s="50" t="n">
        <x:v>0.09168601263068783</x:v>
      </x:c>
      <x:c r="H101" s="329" t="n">
        <x:f>IFERROR((IF(ISNUMBER(J101),J101*'Methodology'!$C$5,0)+IF(ISNUMBER(L101),L101*'Methodology'!$C$6,0)+IF(ISNUMBER(O101),O101*'Methodology'!$C$7,0)+IF(ISNUMBER(U101),U101*'Methodology'!$C$8,0)+IF(ISNUMBER(W101),W101*'Methodology'!$C$9,0)+IF(ISNUMBER(Y101),Y101*'Methodology'!$C$10,0))/(IF(ISNUMBER(J101),'Methodology'!$C$5,0)+IF(ISNUMBER(L101),'Methodology'!$C$6,0)+IF(ISNUMBER(O101),'Methodology'!$C$7,0)+IF(ISNUMBER(U101),'Methodology'!$C$8,0)+IF(ISNUMBER(W101),'Methodology'!$C$9,0)+IF(ISNUMBER(Y101),'Methodology'!$C$10,0)),"")</x:f>
        <x:v>4.474515196946981</x:v>
      </x:c>
      <x:c r="I101" s="47" t="n">
        <x:f>COUNT(J101,L101,O101,U101,W101,Y101)</x:f>
        <x:v>6</x:v>
      </x:c>
      <x:c r="J101" s="52" t="n">
        <x:v>2.318965517241379</x:v>
      </x:c>
      <x:c r="K101" s="47" t="n">
        <x:f>IF(ISNUMBER(J101),1+COUNTIF($J$5:$J$121,"&gt;"&amp;J101),"")</x:f>
        <x:v>100</x:v>
      </x:c>
      <x:c r="L101" s="52" t="n">
        <x:v>7.547233201581028</x:v>
      </x:c>
      <x:c r="M101" s="47" t="n">
        <x:f>IF(ISNUMBER(L101),1+COUNTIF($L$5:$L$121,"&gt;"&amp;L101),"")</x:f>
        <x:v>19</x:v>
      </x:c>
      <x:c r="N101" s="47" t="str">
        <x:v>SUE + CAR3</x:v>
      </x:c>
      <x:c r="O101" s="52" t="n">
        <x:f>IFERROR(INDEX('Analyst Revisions'!$K$5:$K$121,MATCH(B101,'Analyst Revisions'!$B$5:$B$121,0)),"")</x:f>
        <x:v>5.9590000000000005</x:v>
      </x:c>
      <x:c r="P101" s="47" t="n">
        <x:f>IF(ISNUMBER(O101),1+COUNTIF($O$5:$O$121,"&gt;"&amp;O101),"")</x:f>
        <x:v>51</x:v>
      </x:c>
      <x:c r="Q101" s="50" t="n">
        <x:f>IFERROR(INDEX('Analyst Revisions'!$G$5:$G$121,MATCH(B101,'Analyst Revisions'!$B$5:$B$121,0)),"")</x:f>
        <x:v>1.32262</x:v>
      </x:c>
      <x:c r="R101" s="50" t="n">
        <x:f>IFERROR(INDEX('Analyst Revisions'!$H$5:$H$121,MATCH(B101,'Analyst Revisions'!$B$5:$B$121,0)),"")</x:f>
        <x:v>1.3232</x:v>
      </x:c>
      <x:c r="S101" s="317" t="n">
        <x:f>IFERROR(INDEX('Analyst Revisions'!$I$5:$I$121,MATCH(B101,'Analyst Revisions'!$B$5:$B$121,0)),"")</x:f>
        <x:v>-0.00043833131801694755</x:v>
      </x:c>
      <x:c r="T101" s="47" t="str">
        <x:f>IFERROR(INDEX('Analyst Revisions'!$L$5:$L$121,MATCH(B101,'Analyst Revisions'!$B$5:$B$121,0)),"")</x:f>
        <x:v>OK</x:v>
      </x:c>
      <x:c r="U101" s="52" t="n">
        <x:v>3.8450862068965517</x:v>
      </x:c>
      <x:c r="V101" s="47" t="n">
        <x:f>IF(ISNUMBER(U101),1+COUNTIF($U$5:$U$121,"&gt;"&amp;U101),"")</x:f>
        <x:v>92</x:v>
      </x:c>
      <x:c r="W101" s="52" t="n">
        <x:v>3.8225862068965517</x:v>
      </x:c>
      <x:c r="X101" s="47" t="n">
        <x:f>IF(ISNUMBER(W101),1+COUNTIF($W$5:$W$121,"&gt;"&amp;W101),"")</x:f>
        <x:v>84</x:v>
      </x:c>
      <x:c r="Y101" s="52" t="n">
        <x:v>1.4655172413793103</x:v>
      </x:c>
      <x:c r="Z101" s="47" t="n">
        <x:f>IF(ISNUMBER(Y101),1+COUNTIF($Y$5:$Y$121,"&gt;"&amp;Y101),"")</x:f>
        <x:v>111</x:v>
      </x:c>
      <x:c r="AA101" s="47" t="str">
        <x:v>Industrials</x:v>
      </x:c>
      <x:c r="AB101" s="54" t="n">
        <x:v>46213</x:v>
      </x:c>
      <x:c r="AC101" s="54" t="n">
        <x:v>46081</x:v>
      </x:c>
      <x:c r="AD101" s="54" t="n">
        <x:v>45808</x:v>
      </x:c>
      <x:c r="AE101" s="47" t="str">
        <x:v>OK</x:v>
      </x:c>
    </x:row>
    <x:row r="102">
      <x:c r="A102" s="47" t="n">
        <x:f>IF(ISNUMBER(H102),1+COUNTIF($H$5:$H$121,"&gt;"&amp;H102),"")</x:f>
        <x:v>88</x:v>
      </x:c>
      <x:c r="B102" s="47" t="str">
        <x:v>ABBV</x:v>
      </x:c>
      <x:c r="C102" s="47" t="str">
        <x:v>AbbVie Inc.</x:v>
      </x:c>
      <x:c r="D102" s="49" t="str">
        <x:v>Long</x:v>
      </x:c>
      <x:c r="E102" s="49" t="n">
        <x:v>0.004693</x:v>
      </x:c>
      <x:c r="F102" s="50" t="n">
        <x:v>0.2537281714004462</x:v>
      </x:c>
      <x:c r="G102" s="50" t="n">
        <x:v>0.056519801830322416</x:v>
      </x:c>
      <x:c r="H102" s="329" t="n">
        <x:f>IFERROR((IF(ISNUMBER(J102),J102*'Methodology'!$C$5,0)+IF(ISNUMBER(L102),L102*'Methodology'!$C$6,0)+IF(ISNUMBER(O102),O102*'Methodology'!$C$7,0)+IF(ISNUMBER(U102),U102*'Methodology'!$C$8,0)+IF(ISNUMBER(W102),W102*'Methodology'!$C$9,0)+IF(ISNUMBER(Y102),Y102*'Methodology'!$C$10,0))/(IF(ISNUMBER(J102),'Methodology'!$C$5,0)+IF(ISNUMBER(L102),'Methodology'!$C$6,0)+IF(ISNUMBER(O102),'Methodology'!$C$7,0)+IF(ISNUMBER(U102),'Methodology'!$C$8,0)+IF(ISNUMBER(W102),'Methodology'!$C$9,0)+IF(ISNUMBER(Y102),'Methodology'!$C$10,0)),"")</x:f>
        <x:v>4.49595604470492</x:v>
      </x:c>
      <x:c r="I102" s="47" t="n">
        <x:f>COUNT(J102,L102,O102,U102,W102,Y102)</x:f>
        <x:v>6</x:v>
      </x:c>
      <x:c r="J102" s="52" t="n">
        <x:v>1.1551724137931034</x:v>
      </x:c>
      <x:c r="K102" s="47" t="n">
        <x:f>IF(ISNUMBER(J102),1+COUNTIF($J$5:$J$121,"&gt;"&amp;J102),"")</x:f>
        <x:v>113</x:v>
      </x:c>
      <x:c r="L102" s="52" t="n">
        <x:v>4.975296442687747</x:v>
      </x:c>
      <x:c r="M102" s="47" t="n">
        <x:f>IF(ISNUMBER(L102),1+COUNTIF($L$5:$L$121,"&gt;"&amp;L102),"")</x:f>
        <x:v>75</x:v>
      </x:c>
      <x:c r="N102" s="47" t="str">
        <x:v>SUE + CAR3</x:v>
      </x:c>
      <x:c r="O102" s="52" t="n">
        <x:f>IFERROR(INDEX('Analyst Revisions'!$K$5:$K$121,MATCH(B102,'Analyst Revisions'!$B$5:$B$121,0)),"")</x:f>
        <x:v>6.661</x:v>
      </x:c>
      <x:c r="P102" s="47" t="n">
        <x:f>IF(ISNUMBER(O102),1+COUNTIF($O$5:$O$121,"&gt;"&amp;O102),"")</x:f>
        <x:v>44</x:v>
      </x:c>
      <x:c r="Q102" s="50" t="n">
        <x:f>IFERROR(INDEX('Analyst Revisions'!$G$5:$G$121,MATCH(B102,'Analyst Revisions'!$B$5:$B$121,0)),"")</x:f>
        <x:v>3.84439</x:v>
      </x:c>
      <x:c r="R102" s="50" t="n">
        <x:f>IFERROR(INDEX('Analyst Revisions'!$H$5:$H$121,MATCH(B102,'Analyst Revisions'!$B$5:$B$121,0)),"")</x:f>
        <x:v>3.836</x:v>
      </x:c>
      <x:c r="S102" s="317" t="n">
        <x:f>IFERROR(INDEX('Analyst Revisions'!$I$5:$I$121,MATCH(B102,'Analyst Revisions'!$B$5:$B$121,0)),"")</x:f>
        <x:v>0.0021871741397289732</x:v>
      </x:c>
      <x:c r="T102" s="47" t="str">
        <x:f>IFERROR(INDEX('Analyst Revisions'!$L$5:$L$121,MATCH(B102,'Analyst Revisions'!$B$5:$B$121,0)),"")</x:f>
        <x:v>OK</x:v>
      </x:c>
      <x:c r="U102" s="52" t="n">
        <x:v>2.6076874062968516</x:v>
      </x:c>
      <x:c r="V102" s="47" t="n">
        <x:f>IF(ISNUMBER(U102),1+COUNTIF($U$5:$U$121,"&gt;"&amp;U102),"")</x:f>
        <x:v>113</x:v>
      </x:c>
      <x:c r="W102" s="52" t="n">
        <x:v>8.493275862068966</x:v>
      </x:c>
      <x:c r="X102" s="47" t="n">
        <x:f>IF(ISNUMBER(W102),1+COUNTIF($W$5:$W$121,"&gt;"&amp;W102),"")</x:f>
        <x:v>6</x:v>
      </x:c>
      <x:c r="Y102" s="52" t="n">
        <x:v>5.577586206896552</x:v>
      </x:c>
      <x:c r="Z102" s="47" t="n">
        <x:f>IF(ISNUMBER(Y102),1+COUNTIF($Y$5:$Y$121,"&gt;"&amp;Y102),"")</x:f>
        <x:v>58</x:v>
      </x:c>
      <x:c r="AA102" s="47" t="str">
        <x:v>Health Care</x:v>
      </x:c>
      <x:c r="AB102" s="54" t="n">
        <x:v>46213</x:v>
      </x:c>
      <x:c r="AC102" s="54" t="n">
        <x:v>46112</x:v>
      </x:c>
      <x:c r="AD102" s="54" t="n">
        <x:v>46022</x:v>
      </x:c>
      <x:c r="AE102" s="47" t="str">
        <x:v>OK</x:v>
      </x:c>
    </x:row>
    <x:row r="103">
      <x:c r="A103" s="47" t="n">
        <x:f>IF(ISNUMBER(H103),1+COUNTIF($H$5:$H$121,"&gt;"&amp;H103),"")</x:f>
        <x:v>83</x:v>
      </x:c>
      <x:c r="B103" s="47" t="str">
        <x:v>ELS</x:v>
      </x:c>
      <x:c r="C103" s="47" t="str">
        <x:v>Equity LifeStyle Properties Inc. REIT</x:v>
      </x:c>
      <x:c r="D103" s="49" t="str">
        <x:v>Long</x:v>
      </x:c>
      <x:c r="E103" s="49" t="n">
        <x:v>0.004038</x:v>
      </x:c>
      <x:c r="F103" s="50" t="n">
        <x:v>0.41441737575670573</x:v>
      </x:c>
      <x:c r="G103" s="50" t="n">
        <x:v>0.11104285532020337</x:v>
      </x:c>
      <x:c r="H103" s="329" t="n">
        <x:f>IFERROR((IF(ISNUMBER(J103),J103*'Methodology'!$C$5,0)+IF(ISNUMBER(L103),L103*'Methodology'!$C$6,0)+IF(ISNUMBER(O103),O103*'Methodology'!$C$7,0)+IF(ISNUMBER(U103),U103*'Methodology'!$C$8,0)+IF(ISNUMBER(W103),W103*'Methodology'!$C$9,0)+IF(ISNUMBER(Y103),Y103*'Methodology'!$C$10,0))/(IF(ISNUMBER(J103),'Methodology'!$C$5,0)+IF(ISNUMBER(L103),'Methodology'!$C$6,0)+IF(ISNUMBER(O103),'Methodology'!$C$7,0)+IF(ISNUMBER(U103),'Methodology'!$C$8,0)+IF(ISNUMBER(W103),'Methodology'!$C$9,0)+IF(ISNUMBER(Y103),'Methodology'!$C$10,0)),"")</x:f>
        <x:v>4.655962995774839</x:v>
      </x:c>
      <x:c r="I103" s="47" t="n">
        <x:f>COUNT(J103,L103,O103,U103,W103,Y103)</x:f>
        <x:v>6</x:v>
      </x:c>
      <x:c r="J103" s="52" t="n">
        <x:v>2.706896551724138</x:v>
      </x:c>
      <x:c r="K103" s="47" t="n">
        <x:f>IF(ISNUMBER(J103),1+COUNTIF($J$5:$J$121,"&gt;"&amp;J103),"")</x:f>
        <x:v>95</x:v>
      </x:c>
      <x:c r="L103" s="52" t="n">
        <x:v>3.5399209486166012</x:v>
      </x:c>
      <x:c r="M103" s="47" t="n">
        <x:f>IF(ISNUMBER(L103),1+COUNTIF($L$5:$L$121,"&gt;"&amp;L103),"")</x:f>
        <x:v>96</x:v>
      </x:c>
      <x:c r="N103" s="47" t="str">
        <x:v>SUE + CAR3</x:v>
      </x:c>
      <x:c r="O103" s="52" t="n">
        <x:f>IFERROR(INDEX('Analyst Revisions'!$K$5:$K$121,MATCH(B103,'Analyst Revisions'!$B$5:$B$121,0)),"")</x:f>
        <x:v>7.669</x:v>
      </x:c>
      <x:c r="P103" s="47" t="n">
        <x:f>IF(ISNUMBER(O103),1+COUNTIF($O$5:$O$121,"&gt;"&amp;O103),"")</x:f>
        <x:v>31</x:v>
      </x:c>
      <x:c r="Q103" s="50" t="n">
        <x:f>IFERROR(INDEX('Analyst Revisions'!$G$5:$G$121,MATCH(B103,'Analyst Revisions'!$B$5:$B$121,0)),"")</x:f>
        <x:v>0.50365</x:v>
      </x:c>
      <x:c r="R103" s="50" t="n">
        <x:f>IFERROR(INDEX('Analyst Revisions'!$H$5:$H$121,MATCH(B103,'Analyst Revisions'!$B$5:$B$121,0)),"")</x:f>
        <x:v>0.49755</x:v>
      </x:c>
      <x:c r="S103" s="317" t="n">
        <x:f>IFERROR(INDEX('Analyst Revisions'!$I$5:$I$121,MATCH(B103,'Analyst Revisions'!$B$5:$B$121,0)),"")</x:f>
        <x:v>0.012260074364385589</x:v>
      </x:c>
      <x:c r="T103" s="47" t="str">
        <x:f>IFERROR(INDEX('Analyst Revisions'!$L$5:$L$121,MATCH(B103,'Analyst Revisions'!$B$5:$B$121,0)),"")</x:f>
        <x:v>OK</x:v>
      </x:c>
      <x:c r="U103" s="52" t="n">
        <x:v>2.7844827586206895</x:v>
      </x:c>
      <x:c r="V103" s="47" t="n">
        <x:f>IF(ISNUMBER(U103),1+COUNTIF($U$5:$U$121,"&gt;"&amp;U103),"")</x:f>
        <x:v>111</x:v>
      </x:c>
      <x:c r="W103" s="52" t="n">
        <x:v>8.293103448275861</x:v>
      </x:c>
      <x:c r="X103" s="47" t="n">
        <x:f>IF(ISNUMBER(W103),1+COUNTIF($W$5:$W$121,"&gt;"&amp;W103),"")</x:f>
        <x:v>11</x:v>
      </x:c>
      <x:c r="Y103" s="52" t="n">
        <x:v>5.267241379310345</x:v>
      </x:c>
      <x:c r="Z103" s="47" t="n">
        <x:f>IF(ISNUMBER(Y103),1+COUNTIF($Y$5:$Y$121,"&gt;"&amp;Y103),"")</x:f>
        <x:v>62</x:v>
      </x:c>
      <x:c r="AA103" s="47" t="str">
        <x:v>Real Estate</x:v>
      </x:c>
      <x:c r="AB103" s="54" t="n">
        <x:v>46213</x:v>
      </x:c>
      <x:c r="AC103" s="54" t="n">
        <x:v>46112</x:v>
      </x:c>
      <x:c r="AD103" s="54" t="n">
        <x:v>46022</x:v>
      </x:c>
      <x:c r="AE103" s="47" t="str">
        <x:v>OK</x:v>
      </x:c>
    </x:row>
    <x:row r="104">
      <x:c r="A104" s="47" t="n">
        <x:f>IF(ISNUMBER(H104),1+COUNTIF($H$5:$H$121,"&gt;"&amp;H104),"")</x:f>
        <x:v>108</x:v>
      </x:c>
      <x:c r="B104" s="47" t="str">
        <x:v>PM</x:v>
      </x:c>
      <x:c r="C104" s="47" t="str">
        <x:v>Philip Morris International Inc.</x:v>
      </x:c>
      <x:c r="D104" s="49" t="str">
        <x:v>Long</x:v>
      </x:c>
      <x:c r="E104" s="49" t="n">
        <x:v>0.003748</x:v>
      </x:c>
      <x:c r="F104" s="50" t="n">
        <x:v>0.2268078732793771</x:v>
      </x:c>
      <x:c r="G104" s="50" t="n">
        <x:v>-0.00866325718722727</x:v>
      </x:c>
      <x:c r="H104" s="329" t="n">
        <x:f>IFERROR((IF(ISNUMBER(J104),J104*'Methodology'!$C$5,0)+IF(ISNUMBER(L104),L104*'Methodology'!$C$6,0)+IF(ISNUMBER(O104),O104*'Methodology'!$C$7,0)+IF(ISNUMBER(U104),U104*'Methodology'!$C$8,0)+IF(ISNUMBER(W104),W104*'Methodology'!$C$9,0)+IF(ISNUMBER(Y104),Y104*'Methodology'!$C$10,0))/(IF(ISNUMBER(J104),'Methodology'!$C$5,0)+IF(ISNUMBER(L104),'Methodology'!$C$6,0)+IF(ISNUMBER(O104),'Methodology'!$C$7,0)+IF(ISNUMBER(U104),'Methodology'!$C$8,0)+IF(ISNUMBER(W104),'Methodology'!$C$9,0)+IF(ISNUMBER(Y104),'Methodology'!$C$10,0)),"")</x:f>
        <x:v>3.6471726863840805</x:v>
      </x:c>
      <x:c r="I104" s="47" t="n">
        <x:f>COUNT(J104,L104,O104,U104,W104,Y104)</x:f>
        <x:v>6</x:v>
      </x:c>
      <x:c r="J104" s="52" t="n">
        <x:v>1.543103448275862</x:v>
      </x:c>
      <x:c r="K104" s="47" t="n">
        <x:f>IF(ISNUMBER(J104),1+COUNTIF($J$5:$J$121,"&gt;"&amp;J104),"")</x:f>
        <x:v>110</x:v>
      </x:c>
      <x:c r="L104" s="52" t="n">
        <x:v>6.129644268774704</x:v>
      </x:c>
      <x:c r="M104" s="47" t="n">
        <x:f>IF(ISNUMBER(L104),1+COUNTIF($L$5:$L$121,"&gt;"&amp;L104),"")</x:f>
        <x:v>43</x:v>
      </x:c>
      <x:c r="N104" s="47" t="str">
        <x:v>SUE + CAR3</x:v>
      </x:c>
      <x:c r="O104" s="52" t="n">
        <x:f>IFERROR(INDEX('Analyst Revisions'!$K$5:$K$121,MATCH(B104,'Analyst Revisions'!$B$5:$B$121,0)),"")</x:f>
        <x:v>2.008</x:v>
      </x:c>
      <x:c r="P104" s="47" t="n">
        <x:f>IF(ISNUMBER(O104),1+COUNTIF($O$5:$O$121,"&gt;"&amp;O104),"")</x:f>
        <x:v>102</x:v>
      </x:c>
      <x:c r="Q104" s="50" t="n">
        <x:f>IFERROR(INDEX('Analyst Revisions'!$G$5:$G$121,MATCH(B104,'Analyst Revisions'!$B$5:$B$121,0)),"")</x:f>
        <x:v>2.24951</x:v>
      </x:c>
      <x:c r="R104" s="50" t="n">
        <x:f>IFERROR(INDEX('Analyst Revisions'!$H$5:$H$121,MATCH(B104,'Analyst Revisions'!$B$5:$B$121,0)),"")</x:f>
        <x:v>2.43136</x:v>
      </x:c>
      <x:c r="S104" s="317" t="n">
        <x:f>IFERROR(INDEX('Analyst Revisions'!$I$5:$I$121,MATCH(B104,'Analyst Revisions'!$B$5:$B$121,0)),"")</x:f>
        <x:v>-0.07479353119241917</x:v>
      </x:c>
      <x:c r="T104" s="47" t="str">
        <x:f>IFERROR(INDEX('Analyst Revisions'!$L$5:$L$121,MATCH(B104,'Analyst Revisions'!$B$5:$B$121,0)),"")</x:f>
        <x:v>OK</x:v>
      </x:c>
      <x:c r="U104" s="52" t="n">
        <x:v>3.0431821589205397</x:v>
      </x:c>
      <x:c r="V104" s="47" t="n">
        <x:f>IF(ISNUMBER(U104),1+COUNTIF($U$5:$U$121,"&gt;"&amp;U104),"")</x:f>
        <x:v>106</x:v>
      </x:c>
      <x:c r="W104" s="52" t="n">
        <x:v>4.316034482758621</x:v>
      </x:c>
      <x:c r="X104" s="47" t="n">
        <x:f>IF(ISNUMBER(W104),1+COUNTIF($W$5:$W$121,"&gt;"&amp;W104),"")</x:f>
        <x:v>76</x:v>
      </x:c>
      <x:c r="Y104" s="52" t="n">
        <x:v>5.189655172413793</x:v>
      </x:c>
      <x:c r="Z104" s="47" t="n">
        <x:f>IF(ISNUMBER(Y104),1+COUNTIF($Y$5:$Y$121,"&gt;"&amp;Y104),"")</x:f>
        <x:v>63</x:v>
      </x:c>
      <x:c r="AA104" s="47" t="str">
        <x:v>Health Care</x:v>
      </x:c>
      <x:c r="AB104" s="54" t="n">
        <x:v>46213</x:v>
      </x:c>
      <x:c r="AC104" s="54" t="n">
        <x:v>46112</x:v>
      </x:c>
      <x:c r="AD104" s="54" t="n">
        <x:v>46022</x:v>
      </x:c>
      <x:c r="AE104" s="47" t="str">
        <x:v>OK</x:v>
      </x:c>
    </x:row>
    <x:row r="105">
      <x:c r="A105" s="47" t="n">
        <x:f>IF(ISNUMBER(H105),1+COUNTIF($H$5:$H$121,"&gt;"&amp;H105),"")</x:f>
        <x:v>93</x:v>
      </x:c>
      <x:c r="B105" s="47" t="str">
        <x:v>BRO</x:v>
      </x:c>
      <x:c r="C105" s="47" t="str">
        <x:v>Brown &amp; Brown Inc.</x:v>
      </x:c>
      <x:c r="D105" s="49" t="str">
        <x:v>Long</x:v>
      </x:c>
      <x:c r="E105" s="49" t="n">
        <x:v>0.004654</x:v>
      </x:c>
      <x:c r="F105" s="50" t="n">
        <x:v>0.24015465822252402</x:v>
      </x:c>
      <x:c r="G105" s="50" t="n">
        <x:v>-0.04593763894662992</x:v>
      </x:c>
      <x:c r="H105" s="329" t="n">
        <x:f>IFERROR((IF(ISNUMBER(J105),J105*'Methodology'!$C$5,0)+IF(ISNUMBER(L105),L105*'Methodology'!$C$6,0)+IF(ISNUMBER(O105),O105*'Methodology'!$C$7,0)+IF(ISNUMBER(U105),U105*'Methodology'!$C$8,0)+IF(ISNUMBER(W105),W105*'Methodology'!$C$9,0)+IF(ISNUMBER(Y105),Y105*'Methodology'!$C$10,0))/(IF(ISNUMBER(J105),'Methodology'!$C$5,0)+IF(ISNUMBER(L105),'Methodology'!$C$6,0)+IF(ISNUMBER(O105),'Methodology'!$C$7,0)+IF(ISNUMBER(U105),'Methodology'!$C$8,0)+IF(ISNUMBER(W105),'Methodology'!$C$9,0)+IF(ISNUMBER(Y105),'Methodology'!$C$10,0)),"")</x:f>
        <x:v>4.408018808777429</x:v>
      </x:c>
      <x:c r="I105" s="47" t="n">
        <x:f>COUNT(J105,L105,O105,U105,W105,Y105)</x:f>
        <x:v>6</x:v>
      </x:c>
      <x:c r="J105" s="52" t="n">
        <x:v>3.793103448275862</x:v>
      </x:c>
      <x:c r="K105" s="47" t="n">
        <x:f>IF(ISNUMBER(J105),1+COUNTIF($J$5:$J$121,"&gt;"&amp;J105),"")</x:f>
        <x:v>81</x:v>
      </x:c>
      <x:c r="L105" s="52" t="n">
        <x:v>4.395454545454546</x:v>
      </x:c>
      <x:c r="M105" s="47" t="n">
        <x:f>IF(ISNUMBER(L105),1+COUNTIF($L$5:$L$121,"&gt;"&amp;L105),"")</x:f>
        <x:v>82</x:v>
      </x:c>
      <x:c r="N105" s="47" t="str">
        <x:v>SUE + CAR3</x:v>
      </x:c>
      <x:c r="O105" s="52" t="n">
        <x:f>IFERROR(INDEX('Analyst Revisions'!$K$5:$K$121,MATCH(B105,'Analyst Revisions'!$B$5:$B$121,0)),"")</x:f>
        <x:v>6.9670000000000005</x:v>
      </x:c>
      <x:c r="P105" s="47" t="n">
        <x:f>IF(ISNUMBER(O105),1+COUNTIF($O$5:$O$121,"&gt;"&amp;O105),"")</x:f>
        <x:v>40</x:v>
      </x:c>
      <x:c r="Q105" s="50" t="n">
        <x:f>IFERROR(INDEX('Analyst Revisions'!$G$5:$G$121,MATCH(B105,'Analyst Revisions'!$B$5:$B$121,0)),"")</x:f>
        <x:v>1.08586</x:v>
      </x:c>
      <x:c r="R105" s="50" t="n">
        <x:f>IFERROR(INDEX('Analyst Revisions'!$H$5:$H$121,MATCH(B105,'Analyst Revisions'!$B$5:$B$121,0)),"")</x:f>
        <x:v>1.08111</x:v>
      </x:c>
      <x:c r="S105" s="317" t="n">
        <x:f>IFERROR(INDEX('Analyst Revisions'!$I$5:$I$121,MATCH(B105,'Analyst Revisions'!$B$5:$B$121,0)),"")</x:f>
        <x:v>0.004393632470331448</x:v>
      </x:c>
      <x:c r="T105" s="47" t="str">
        <x:f>IFERROR(INDEX('Analyst Revisions'!$L$5:$L$121,MATCH(B105,'Analyst Revisions'!$B$5:$B$121,0)),"")</x:f>
        <x:v>OK</x:v>
      </x:c>
      <x:c r="U105" s="52" t="n">
        <x:v>6.702586206896552</x:v>
      </x:c>
      <x:c r="V105" s="47" t="n">
        <x:f>IF(ISNUMBER(U105),1+COUNTIF($U$5:$U$121,"&gt;"&amp;U105),"")</x:f>
        <x:v>32</x:v>
      </x:c>
      <x:c r="W105" s="52" t="n">
        <x:v>1.0775862068965514</x:v>
      </x:c>
      <x:c r="X105" s="47" t="n">
        <x:f>IF(ISNUMBER(W105),1+COUNTIF($W$5:$W$121,"&gt;"&amp;W105),"")</x:f>
        <x:v>116</x:v>
      </x:c>
      <x:c r="Y105" s="52" t="n">
        <x:v>3.0172413793103448</x:v>
      </x:c>
      <x:c r="Z105" s="47" t="n">
        <x:f>IF(ISNUMBER(Y105),1+COUNTIF($Y$5:$Y$121,"&gt;"&amp;Y105),"")</x:f>
        <x:v>91</x:v>
      </x:c>
      <x:c r="AA105" s="47" t="str">
        <x:v>Finance</x:v>
      </x:c>
      <x:c r="AB105" s="54" t="n">
        <x:v>46213</x:v>
      </x:c>
      <x:c r="AC105" s="54" t="n">
        <x:v>46112</x:v>
      </x:c>
      <x:c r="AD105" s="54" t="n">
        <x:v>46022</x:v>
      </x:c>
      <x:c r="AE105" s="47" t="str">
        <x:v>OK</x:v>
      </x:c>
    </x:row>
    <x:row r="106">
      <x:c r="A106" s="47" t="n">
        <x:f>IF(ISNUMBER(H106),1+COUNTIF($H$5:$H$121,"&gt;"&amp;H106),"")</x:f>
        <x:v>109</x:v>
      </x:c>
      <x:c r="B106" s="47" t="str">
        <x:v>PCG</x:v>
      </x:c>
      <x:c r="C106" s="47" t="str">
        <x:v>PG&amp;E Corp.</x:v>
      </x:c>
      <x:c r="D106" s="49" t="str">
        <x:v>Short</x:v>
      </x:c>
      <x:c r="E106" s="49" t="n">
        <x:v>-0.00372</x:v>
      </x:c>
      <x:c r="F106" s="50" t="n">
        <x:v>-0.008231448743165441</x:v>
      </x:c>
      <x:c r="G106" s="50" t="n">
        <x:v>-0.15868214205289752</x:v>
      </x:c>
      <x:c r="H106" s="329" t="n">
        <x:f>IFERROR((IF(ISNUMBER(J106),J106*'Methodology'!$C$5,0)+IF(ISNUMBER(L106),L106*'Methodology'!$C$6,0)+IF(ISNUMBER(O106),O106*'Methodology'!$C$7,0)+IF(ISNUMBER(U106),U106*'Methodology'!$C$8,0)+IF(ISNUMBER(W106),W106*'Methodology'!$C$9,0)+IF(ISNUMBER(Y106),Y106*'Methodology'!$C$10,0))/(IF(ISNUMBER(J106),'Methodology'!$C$5,0)+IF(ISNUMBER(L106),'Methodology'!$C$6,0)+IF(ISNUMBER(O106),'Methodology'!$C$7,0)+IF(ISNUMBER(U106),'Methodology'!$C$8,0)+IF(ISNUMBER(W106),'Methodology'!$C$9,0)+IF(ISNUMBER(Y106),'Methodology'!$C$10,0)),"")</x:f>
        <x:v>3.6215813684067055</x:v>
      </x:c>
      <x:c r="I106" s="47" t="n">
        <x:f>COUNT(J106,L106,O106,U106,W106,Y106)</x:f>
        <x:v>6</x:v>
      </x:c>
      <x:c r="J106" s="52" t="n">
        <x:v>2.0086206896551726</x:v>
      </x:c>
      <x:c r="K106" s="47" t="n">
        <x:f>IF(ISNUMBER(J106),1+COUNTIF($J$5:$J$121,"&gt;"&amp;J106),"")</x:f>
        <x:v>104</x:v>
      </x:c>
      <x:c r="L106" s="52" t="n">
        <x:v>6.072727272727273</x:v>
      </x:c>
      <x:c r="M106" s="47" t="n">
        <x:f>IF(ISNUMBER(L106),1+COUNTIF($L$5:$L$121,"&gt;"&amp;L106),"")</x:f>
        <x:v>48</x:v>
      </x:c>
      <x:c r="N106" s="47" t="str">
        <x:v>SUE + CAR3</x:v>
      </x:c>
      <x:c r="O106" s="52" t="n">
        <x:f>IFERROR(INDEX('Analyst Revisions'!$K$5:$K$121,MATCH(B106,'Analyst Revisions'!$B$5:$B$121,0)),"")</x:f>
        <x:v>2.395</x:v>
      </x:c>
      <x:c r="P106" s="47" t="n">
        <x:f>IF(ISNUMBER(O106),1+COUNTIF($O$5:$O$121,"&gt;"&amp;O106),"")</x:f>
        <x:v>97</x:v>
      </x:c>
      <x:c r="Q106" s="50" t="n">
        <x:f>IFERROR(INDEX('Analyst Revisions'!$G$5:$G$121,MATCH(B106,'Analyst Revisions'!$B$5:$B$121,0)),"")</x:f>
        <x:v>0.42049</x:v>
      </x:c>
      <x:c r="R106" s="50" t="n">
        <x:f>IFERROR(INDEX('Analyst Revisions'!$H$5:$H$121,MATCH(B106,'Analyst Revisions'!$B$5:$B$121,0)),"")</x:f>
        <x:v>0.44902</x:v>
      </x:c>
      <x:c r="S106" s="317" t="n">
        <x:f>IFERROR(INDEX('Analyst Revisions'!$I$5:$I$121,MATCH(B106,'Analyst Revisions'!$B$5:$B$121,0)),"")</x:f>
        <x:v>-0.06353837245556991</x:v>
      </x:c>
      <x:c r="T106" s="47" t="str">
        <x:f>IFERROR(INDEX('Analyst Revisions'!$L$5:$L$121,MATCH(B106,'Analyst Revisions'!$B$5:$B$121,0)),"")</x:f>
        <x:v>OK</x:v>
      </x:c>
      <x:c r="U106" s="52" t="n">
        <x:v>5.453009745127436</x:v>
      </x:c>
      <x:c r="V106" s="47" t="n">
        <x:f>IF(ISNUMBER(U106),1+COUNTIF($U$5:$U$121,"&gt;"&amp;U106),"")</x:f>
        <x:v>59</x:v>
      </x:c>
      <x:c r="W106" s="52" t="n">
        <x:v>4.055344827586207</x:v>
      </x:c>
      <x:c r="X106" s="47" t="n">
        <x:f>IF(ISNUMBER(W106),1+COUNTIF($W$5:$W$121,"&gt;"&amp;W106),"")</x:f>
        <x:v>81</x:v>
      </x:c>
      <x:c r="Y106" s="52" t="n">
        <x:v>1.3103448275862069</x:v>
      </x:c>
      <x:c r="Z106" s="47" t="n">
        <x:f>IF(ISNUMBER(Y106),1+COUNTIF($Y$5:$Y$121,"&gt;"&amp;Y106),"")</x:f>
        <x:v>113</x:v>
      </x:c>
      <x:c r="AA106" s="47" t="str">
        <x:v>Utilities</x:v>
      </x:c>
      <x:c r="AB106" s="54" t="n">
        <x:v>46213</x:v>
      </x:c>
      <x:c r="AC106" s="54" t="n">
        <x:v>46112</x:v>
      </x:c>
      <x:c r="AD106" s="54" t="n">
        <x:v>46022</x:v>
      </x:c>
      <x:c r="AE106" s="47" t="str">
        <x:v>OK</x:v>
      </x:c>
    </x:row>
    <x:row r="107">
      <x:c r="A107" s="47" t="n">
        <x:f>IF(ISNUMBER(H107),1+COUNTIF($H$5:$H$121,"&gt;"&amp;H107),"")</x:f>
        <x:v>105</x:v>
      </x:c>
      <x:c r="B107" s="47" t="str">
        <x:v>AWK</x:v>
      </x:c>
      <x:c r="C107" s="47" t="str">
        <x:v>American Water Works Co. Inc.</x:v>
      </x:c>
      <x:c r="D107" s="49" t="str">
        <x:v>Long</x:v>
      </x:c>
      <x:c r="E107" s="49" t="n">
        <x:v>0.00427</x:v>
      </x:c>
      <x:c r="F107" s="50" t="n">
        <x:v>0.12930054815164585</x:v>
      </x:c>
      <x:c r="G107" s="50" t="n">
        <x:v>-0.022299314587094863</x:v>
      </x:c>
      <x:c r="H107" s="329" t="n">
        <x:f>IFERROR((IF(ISNUMBER(J107),J107*'Methodology'!$C$5,0)+IF(ISNUMBER(L107),L107*'Methodology'!$C$6,0)+IF(ISNUMBER(O107),O107*'Methodology'!$C$7,0)+IF(ISNUMBER(U107),U107*'Methodology'!$C$8,0)+IF(ISNUMBER(W107),W107*'Methodology'!$C$9,0)+IF(ISNUMBER(Y107),Y107*'Methodology'!$C$10,0))/(IF(ISNUMBER(J107),'Methodology'!$C$5,0)+IF(ISNUMBER(L107),'Methodology'!$C$6,0)+IF(ISNUMBER(O107),'Methodology'!$C$7,0)+IF(ISNUMBER(U107),'Methodology'!$C$8,0)+IF(ISNUMBER(W107),'Methodology'!$C$9,0)+IF(ISNUMBER(Y107),'Methodology'!$C$10,0)),"")</x:f>
        <x:v>3.990209077279542</x:v>
      </x:c>
      <x:c r="I107" s="47" t="n">
        <x:f>COUNT(J107,L107,O107,U107,W107,Y107)</x:f>
        <x:v>6</x:v>
      </x:c>
      <x:c r="J107" s="52" t="n">
        <x:v>5.0344827586206895</x:v>
      </x:c>
      <x:c r="K107" s="47" t="n">
        <x:f>IF(ISNUMBER(J107),1+COUNTIF($J$5:$J$121,"&gt;"&amp;J107),"")</x:f>
        <x:v>65</x:v>
      </x:c>
      <x:c r="L107" s="52" t="n">
        <x:v>3.5719367588932807</x:v>
      </x:c>
      <x:c r="M107" s="47" t="n">
        <x:f>IF(ISNUMBER(L107),1+COUNTIF($L$5:$L$121,"&gt;"&amp;L107),"")</x:f>
        <x:v>95</x:v>
      </x:c>
      <x:c r="N107" s="47" t="str">
        <x:v>SUE + CAR3</x:v>
      </x:c>
      <x:c r="O107" s="52" t="n">
        <x:f>IFERROR(INDEX('Analyst Revisions'!$K$5:$K$121,MATCH(B107,'Analyst Revisions'!$B$5:$B$121,0)),"")</x:f>
        <x:v>4.717</x:v>
      </x:c>
      <x:c r="P107" s="47" t="n">
        <x:f>IF(ISNUMBER(O107),1+COUNTIF($O$5:$O$121,"&gt;"&amp;O107),"")</x:f>
        <x:v>67</x:v>
      </x:c>
      <x:c r="Q107" s="50" t="n">
        <x:f>IFERROR(INDEX('Analyst Revisions'!$G$5:$G$121,MATCH(B107,'Analyst Revisions'!$B$5:$B$121,0)),"")</x:f>
        <x:v>2.07134</x:v>
      </x:c>
      <x:c r="R107" s="50" t="n">
        <x:f>IFERROR(INDEX('Analyst Revisions'!$H$5:$H$121,MATCH(B107,'Analyst Revisions'!$B$5:$B$121,0)),"")</x:f>
        <x:v>2.08917</x:v>
      </x:c>
      <x:c r="S107" s="317" t="n">
        <x:f>IFERROR(INDEX('Analyst Revisions'!$I$5:$I$121,MATCH(B107,'Analyst Revisions'!$B$5:$B$121,0)),"")</x:f>
        <x:v>-0.008534489773450706</x:v>
      </x:c>
      <x:c r="T107" s="47" t="str">
        <x:f>IFERROR(INDEX('Analyst Revisions'!$L$5:$L$121,MATCH(B107,'Analyst Revisions'!$B$5:$B$121,0)),"")</x:f>
        <x:v>OK</x:v>
      </x:c>
      <x:c r="U107" s="52" t="n">
        <x:v>4.086075712143928</x:v>
      </x:c>
      <x:c r="V107" s="47" t="n">
        <x:f>IF(ISNUMBER(U107),1+COUNTIF($U$5:$U$121,"&gt;"&amp;U107),"")</x:f>
        <x:v>90</x:v>
      </x:c>
      <x:c r="W107" s="52" t="n">
        <x:v>3.0668965517241378</x:v>
      </x:c>
      <x:c r="X107" s="47" t="n">
        <x:f>IF(ISNUMBER(W107),1+COUNTIF($W$5:$W$121,"&gt;"&amp;W107),"")</x:f>
        <x:v>98</x:v>
      </x:c>
      <x:c r="Y107" s="52" t="n">
        <x:v>2.318965517241379</x:v>
      </x:c>
      <x:c r="Z107" s="47" t="n">
        <x:f>IF(ISNUMBER(Y107),1+COUNTIF($Y$5:$Y$121,"&gt;"&amp;Y107),"")</x:f>
        <x:v>100</x:v>
      </x:c>
      <x:c r="AA107" s="47" t="str">
        <x:v>Utilities</x:v>
      </x:c>
      <x:c r="AB107" s="54" t="n">
        <x:v>46213</x:v>
      </x:c>
      <x:c r="AC107" s="54" t="n">
        <x:v>46112</x:v>
      </x:c>
      <x:c r="AD107" s="54" t="n">
        <x:v>46022</x:v>
      </x:c>
      <x:c r="AE107" s="47" t="str">
        <x:v>OK</x:v>
      </x:c>
    </x:row>
    <x:row r="108">
      <x:c r="A108" s="47" t="n">
        <x:f>IF(ISNUMBER(H108),1+COUNTIF($H$5:$H$121,"&gt;"&amp;H108),"")</x:f>
        <x:v>113</x:v>
      </x:c>
      <x:c r="B108" s="47" t="str">
        <x:v>JNJ</x:v>
      </x:c>
      <x:c r="C108" s="47" t="str">
        <x:v>Johnson &amp; Johnson</x:v>
      </x:c>
      <x:c r="D108" s="49" t="str">
        <x:v>Long</x:v>
      </x:c>
      <x:c r="E108" s="49" t="n">
        <x:v>0.004419</x:v>
      </x:c>
      <x:c r="F108" s="50" t="n">
        <x:v>0.2849472630684089</x:v>
      </x:c>
      <x:c r="G108" s="50" t="n">
        <x:v>0.023565713829494992</x:v>
      </x:c>
      <x:c r="H108" s="329" t="n">
        <x:f>IFERROR((IF(ISNUMBER(J108),J108*'Methodology'!$C$5,0)+IF(ISNUMBER(L108),L108*'Methodology'!$C$6,0)+IF(ISNUMBER(O108),O108*'Methodology'!$C$7,0)+IF(ISNUMBER(U108),U108*'Methodology'!$C$8,0)+IF(ISNUMBER(W108),W108*'Methodology'!$C$9,0)+IF(ISNUMBER(Y108),Y108*'Methodology'!$C$10,0))/(IF(ISNUMBER(J108),'Methodology'!$C$5,0)+IF(ISNUMBER(L108),'Methodology'!$C$6,0)+IF(ISNUMBER(O108),'Methodology'!$C$7,0)+IF(ISNUMBER(U108),'Methodology'!$C$8,0)+IF(ISNUMBER(W108),'Methodology'!$C$9,0)+IF(ISNUMBER(Y108),'Methodology'!$C$10,0)),"")</x:f>
        <x:v>3.4242377674798963</x:v>
      </x:c>
      <x:c r="I108" s="47" t="n">
        <x:f>COUNT(J108,L108,O108,U108,W108,Y108)</x:f>
        <x:v>6</x:v>
      </x:c>
      <x:c r="J108" s="52" t="n">
        <x:v>4.413793103448276</x:v>
      </x:c>
      <x:c r="K108" s="47" t="n">
        <x:f>IF(ISNUMBER(J108),1+COUNTIF($J$5:$J$121,"&gt;"&amp;J108),"")</x:f>
        <x:v>73</x:v>
      </x:c>
      <x:c r="L108" s="52" t="n">
        <x:v>3.525691699604743</x:v>
      </x:c>
      <x:c r="M108" s="47" t="n">
        <x:f>IF(ISNUMBER(L108),1+COUNTIF($L$5:$L$121,"&gt;"&amp;L108),"")</x:f>
        <x:v>97</x:v>
      </x:c>
      <x:c r="N108" s="47" t="str">
        <x:v>SUE + CAR3</x:v>
      </x:c>
      <x:c r="O108" s="52" t="n">
        <x:f>IFERROR(INDEX('Analyst Revisions'!$K$5:$K$121,MATCH(B108,'Analyst Revisions'!$B$5:$B$121,0)),"")</x:f>
        <x:v>1.54</x:v>
      </x:c>
      <x:c r="P108" s="47" t="n">
        <x:f>IF(ISNUMBER(O108),1+COUNTIF($O$5:$O$121,"&gt;"&amp;O108),"")</x:f>
        <x:v>108</x:v>
      </x:c>
      <x:c r="Q108" s="50" t="n">
        <x:f>IFERROR(INDEX('Analyst Revisions'!$G$5:$G$121,MATCH(B108,'Analyst Revisions'!$B$5:$B$121,0)),"")</x:f>
        <x:v>2.425</x:v>
      </x:c>
      <x:c r="R108" s="50" t="n">
        <x:f>IFERROR(INDEX('Analyst Revisions'!$H$5:$H$121,MATCH(B108,'Analyst Revisions'!$B$5:$B$121,0)),"")</x:f>
        <x:v>3.02384</x:v>
      </x:c>
      <x:c r="S108" s="317" t="n">
        <x:f>IFERROR(INDEX('Analyst Revisions'!$I$5:$I$121,MATCH(B108,'Analyst Revisions'!$B$5:$B$121,0)),"")</x:f>
        <x:v>-0.19803957881369386</x:v>
      </x:c>
      <x:c r="T108" s="47" t="str">
        <x:f>IFERROR(INDEX('Analyst Revisions'!$L$5:$L$121,MATCH(B108,'Analyst Revisions'!$B$5:$B$121,0)),"")</x:f>
        <x:v>OK</x:v>
      </x:c>
      <x:c r="U108" s="52" t="n">
        <x:v>2.9541266866566716</x:v>
      </x:c>
      <x:c r="V108" s="47" t="n">
        <x:f>IF(ISNUMBER(U108),1+COUNTIF($U$5:$U$121,"&gt;"&amp;U108),"")</x:f>
        <x:v>109</x:v>
      </x:c>
      <x:c r="W108" s="52" t="n">
        <x:v>4.362586206896552</x:v>
      </x:c>
      <x:c r="X108" s="47" t="n">
        <x:f>IF(ISNUMBER(W108),1+COUNTIF($W$5:$W$121,"&gt;"&amp;W108),"")</x:f>
        <x:v>75</x:v>
      </x:c>
      <x:c r="Y108" s="52" t="n">
        <x:v>3.327586206896552</x:v>
      </x:c>
      <x:c r="Z108" s="47" t="n">
        <x:f>IF(ISNUMBER(Y108),1+COUNTIF($Y$5:$Y$121,"&gt;"&amp;Y108),"")</x:f>
        <x:v>87</x:v>
      </x:c>
      <x:c r="AA108" s="47" t="str">
        <x:v>Health Care</x:v>
      </x:c>
      <x:c r="AB108" s="54" t="n">
        <x:v>46213</x:v>
      </x:c>
      <x:c r="AC108" s="54" t="n">
        <x:v>46110</x:v>
      </x:c>
      <x:c r="AD108" s="54" t="n">
        <x:v>46019</x:v>
      </x:c>
      <x:c r="AE108" s="47" t="str">
        <x:v>OK</x:v>
      </x:c>
    </x:row>
    <x:row r="109">
      <x:c r="A109" s="47" t="n">
        <x:f>IF(ISNUMBER(H109),1+COUNTIF($H$5:$H$121,"&gt;"&amp;H109),"")</x:f>
        <x:v>94</x:v>
      </x:c>
      <x:c r="B109" s="47" t="str">
        <x:v>CNP</x:v>
      </x:c>
      <x:c r="C109" s="47" t="str">
        <x:v>Centerpoint Energy Inc.</x:v>
      </x:c>
      <x:c r="D109" s="49" t="str">
        <x:v>Long</x:v>
      </x:c>
      <x:c r="E109" s="49" t="n">
        <x:v>0.004118</x:v>
      </x:c>
      <x:c r="F109" s="50" t="n">
        <x:v>0.13702310324257344</x:v>
      </x:c>
      <x:c r="G109" s="50" t="n">
        <x:v>0.11335135977874447</x:v>
      </x:c>
      <x:c r="H109" s="329" t="n">
        <x:f>IFERROR((IF(ISNUMBER(J109),J109*'Methodology'!$C$5,0)+IF(ISNUMBER(L109),L109*'Methodology'!$C$6,0)+IF(ISNUMBER(O109),O109*'Methodology'!$C$7,0)+IF(ISNUMBER(U109),U109*'Methodology'!$C$8,0)+IF(ISNUMBER(W109),W109*'Methodology'!$C$9,0)+IF(ISNUMBER(Y109),Y109*'Methodology'!$C$10,0))/(IF(ISNUMBER(J109),'Methodology'!$C$5,0)+IF(ISNUMBER(L109),'Methodology'!$C$6,0)+IF(ISNUMBER(O109),'Methodology'!$C$7,0)+IF(ISNUMBER(U109),'Methodology'!$C$8,0)+IF(ISNUMBER(W109),'Methodology'!$C$9,0)+IF(ISNUMBER(Y109),'Methodology'!$C$10,0)),"")</x:f>
        <x:v>4.40196694834401</x:v>
      </x:c>
      <x:c r="I109" s="47" t="n">
        <x:f>COUNT(J109,L109,O109,U109,W109,Y109)</x:f>
        <x:v>6</x:v>
      </x:c>
      <x:c r="J109" s="52" t="n">
        <x:v>1.9310344827586206</x:v>
      </x:c>
      <x:c r="K109" s="47" t="n">
        <x:f>IF(ISNUMBER(J109),1+COUNTIF($J$5:$J$121,"&gt;"&amp;J109),"")</x:f>
        <x:v>105</x:v>
      </x:c>
      <x:c r="L109" s="52" t="n">
        <x:v>5.626284584980238</x:v>
      </x:c>
      <x:c r="M109" s="47" t="n">
        <x:f>IF(ISNUMBER(L109),1+COUNTIF($L$5:$L$121,"&gt;"&amp;L109),"")</x:f>
        <x:v>61</x:v>
      </x:c>
      <x:c r="N109" s="47" t="str">
        <x:v>SUE + CAR3</x:v>
      </x:c>
      <x:c r="O109" s="52" t="n">
        <x:f>IFERROR(INDEX('Analyst Revisions'!$K$5:$K$121,MATCH(B109,'Analyst Revisions'!$B$5:$B$121,0)),"")</x:f>
        <x:v>8.137</x:v>
      </x:c>
      <x:c r="P109" s="47" t="n">
        <x:f>IF(ISNUMBER(O109),1+COUNTIF($O$5:$O$121,"&gt;"&amp;O109),"")</x:f>
        <x:v>25</x:v>
      </x:c>
      <x:c r="Q109" s="50" t="n">
        <x:f>IFERROR(INDEX('Analyst Revisions'!$G$5:$G$121,MATCH(B109,'Analyst Revisions'!$B$5:$B$121,0)),"")</x:f>
        <x:v>0.50347</x:v>
      </x:c>
      <x:c r="R109" s="50" t="n">
        <x:f>IFERROR(INDEX('Analyst Revisions'!$H$5:$H$121,MATCH(B109,'Analyst Revisions'!$B$5:$B$121,0)),"")</x:f>
        <x:v>0.49281</x:v>
      </x:c>
      <x:c r="S109" s="317" t="n">
        <x:f>IFERROR(INDEX('Analyst Revisions'!$I$5:$I$121,MATCH(B109,'Analyst Revisions'!$B$5:$B$121,0)),"")</x:f>
        <x:v>0.02163105456463941</x:v>
      </x:c>
      <x:c r="T109" s="47" t="str">
        <x:f>IFERROR(INDEX('Analyst Revisions'!$L$5:$L$121,MATCH(B109,'Analyst Revisions'!$B$5:$B$121,0)),"")</x:f>
        <x:v>OK</x:v>
      </x:c>
      <x:c r="U109" s="52" t="n">
        <x:v>3.663062218890555</x:v>
      </x:c>
      <x:c r="V109" s="47" t="n">
        <x:f>IF(ISNUMBER(U109),1+COUNTIF($U$5:$U$121,"&gt;"&amp;U109),"")</x:f>
        <x:v>95</x:v>
      </x:c>
      <x:c r="W109" s="52" t="n">
        <x:v>3.34</x:v>
      </x:c>
      <x:c r="X109" s="47" t="n">
        <x:f>IF(ISNUMBER(W109),1+COUNTIF($W$5:$W$121,"&gt;"&amp;W109),"")</x:f>
        <x:v>92</x:v>
      </x:c>
      <x:c r="Y109" s="52" t="n">
        <x:v>3.405172413793103</x:v>
      </x:c>
      <x:c r="Z109" s="47" t="n">
        <x:f>IF(ISNUMBER(Y109),1+COUNTIF($Y$5:$Y$121,"&gt;"&amp;Y109),"")</x:f>
        <x:v>86</x:v>
      </x:c>
      <x:c r="AA109" s="47" t="str">
        <x:v>Utilities</x:v>
      </x:c>
      <x:c r="AB109" s="54" t="n">
        <x:v>46213</x:v>
      </x:c>
      <x:c r="AC109" s="54" t="n">
        <x:v>46112</x:v>
      </x:c>
      <x:c r="AD109" s="54" t="n">
        <x:v>46022</x:v>
      </x:c>
      <x:c r="AE109" s="47" t="str">
        <x:v>OK</x:v>
      </x:c>
    </x:row>
    <x:row r="110">
      <x:c r="A110" s="47" t="n">
        <x:f>IF(ISNUMBER(H110),1+COUNTIF($H$5:$H$121,"&gt;"&amp;H110),"")</x:f>
        <x:v>114</x:v>
      </x:c>
      <x:c r="B110" s="47" t="str">
        <x:v>CE</x:v>
      </x:c>
      <x:c r="C110" s="47" t="str">
        <x:v>Celanese Corp.</x:v>
      </x:c>
      <x:c r="D110" s="49" t="str">
        <x:v>Long</x:v>
      </x:c>
      <x:c r="E110" s="49" t="n">
        <x:v>0.00355</x:v>
      </x:c>
      <x:c r="F110" s="50" t="n">
        <x:v>-0.03803466978720145</x:v>
      </x:c>
      <x:c r="G110" s="50" t="n">
        <x:v>-0.3821796284199904</x:v>
      </x:c>
      <x:c r="H110" s="329" t="n">
        <x:f>IFERROR((IF(ISNUMBER(J110),J110*'Methodology'!$C$5,0)+IF(ISNUMBER(L110),L110*'Methodology'!$C$6,0)+IF(ISNUMBER(O110),O110*'Methodology'!$C$7,0)+IF(ISNUMBER(U110),U110*'Methodology'!$C$8,0)+IF(ISNUMBER(W110),W110*'Methodology'!$C$9,0)+IF(ISNUMBER(Y110),Y110*'Methodology'!$C$10,0))/(IF(ISNUMBER(J110),'Methodology'!$C$5,0)+IF(ISNUMBER(L110),'Methodology'!$C$6,0)+IF(ISNUMBER(O110),'Methodology'!$C$7,0)+IF(ISNUMBER(U110),'Methodology'!$C$8,0)+IF(ISNUMBER(W110),'Methodology'!$C$9,0)+IF(ISNUMBER(Y110),'Methodology'!$C$10,0)),"")</x:f>
        <x:v>3.304516014719913</x:v>
      </x:c>
      <x:c r="I110" s="47" t="n">
        <x:f>COUNT(J110,L110,O110,U110,W110,Y110)</x:f>
        <x:v>6</x:v>
      </x:c>
      <x:c r="J110" s="52" t="n">
        <x:v>1.3879310344827587</x:v>
      </x:c>
      <x:c r="K110" s="47" t="n">
        <x:f>IF(ISNUMBER(J110),1+COUNTIF($J$5:$J$121,"&gt;"&amp;J110),"")</x:f>
        <x:v>112</x:v>
      </x:c>
      <x:c r="L110" s="52" t="n">
        <x:v>2.7839920948616603</x:v>
      </x:c>
      <x:c r="M110" s="47" t="n">
        <x:f>IF(ISNUMBER(L110),1+COUNTIF($L$5:$L$121,"&gt;"&amp;L110),"")</x:f>
        <x:v>107</x:v>
      </x:c>
      <x:c r="N110" s="47" t="str">
        <x:v>SUE + CAR3</x:v>
      </x:c>
      <x:c r="O110" s="52" t="n">
        <x:f>IFERROR(INDEX('Analyst Revisions'!$K$5:$K$121,MATCH(B110,'Analyst Revisions'!$B$5:$B$121,0)),"")</x:f>
        <x:v>1.927</x:v>
      </x:c>
      <x:c r="P110" s="47" t="n">
        <x:f>IF(ISNUMBER(O110),1+COUNTIF($O$5:$O$121,"&gt;"&amp;O110),"")</x:f>
        <x:v>103</x:v>
      </x:c>
      <x:c r="Q110" s="50" t="n">
        <x:f>IFERROR(INDEX('Analyst Revisions'!$G$5:$G$121,MATCH(B110,'Analyst Revisions'!$B$5:$B$121,0)),"")</x:f>
        <x:v>1.5741</x:v>
      </x:c>
      <x:c r="R110" s="50" t="n">
        <x:f>IFERROR(INDEX('Analyst Revisions'!$H$5:$H$121,MATCH(B110,'Analyst Revisions'!$B$5:$B$121,0)),"")</x:f>
        <x:v>1.77868</x:v>
      </x:c>
      <x:c r="S110" s="317" t="n">
        <x:f>IFERROR(INDEX('Analyst Revisions'!$I$5:$I$121,MATCH(B110,'Analyst Revisions'!$B$5:$B$121,0)),"")</x:f>
        <x:v>-0.11501787842669844</x:v>
      </x:c>
      <x:c r="T110" s="47" t="str">
        <x:f>IFERROR(INDEX('Analyst Revisions'!$L$5:$L$121,MATCH(B110,'Analyst Revisions'!$B$5:$B$121,0)),"")</x:f>
        <x:v>OK</x:v>
      </x:c>
      <x:c r="U110" s="52" t="n">
        <x:v>6.778317091454273</x:v>
      </x:c>
      <x:c r="V110" s="47" t="n">
        <x:f>IF(ISNUMBER(U110),1+COUNTIF($U$5:$U$121,"&gt;"&amp;U110),"")</x:f>
        <x:v>31</x:v>
      </x:c>
      <x:c r="W110" s="52" t="n">
        <x:v>8.443620689655173</x:v>
      </x:c>
      <x:c r="X110" s="47" t="n">
        <x:f>IF(ISNUMBER(W110),1+COUNTIF($W$5:$W$121,"&gt;"&amp;W110),"")</x:f>
        <x:v>8</x:v>
      </x:c>
      <x:c r="Y110" s="52" t="n">
        <x:v>2.2413793103448274</x:v>
      </x:c>
      <x:c r="Z110" s="47" t="n">
        <x:f>IF(ISNUMBER(Y110),1+COUNTIF($Y$5:$Y$121,"&gt;"&amp;Y110),"")</x:f>
        <x:v>101</x:v>
      </x:c>
      <x:c r="AA110" s="47" t="str">
        <x:v>Industrials</x:v>
      </x:c>
      <x:c r="AB110" s="54" t="n">
        <x:v>46213</x:v>
      </x:c>
      <x:c r="AC110" s="54" t="n">
        <x:v>46112</x:v>
      </x:c>
      <x:c r="AD110" s="54" t="n">
        <x:v>46022</x:v>
      </x:c>
      <x:c r="AE110" s="47" t="str">
        <x:v>OK</x:v>
      </x:c>
    </x:row>
    <x:row r="111">
      <x:c r="A111" s="47" t="n">
        <x:f>IF(ISNUMBER(H111),1+COUNTIF($H$5:$H$121,"&gt;"&amp;H111),"")</x:f>
        <x:v>112</x:v>
      </x:c>
      <x:c r="B111" s="47" t="str">
        <x:v>DUK</x:v>
      </x:c>
      <x:c r="C111" s="47" t="str">
        <x:v>Duke Energy Corp.</x:v>
      </x:c>
      <x:c r="D111" s="49" t="str">
        <x:v>Long</x:v>
      </x:c>
      <x:c r="E111" s="49" t="n">
        <x:v>0.0041</x:v>
      </x:c>
      <x:c r="F111" s="50" t="n">
        <x:v>0.06386806150342139</x:v>
      </x:c>
      <x:c r="G111" s="50" t="n">
        <x:v>-0.01146342389453718</x:v>
      </x:c>
      <x:c r="H111" s="329" t="n">
        <x:f>IFERROR((IF(ISNUMBER(J111),J111*'Methodology'!$C$5,0)+IF(ISNUMBER(L111),L111*'Methodology'!$C$6,0)+IF(ISNUMBER(O111),O111*'Methodology'!$C$7,0)+IF(ISNUMBER(U111),U111*'Methodology'!$C$8,0)+IF(ISNUMBER(W111),W111*'Methodology'!$C$9,0)+IF(ISNUMBER(Y111),Y111*'Methodology'!$C$10,0))/(IF(ISNUMBER(J111),'Methodology'!$C$5,0)+IF(ISNUMBER(L111),'Methodology'!$C$6,0)+IF(ISNUMBER(O111),'Methodology'!$C$7,0)+IF(ISNUMBER(U111),'Methodology'!$C$8,0)+IF(ISNUMBER(W111),'Methodology'!$C$9,0)+IF(ISNUMBER(Y111),'Methodology'!$C$10,0)),"")</x:f>
        <x:v>3.4650728499386667</x:v>
      </x:c>
      <x:c r="I111" s="47" t="n">
        <x:f>COUNT(J111,L111,O111,U111,W111,Y111)</x:f>
        <x:v>6</x:v>
      </x:c>
      <x:c r="J111" s="52" t="n">
        <x:v>2.086206896551724</x:v>
      </x:c>
      <x:c r="K111" s="47" t="n">
        <x:f>IF(ISNUMBER(J111),1+COUNTIF($J$5:$J$121,"&gt;"&amp;J111),"")</x:f>
        <x:v>103</x:v>
      </x:c>
      <x:c r="L111" s="52" t="n">
        <x:v>4.738735177865612</x:v>
      </x:c>
      <x:c r="M111" s="47" t="n">
        <x:f>IF(ISNUMBER(L111),1+COUNTIF($L$5:$L$121,"&gt;"&amp;L111),"")</x:f>
        <x:v>77</x:v>
      </x:c>
      <x:c r="N111" s="47" t="str">
        <x:v>SUE + CAR3</x:v>
      </x:c>
      <x:c r="O111" s="52" t="n">
        <x:f>IFERROR(INDEX('Analyst Revisions'!$K$5:$K$121,MATCH(B111,'Analyst Revisions'!$B$5:$B$121,0)),"")</x:f>
        <x:v>3.016</x:v>
      </x:c>
      <x:c r="P111" s="47" t="n">
        <x:f>IF(ISNUMBER(O111),1+COUNTIF($O$5:$O$121,"&gt;"&amp;O111),"")</x:f>
        <x:v>89</x:v>
      </x:c>
      <x:c r="Q111" s="50" t="n">
        <x:f>IFERROR(INDEX('Analyst Revisions'!$G$5:$G$121,MATCH(B111,'Analyst Revisions'!$B$5:$B$121,0)),"")</x:f>
        <x:v>1.858</x:v>
      </x:c>
      <x:c r="R111" s="50" t="n">
        <x:f>IFERROR(INDEX('Analyst Revisions'!$H$5:$H$121,MATCH(B111,'Analyst Revisions'!$B$5:$B$121,0)),"")</x:f>
        <x:v>1.9115</x:v>
      </x:c>
      <x:c r="S111" s="317" t="n">
        <x:f>IFERROR(INDEX('Analyst Revisions'!$I$5:$I$121,MATCH(B111,'Analyst Revisions'!$B$5:$B$121,0)),"")</x:f>
        <x:v>-0.027988490714098813</x:v>
      </x:c>
      <x:c r="T111" s="47" t="str">
        <x:f>IFERROR(INDEX('Analyst Revisions'!$L$5:$L$121,MATCH(B111,'Analyst Revisions'!$B$5:$B$121,0)),"")</x:f>
        <x:v>OK</x:v>
      </x:c>
      <x:c r="U111" s="52" t="n">
        <x:v>4.461053223388306</x:v>
      </x:c>
      <x:c r="V111" s="47" t="n">
        <x:f>IF(ISNUMBER(U111),1+COUNTIF($U$5:$U$121,"&gt;"&amp;U111),"")</x:f>
        <x:v>80</x:v>
      </x:c>
      <x:c r="W111" s="52" t="n">
        <x:v>4.758275862068966</x:v>
      </x:c>
      <x:c r="X111" s="47" t="n">
        <x:f>IF(ISNUMBER(W111),1+COUNTIF($W$5:$W$121,"&gt;"&amp;W111),"")</x:f>
        <x:v>66</x:v>
      </x:c>
      <x:c r="Y111" s="52" t="n">
        <x:v>2.086206896551724</x:v>
      </x:c>
      <x:c r="Z111" s="47" t="n">
        <x:f>IF(ISNUMBER(Y111),1+COUNTIF($Y$5:$Y$121,"&gt;"&amp;Y111),"")</x:f>
        <x:v>103</x:v>
      </x:c>
      <x:c r="AA111" s="47" t="str">
        <x:v>Utilities</x:v>
      </x:c>
      <x:c r="AB111" s="54" t="n">
        <x:v>46213</x:v>
      </x:c>
      <x:c r="AC111" s="54" t="n">
        <x:v>46112</x:v>
      </x:c>
      <x:c r="AD111" s="54" t="n">
        <x:v>46022</x:v>
      </x:c>
      <x:c r="AE111" s="47" t="str">
        <x:v>OK</x:v>
      </x:c>
    </x:row>
    <x:row r="112">
      <x:c r="A112" s="47" t="n">
        <x:f>IF(ISNUMBER(H112),1+COUNTIF($H$5:$H$121,"&gt;"&amp;H112),"")</x:f>
        <x:v>111</x:v>
      </x:c>
      <x:c r="B112" s="47" t="str">
        <x:v>EIX</x:v>
      </x:c>
      <x:c r="C112" s="47" t="str">
        <x:v>Edison International</x:v>
      </x:c>
      <x:c r="D112" s="49" t="str">
        <x:v>Short</x:v>
      </x:c>
      <x:c r="E112" s="49" t="n">
        <x:v>-0.00375</x:v>
      </x:c>
      <x:c r="F112" s="50" t="n">
        <x:v>0.24531301035200592</x:v>
      </x:c>
      <x:c r="G112" s="50" t="n">
        <x:v>-0.06045813110505138</x:v>
      </x:c>
      <x:c r="H112" s="329" t="n">
        <x:f>IFERROR((IF(ISNUMBER(J112),J112*'Methodology'!$C$5,0)+IF(ISNUMBER(L112),L112*'Methodology'!$C$6,0)+IF(ISNUMBER(O112),O112*'Methodology'!$C$7,0)+IF(ISNUMBER(U112),U112*'Methodology'!$C$8,0)+IF(ISNUMBER(W112),W112*'Methodology'!$C$9,0)+IF(ISNUMBER(Y112),Y112*'Methodology'!$C$10,0))/(IF(ISNUMBER(J112),'Methodology'!$C$5,0)+IF(ISNUMBER(L112),'Methodology'!$C$6,0)+IF(ISNUMBER(O112),'Methodology'!$C$7,0)+IF(ISNUMBER(U112),'Methodology'!$C$8,0)+IF(ISNUMBER(W112),'Methodology'!$C$9,0)+IF(ISNUMBER(Y112),'Methodology'!$C$10,0)),"")</x:f>
        <x:v>3.4734099086820227</x:v>
      </x:c>
      <x:c r="I112" s="47" t="n">
        <x:f>COUNT(J112,L112,O112,U112,W112,Y112)</x:f>
        <x:v>6</x:v>
      </x:c>
      <x:c r="J112" s="52" t="n">
        <x:v>2.862068965517241</x:v>
      </x:c>
      <x:c r="K112" s="47" t="n">
        <x:f>IF(ISNUMBER(J112),1+COUNTIF($J$5:$J$121,"&gt;"&amp;J112),"")</x:f>
        <x:v>93</x:v>
      </x:c>
      <x:c r="L112" s="52" t="n">
        <x:v>3.9916996047430833</x:v>
      </x:c>
      <x:c r="M112" s="47" t="n">
        <x:f>IF(ISNUMBER(L112),1+COUNTIF($L$5:$L$121,"&gt;"&amp;L112),"")</x:f>
        <x:v>89</x:v>
      </x:c>
      <x:c r="N112" s="47" t="str">
        <x:v>SUE + CAR3</x:v>
      </x:c>
      <x:c r="O112" s="52" t="n">
        <x:f>IFERROR(INDEX('Analyst Revisions'!$K$5:$K$121,MATCH(B112,'Analyst Revisions'!$B$5:$B$121,0)),"")</x:f>
        <x:v>3.088</x:v>
      </x:c>
      <x:c r="P112" s="47" t="n">
        <x:f>IF(ISNUMBER(O112),1+COUNTIF($O$5:$O$121,"&gt;"&amp;O112),"")</x:f>
        <x:v>88</x:v>
      </x:c>
      <x:c r="Q112" s="50" t="n">
        <x:f>IFERROR(INDEX('Analyst Revisions'!$G$5:$G$121,MATCH(B112,'Analyst Revisions'!$B$5:$B$121,0)),"")</x:f>
        <x:v>1.91706</x:v>
      </x:c>
      <x:c r="R112" s="50" t="n">
        <x:f>IFERROR(INDEX('Analyst Revisions'!$H$5:$H$121,MATCH(B112,'Analyst Revisions'!$B$5:$B$121,0)),"")</x:f>
        <x:v>1.97132</x:v>
      </x:c>
      <x:c r="S112" s="317" t="n">
        <x:f>IFERROR(INDEX('Analyst Revisions'!$I$5:$I$121,MATCH(B112,'Analyst Revisions'!$B$5:$B$121,0)),"")</x:f>
        <x:v>-0.027524704259075126</x:v>
      </x:c>
      <x:c r="T112" s="47" t="str">
        <x:f>IFERROR(INDEX('Analyst Revisions'!$L$5:$L$121,MATCH(B112,'Analyst Revisions'!$B$5:$B$121,0)),"")</x:f>
        <x:v>OK</x:v>
      </x:c>
      <x:c r="U112" s="52" t="n">
        <x:v>6.245468515742129</x:v>
      </x:c>
      <x:c r="V112" s="47" t="n">
        <x:f>IF(ISNUMBER(U112),1+COUNTIF($U$5:$U$121,"&gt;"&amp;U112),"")</x:f>
        <x:v>42</x:v>
      </x:c>
      <x:c r="W112" s="52" t="n">
        <x:v>3.2639655172413793</x:v>
      </x:c>
      <x:c r="X112" s="47" t="n">
        <x:f>IF(ISNUMBER(W112),1+COUNTIF($W$5:$W$121,"&gt;"&amp;W112),"")</x:f>
        <x:v>95</x:v>
      </x:c>
      <x:c r="Y112" s="52" t="n">
        <x:v>1.6982758620689655</x:v>
      </x:c>
      <x:c r="Z112" s="47" t="n">
        <x:f>IF(ISNUMBER(Y112),1+COUNTIF($Y$5:$Y$121,"&gt;"&amp;Y112),"")</x:f>
        <x:v>108</x:v>
      </x:c>
      <x:c r="AA112" s="47" t="str">
        <x:v>Utilities</x:v>
      </x:c>
      <x:c r="AB112" s="54" t="n">
        <x:v>46213</x:v>
      </x:c>
      <x:c r="AC112" s="54" t="n">
        <x:v>46112</x:v>
      </x:c>
      <x:c r="AD112" s="54" t="n">
        <x:v>46022</x:v>
      </x:c>
      <x:c r="AE112" s="47" t="str">
        <x:v>OK</x:v>
      </x:c>
    </x:row>
    <x:row r="113">
      <x:c r="A113" s="47" t="n">
        <x:f>IF(ISNUMBER(H113),1+COUNTIF($H$5:$H$121,"&gt;"&amp;H113),"")</x:f>
        <x:v>103</x:v>
      </x:c>
      <x:c r="B113" s="47" t="str">
        <x:v>WTRG</x:v>
      </x:c>
      <x:c r="C113" s="47" t="str">
        <x:v>Essential Utilities Inc.</x:v>
      </x:c>
      <x:c r="D113" s="49" t="str">
        <x:v>Long</x:v>
      </x:c>
      <x:c r="E113" s="49" t="n">
        <x:v>0.004179</x:v>
      </x:c>
      <x:c r="F113" s="50" t="n">
        <x:v>0.17660457119115475</x:v>
      </x:c>
      <x:c r="G113" s="50" t="n">
        <x:v>0.029320476213381512</x:v>
      </x:c>
      <x:c r="H113" s="329" t="n">
        <x:f>IFERROR((IF(ISNUMBER(J113),J113*'Methodology'!$C$5,0)+IF(ISNUMBER(L113),L113*'Methodology'!$C$6,0)+IF(ISNUMBER(O113),O113*'Methodology'!$C$7,0)+IF(ISNUMBER(U113),U113*'Methodology'!$C$8,0)+IF(ISNUMBER(W113),W113*'Methodology'!$C$9,0)+IF(ISNUMBER(Y113),Y113*'Methodology'!$C$10,0))/(IF(ISNUMBER(J113),'Methodology'!$C$5,0)+IF(ISNUMBER(L113),'Methodology'!$C$6,0)+IF(ISNUMBER(O113),'Methodology'!$C$7,0)+IF(ISNUMBER(U113),'Methodology'!$C$8,0)+IF(ISNUMBER(W113),'Methodology'!$C$9,0)+IF(ISNUMBER(Y113),'Methodology'!$C$10,0)),"")</x:f>
        <x:v>4.0898120485211935</x:v>
      </x:c>
      <x:c r="I113" s="47" t="n">
        <x:f>COUNT(J113,L113,O113,U113,W113,Y113)</x:f>
        <x:v>6</x:v>
      </x:c>
      <x:c r="J113" s="52" t="n">
        <x:v>2.6293103448275863</x:v>
      </x:c>
      <x:c r="K113" s="47" t="n">
        <x:f>IF(ISNUMBER(J113),1+COUNTIF($J$5:$J$121,"&gt;"&amp;J113),"")</x:f>
        <x:v>96</x:v>
      </x:c>
      <x:c r="L113" s="52" t="n">
        <x:v>3.5950592885375494</x:v>
      </x:c>
      <x:c r="M113" s="47" t="n">
        <x:f>IF(ISNUMBER(L113),1+COUNTIF($L$5:$L$121,"&gt;"&amp;L113),"")</x:f>
        <x:v>94</x:v>
      </x:c>
      <x:c r="N113" s="47" t="str">
        <x:v>SUE + CAR3</x:v>
      </x:c>
      <x:c r="O113" s="52" t="n">
        <x:f>IFERROR(INDEX('Analyst Revisions'!$K$5:$K$121,MATCH(B113,'Analyst Revisions'!$B$5:$B$121,0)),"")</x:f>
        <x:v>7.048</x:v>
      </x:c>
      <x:c r="P113" s="47" t="n">
        <x:f>IF(ISNUMBER(O113),1+COUNTIF($O$5:$O$121,"&gt;"&amp;O113),"")</x:f>
        <x:v>39</x:v>
      </x:c>
      <x:c r="Q113" s="50" t="n">
        <x:f>IFERROR(INDEX('Analyst Revisions'!$G$5:$G$121,MATCH(B113,'Analyst Revisions'!$B$5:$B$121,0)),"")</x:f>
        <x:v>0.34881</x:v>
      </x:c>
      <x:c r="R113" s="50" t="n">
        <x:f>IFERROR(INDEX('Analyst Revisions'!$H$5:$H$121,MATCH(B113,'Analyst Revisions'!$B$5:$B$121,0)),"")</x:f>
        <x:v>0.34714</x:v>
      </x:c>
      <x:c r="S113" s="317" t="n">
        <x:f>IFERROR(INDEX('Analyst Revisions'!$I$5:$I$121,MATCH(B113,'Analyst Revisions'!$B$5:$B$121,0)),"")</x:f>
        <x:v>0.004810739183038557</x:v>
      </x:c>
      <x:c r="T113" s="47" t="str">
        <x:f>IFERROR(INDEX('Analyst Revisions'!$L$5:$L$121,MATCH(B113,'Analyst Revisions'!$B$5:$B$121,0)),"")</x:f>
        <x:v>OK</x:v>
      </x:c>
      <x:c r="U113" s="52" t="n">
        <x:v>5.349752623688156</x:v>
      </x:c>
      <x:c r="V113" s="47" t="n">
        <x:f>IF(ISNUMBER(U113),1+COUNTIF($U$5:$U$121,"&gt;"&amp;U113),"")</x:f>
        <x:v>62</x:v>
      </x:c>
      <x:c r="W113" s="52" t="n">
        <x:v>4.873103448275862</x:v>
      </x:c>
      <x:c r="X113" s="47" t="n">
        <x:f>IF(ISNUMBER(W113),1+COUNTIF($W$5:$W$121,"&gt;"&amp;W113),"")</x:f>
        <x:v>63</x:v>
      </x:c>
      <x:c r="Y113" s="52" t="n">
        <x:v>2.0086206896551726</x:v>
      </x:c>
      <x:c r="Z113" s="47" t="n">
        <x:f>IF(ISNUMBER(Y113),1+COUNTIF($Y$5:$Y$121,"&gt;"&amp;Y113),"")</x:f>
        <x:v>104</x:v>
      </x:c>
      <x:c r="AA113" s="47" t="str">
        <x:v>Utilities</x:v>
      </x:c>
      <x:c r="AB113" s="54" t="n">
        <x:v>46213</x:v>
      </x:c>
      <x:c r="AC113" s="54" t="n">
        <x:v>46112</x:v>
      </x:c>
      <x:c r="AD113" s="54" t="n">
        <x:v>46022</x:v>
      </x:c>
      <x:c r="AE113" s="47" t="str">
        <x:v>OK</x:v>
      </x:c>
    </x:row>
    <x:row r="114">
      <x:c r="A114" s="47" t="n">
        <x:f>IF(ISNUMBER(H114),1+COUNTIF($H$5:$H$121,"&gt;"&amp;H114),"")</x:f>
        <x:v>110</x:v>
      </x:c>
      <x:c r="B114" s="47" t="str">
        <x:v>MCD</x:v>
      </x:c>
      <x:c r="C114" s="47" t="str">
        <x:v>McDonald's Corp.</x:v>
      </x:c>
      <x:c r="D114" s="49" t="str">
        <x:v>Long</x:v>
      </x:c>
      <x:c r="E114" s="49" t="n">
        <x:v>0.003778</x:v>
      </x:c>
      <x:c r="F114" s="50" t="n">
        <x:v>0.139461704505625</x:v>
      </x:c>
      <x:c r="G114" s="50" t="n">
        <x:v>0.03974482844154049</x:v>
      </x:c>
      <x:c r="H114" s="329" t="n">
        <x:f>IFERROR((IF(ISNUMBER(J114),J114*'Methodology'!$C$5,0)+IF(ISNUMBER(L114),L114*'Methodology'!$C$6,0)+IF(ISNUMBER(O114),O114*'Methodology'!$C$7,0)+IF(ISNUMBER(U114),U114*'Methodology'!$C$8,0)+IF(ISNUMBER(W114),W114*'Methodology'!$C$9,0)+IF(ISNUMBER(Y114),Y114*'Methodology'!$C$10,0))/(IF(ISNUMBER(J114),'Methodology'!$C$5,0)+IF(ISNUMBER(L114),'Methodology'!$C$6,0)+IF(ISNUMBER(O114),'Methodology'!$C$7,0)+IF(ISNUMBER(U114),'Methodology'!$C$8,0)+IF(ISNUMBER(W114),'Methodology'!$C$9,0)+IF(ISNUMBER(Y114),'Methodology'!$C$10,0)),"")</x:f>
        <x:v>3.566723183862614</x:v>
      </x:c>
      <x:c r="I114" s="47" t="n">
        <x:f>COUNT(J114,L114,O114,U114,W114,Y114)</x:f>
        <x:v>6</x:v>
      </x:c>
      <x:c r="J114" s="52" t="n">
        <x:v>1.1551724137931034</x:v>
      </x:c>
      <x:c r="K114" s="47" t="n">
        <x:f>IF(ISNUMBER(J114),1+COUNTIF($J$5:$J$121,"&gt;"&amp;J114),"")</x:f>
        <x:v>113</x:v>
      </x:c>
      <x:c r="L114" s="52" t="n">
        <x:v>5.037549407114624</x:v>
      </x:c>
      <x:c r="M114" s="47" t="n">
        <x:f>IF(ISNUMBER(L114),1+COUNTIF($L$5:$L$121,"&gt;"&amp;L114),"")</x:f>
        <x:v>72</x:v>
      </x:c>
      <x:c r="N114" s="47" t="str">
        <x:v>SUE + CAR3</x:v>
      </x:c>
      <x:c r="O114" s="52" t="n">
        <x:f>IFERROR(INDEX('Analyst Revisions'!$K$5:$K$121,MATCH(B114,'Analyst Revisions'!$B$5:$B$121,0)),"")</x:f>
        <x:v>4.024</x:v>
      </x:c>
      <x:c r="P114" s="47" t="n">
        <x:f>IF(ISNUMBER(O114),1+COUNTIF($O$5:$O$121,"&gt;"&amp;O114),"")</x:f>
        <x:v>76</x:v>
      </x:c>
      <x:c r="Q114" s="50" t="n">
        <x:f>IFERROR(INDEX('Analyst Revisions'!$G$5:$G$121,MATCH(B114,'Analyst Revisions'!$B$5:$B$121,0)),"")</x:f>
        <x:v>3.39735</x:v>
      </x:c>
      <x:c r="R114" s="50" t="n">
        <x:f>IFERROR(INDEX('Analyst Revisions'!$H$5:$H$121,MATCH(B114,'Analyst Revisions'!$B$5:$B$121,0)),"")</x:f>
        <x:v>3.45181</x:v>
      </x:c>
      <x:c r="S114" s="317" t="n">
        <x:f>IFERROR(INDEX('Analyst Revisions'!$I$5:$I$121,MATCH(B114,'Analyst Revisions'!$B$5:$B$121,0)),"")</x:f>
        <x:v>-0.015777229917058058</x:v>
      </x:c>
      <x:c r="T114" s="47" t="str">
        <x:f>IFERROR(INDEX('Analyst Revisions'!$L$5:$L$121,MATCH(B114,'Analyst Revisions'!$B$5:$B$121,0)),"")</x:f>
        <x:v>OK</x:v>
      </x:c>
      <x:c r="U114" s="52" t="n">
        <x:v>3.2132983508245876</x:v>
      </x:c>
      <x:c r="V114" s="47" t="n">
        <x:f>IF(ISNUMBER(U114),1+COUNTIF($U$5:$U$121,"&gt;"&amp;U114),"")</x:f>
        <x:v>101</x:v>
      </x:c>
      <x:c r="W114" s="52" t="n">
        <x:v>4.038275862068966</x:v>
      </x:c>
      <x:c r="X114" s="47" t="n">
        <x:f>IF(ISNUMBER(W114),1+COUNTIF($W$5:$W$121,"&gt;"&amp;W114),"")</x:f>
        <x:v>82</x:v>
      </x:c>
      <x:c r="Y114" s="52" t="n">
        <x:v>4.879310344827585</x:v>
      </x:c>
      <x:c r="Z114" s="47" t="n">
        <x:f>IF(ISNUMBER(Y114),1+COUNTIF($Y$5:$Y$121,"&gt;"&amp;Y114),"")</x:f>
        <x:v>67</x:v>
      </x:c>
      <x:c r="AA114" s="47" t="str">
        <x:v>Consumer Discretionary</x:v>
      </x:c>
      <x:c r="AB114" s="54" t="n">
        <x:v>46213</x:v>
      </x:c>
      <x:c r="AC114" s="54" t="n">
        <x:v>46112</x:v>
      </x:c>
      <x:c r="AD114" s="54" t="n">
        <x:v>46022</x:v>
      </x:c>
      <x:c r="AE114" s="47" t="str">
        <x:v>OK</x:v>
      </x:c>
    </x:row>
    <x:row r="115">
      <x:c r="A115" s="47" t="n">
        <x:f>IF(ISNUMBER(H115),1+COUNTIF($H$5:$H$121,"&gt;"&amp;H115),"")</x:f>
        <x:v>92</x:v>
      </x:c>
      <x:c r="B115" s="47" t="str">
        <x:v>CMS</x:v>
      </x:c>
      <x:c r="C115" s="47" t="str">
        <x:v>CMS Energy Corp.</x:v>
      </x:c>
      <x:c r="D115" s="49" t="str">
        <x:v>Long</x:v>
      </x:c>
      <x:c r="E115" s="49" t="n">
        <x:v>0.004149</x:v>
      </x:c>
      <x:c r="F115" s="50" t="n">
        <x:v>0.09774596917094862</x:v>
      </x:c>
      <x:c r="G115" s="50" t="n">
        <x:v>-0.01220974383182669</x:v>
      </x:c>
      <x:c r="H115" s="329" t="n">
        <x:f>IFERROR((IF(ISNUMBER(J115),J115*'Methodology'!$C$5,0)+IF(ISNUMBER(L115),L115*'Methodology'!$C$6,0)+IF(ISNUMBER(O115),O115*'Methodology'!$C$7,0)+IF(ISNUMBER(U115),U115*'Methodology'!$C$8,0)+IF(ISNUMBER(W115),W115*'Methodology'!$C$9,0)+IF(ISNUMBER(Y115),Y115*'Methodology'!$C$10,0))/(IF(ISNUMBER(J115),'Methodology'!$C$5,0)+IF(ISNUMBER(L115),'Methodology'!$C$6,0)+IF(ISNUMBER(O115),'Methodology'!$C$7,0)+IF(ISNUMBER(U115),'Methodology'!$C$8,0)+IF(ISNUMBER(W115),'Methodology'!$C$9,0)+IF(ISNUMBER(Y115),'Methodology'!$C$10,0)),"")</x:f>
        <x:v>4.433417813820363</x:v>
      </x:c>
      <x:c r="I115" s="47" t="n">
        <x:f>COUNT(J115,L115,O115,U115,W115,Y115)</x:f>
        <x:v>6</x:v>
      </x:c>
      <x:c r="J115" s="52" t="n">
        <x:v>1.853448275862069</x:v>
      </x:c>
      <x:c r="K115" s="47" t="n">
        <x:f>IF(ISNUMBER(J115),1+COUNTIF($J$5:$J$121,"&gt;"&amp;J115),"")</x:f>
        <x:v>106</x:v>
      </x:c>
      <x:c r="L115" s="52" t="n">
        <x:v>6.129644268774704</x:v>
      </x:c>
      <x:c r="M115" s="47" t="n">
        <x:f>IF(ISNUMBER(L115),1+COUNTIF($L$5:$L$121,"&gt;"&amp;L115),"")</x:f>
        <x:v>43</x:v>
      </x:c>
      <x:c r="N115" s="47" t="str">
        <x:v>SUE + CAR3</x:v>
      </x:c>
      <x:c r="O115" s="52" t="n">
        <x:f>IFERROR(INDEX('Analyst Revisions'!$K$5:$K$121,MATCH(B115,'Analyst Revisions'!$B$5:$B$121,0)),"")</x:f>
        <x:v>9.532</x:v>
      </x:c>
      <x:c r="P115" s="47" t="n">
        <x:f>IF(ISNUMBER(O115),1+COUNTIF($O$5:$O$121,"&gt;"&amp;O115),"")</x:f>
        <x:v>7</x:v>
      </x:c>
      <x:c r="Q115" s="50" t="n">
        <x:f>IFERROR(INDEX('Analyst Revisions'!$G$5:$G$121,MATCH(B115,'Analyst Revisions'!$B$5:$B$121,0)),"")</x:f>
        <x:v>1.12489</x:v>
      </x:c>
      <x:c r="R115" s="50" t="n">
        <x:f>IFERROR(INDEX('Analyst Revisions'!$H$5:$H$121,MATCH(B115,'Analyst Revisions'!$B$5:$B$121,0)),"")</x:f>
        <x:v>1.06053</x:v>
      </x:c>
      <x:c r="S115" s="317" t="n">
        <x:f>IFERROR(INDEX('Analyst Revisions'!$I$5:$I$121,MATCH(B115,'Analyst Revisions'!$B$5:$B$121,0)),"")</x:f>
        <x:v>0.06068663781316886</x:v>
      </x:c>
      <x:c r="T115" s="47" t="str">
        <x:f>IFERROR(INDEX('Analyst Revisions'!$L$5:$L$121,MATCH(B115,'Analyst Revisions'!$B$5:$B$121,0)),"")</x:f>
        <x:v>OK</x:v>
      </x:c>
      <x:c r="U115" s="52" t="n">
        <x:v>4.213215892053973</x:v>
      </x:c>
      <x:c r="V115" s="47" t="n">
        <x:f>IF(ISNUMBER(U115),1+COUNTIF($U$5:$U$121,"&gt;"&amp;U115),"")</x:f>
        <x:v>87</x:v>
      </x:c>
      <x:c r="W115" s="52" t="n">
        <x:v>2.272413793103448</x:v>
      </x:c>
      <x:c r="X115" s="47" t="n">
        <x:f>IF(ISNUMBER(W115),1+COUNTIF($W$5:$W$121,"&gt;"&amp;W115),"")</x:f>
        <x:v>108</x:v>
      </x:c>
      <x:c r="Y115" s="52" t="n">
        <x:v>1.1551724137931034</x:v>
      </x:c>
      <x:c r="Z115" s="47" t="n">
        <x:f>IF(ISNUMBER(Y115),1+COUNTIF($Y$5:$Y$121,"&gt;"&amp;Y115),"")</x:f>
        <x:v>115</x:v>
      </x:c>
      <x:c r="AA115" s="47" t="str">
        <x:v>Utilities</x:v>
      </x:c>
      <x:c r="AB115" s="54" t="n">
        <x:v>46213</x:v>
      </x:c>
      <x:c r="AC115" s="54" t="n">
        <x:v>46112</x:v>
      </x:c>
      <x:c r="AD115" s="54" t="n">
        <x:v>46022</x:v>
      </x:c>
      <x:c r="AE115" s="47" t="str">
        <x:v>OK</x:v>
      </x:c>
    </x:row>
    <x:row r="116">
      <x:c r="A116" s="47" t="n">
        <x:f>IF(ISNUMBER(H116),1+COUNTIF($H$5:$H$121,"&gt;"&amp;H116),"")</x:f>
        <x:v>101</x:v>
      </x:c>
      <x:c r="B116" s="47" t="str">
        <x:v>ORLY</x:v>
      </x:c>
      <x:c r="C116" s="47" t="str">
        <x:v>O'Reilly Automotive Inc.</x:v>
      </x:c>
      <x:c r="D116" s="49" t="str">
        <x:v>Long</x:v>
      </x:c>
      <x:c r="E116" s="49" t="n">
        <x:v>0.003709</x:v>
      </x:c>
      <x:c r="F116" s="50" t="n">
        <x:v>0.2904296316301084</x:v>
      </x:c>
      <x:c r="G116" s="50" t="n">
        <x:v>0.08213233961401643</x:v>
      </x:c>
      <x:c r="H116" s="329" t="n">
        <x:f>IFERROR((IF(ISNUMBER(J116),J116*'Methodology'!$C$5,0)+IF(ISNUMBER(L116),L116*'Methodology'!$C$6,0)+IF(ISNUMBER(O116),O116*'Methodology'!$C$7,0)+IF(ISNUMBER(U116),U116*'Methodology'!$C$8,0)+IF(ISNUMBER(W116),W116*'Methodology'!$C$9,0)+IF(ISNUMBER(Y116),Y116*'Methodology'!$C$10,0))/(IF(ISNUMBER(J116),'Methodology'!$C$5,0)+IF(ISNUMBER(L116),'Methodology'!$C$6,0)+IF(ISNUMBER(O116),'Methodology'!$C$7,0)+IF(ISNUMBER(U116),'Methodology'!$C$8,0)+IF(ISNUMBER(W116),'Methodology'!$C$9,0)+IF(ISNUMBER(Y116),'Methodology'!$C$10,0)),"")</x:f>
        <x:v>4.155966335014311</x:v>
      </x:c>
      <x:c r="I116" s="47" t="n">
        <x:f>COUNT(J116,L116,O116,U116,W116,Y116)</x:f>
        <x:v>6</x:v>
      </x:c>
      <x:c r="J116" s="52" t="n">
        <x:v>1.1551724137931034</x:v>
      </x:c>
      <x:c r="K116" s="47" t="n">
        <x:f>IF(ISNUMBER(J116),1+COUNTIF($J$5:$J$121,"&gt;"&amp;J116),"")</x:f>
        <x:v>113</x:v>
      </x:c>
      <x:c r="L116" s="52" t="n">
        <x:v>5.432411067193676</x:v>
      </x:c>
      <x:c r="M116" s="47" t="n">
        <x:f>IF(ISNUMBER(L116),1+COUNTIF($L$5:$L$121,"&gt;"&amp;L116),"")</x:f>
        <x:v>64</x:v>
      </x:c>
      <x:c r="N116" s="47" t="str">
        <x:v>SUE + CAR3</x:v>
      </x:c>
      <x:c r="O116" s="52" t="n">
        <x:f>IFERROR(INDEX('Analyst Revisions'!$K$5:$K$121,MATCH(B116,'Analyst Revisions'!$B$5:$B$121,0)),"")</x:f>
        <x:v>7.9750000000000005</x:v>
      </x:c>
      <x:c r="P116" s="47" t="n">
        <x:f>IF(ISNUMBER(O116),1+COUNTIF($O$5:$O$121,"&gt;"&amp;O116),"")</x:f>
        <x:v>27</x:v>
      </x:c>
      <x:c r="Q116" s="50" t="n">
        <x:f>IFERROR(INDEX('Analyst Revisions'!$G$5:$G$121,MATCH(B116,'Analyst Revisions'!$B$5:$B$121,0)),"")</x:f>
        <x:v>0.92478</x:v>
      </x:c>
      <x:c r="R116" s="50" t="n">
        <x:f>IFERROR(INDEX('Analyst Revisions'!$H$5:$H$121,MATCH(B116,'Analyst Revisions'!$B$5:$B$121,0)),"")</x:f>
        <x:v>0.90951</x:v>
      </x:c>
      <x:c r="S116" s="317" t="n">
        <x:f>IFERROR(INDEX('Analyst Revisions'!$I$5:$I$121,MATCH(B116,'Analyst Revisions'!$B$5:$B$121,0)),"")</x:f>
        <x:v>0.01678926015107036</x:v>
      </x:c>
      <x:c r="T116" s="47" t="str">
        <x:f>IFERROR(INDEX('Analyst Revisions'!$L$5:$L$121,MATCH(B116,'Analyst Revisions'!$B$5:$B$121,0)),"")</x:f>
        <x:v>OK</x:v>
      </x:c>
      <x:c r="U116" s="52" t="n">
        <x:v>3.2067203898050973</x:v>
      </x:c>
      <x:c r="V116" s="47" t="n">
        <x:f>IF(ISNUMBER(U116),1+COUNTIF($U$5:$U$121,"&gt;"&amp;U116),"")</x:f>
        <x:v>102</x:v>
      </x:c>
      <x:c r="W116" s="52" t="n">
        <x:v>3.0762068965517244</x:v>
      </x:c>
      <x:c r="X116" s="47" t="n">
        <x:f>IF(ISNUMBER(W116),1+COUNTIF($W$5:$W$121,"&gt;"&amp;W116),"")</x:f>
        <x:v>97</x:v>
      </x:c>
      <x:c r="Y116" s="52" t="n">
        <x:v>4.336206896551724</x:v>
      </x:c>
      <x:c r="Z116" s="47" t="n">
        <x:f>IF(ISNUMBER(Y116),1+COUNTIF($Y$5:$Y$121,"&gt;"&amp;Y116),"")</x:f>
        <x:v>74</x:v>
      </x:c>
      <x:c r="AA116" s="47" t="str">
        <x:v>Consumer Discretionary</x:v>
      </x:c>
      <x:c r="AB116" s="54" t="n">
        <x:v>46213</x:v>
      </x:c>
      <x:c r="AC116" s="54" t="n">
        <x:v>46112</x:v>
      </x:c>
      <x:c r="AD116" s="54" t="n">
        <x:v>46022</x:v>
      </x:c>
      <x:c r="AE116" s="47" t="str">
        <x:v>OK</x:v>
      </x:c>
    </x:row>
    <x:row r="117">
      <x:c r="A117" s="47" t="n">
        <x:f>IF(ISNUMBER(H117),1+COUNTIF($H$5:$H$121,"&gt;"&amp;H117),"")</x:f>
        <x:v>115</x:v>
      </x:c>
      <x:c r="B117" s="47" t="str">
        <x:v>EXC</x:v>
      </x:c>
      <x:c r="C117" s="47" t="str">
        <x:v>Exelon Corp.</x:v>
      </x:c>
      <x:c r="D117" s="49" t="str">
        <x:v>Long</x:v>
      </x:c>
      <x:c r="E117" s="49" t="n">
        <x:v>0.004104</x:v>
      </x:c>
      <x:c r="F117" s="50" t="n">
        <x:v>-0.12161401577010789</x:v>
      </x:c>
      <x:c r="G117" s="50" t="n">
        <x:v>-0.015744465797022388</x:v>
      </x:c>
      <x:c r="H117" s="329" t="n">
        <x:f>IFERROR((IF(ISNUMBER(J117),J117*'Methodology'!$C$5,0)+IF(ISNUMBER(L117),L117*'Methodology'!$C$6,0)+IF(ISNUMBER(O117),O117*'Methodology'!$C$7,0)+IF(ISNUMBER(U117),U117*'Methodology'!$C$8,0)+IF(ISNUMBER(W117),W117*'Methodology'!$C$9,0)+IF(ISNUMBER(Y117),Y117*'Methodology'!$C$10,0))/(IF(ISNUMBER(J117),'Methodology'!$C$5,0)+IF(ISNUMBER(L117),'Methodology'!$C$6,0)+IF(ISNUMBER(O117),'Methodology'!$C$7,0)+IF(ISNUMBER(U117),'Methodology'!$C$8,0)+IF(ISNUMBER(W117),'Methodology'!$C$9,0)+IF(ISNUMBER(Y117),'Methodology'!$C$10,0)),"")</x:f>
        <x:v>3.2527008995502253</x:v>
      </x:c>
      <x:c r="I117" s="47" t="n">
        <x:f>COUNT(J117,L117,O117,U117,W117,Y117)</x:f>
        <x:v>6</x:v>
      </x:c>
      <x:c r="J117" s="52" t="n">
        <x:v>2.5517241379310347</x:v>
      </x:c>
      <x:c r="K117" s="47" t="n">
        <x:f>IF(ISNUMBER(J117),1+COUNTIF($J$5:$J$121,"&gt;"&amp;J117),"")</x:f>
        <x:v>97</x:v>
      </x:c>
      <x:c r="L117" s="52" t="n">
        <x:v>4.189130434782609</x:v>
      </x:c>
      <x:c r="M117" s="47" t="n">
        <x:f>IF(ISNUMBER(L117),1+COUNTIF($L$5:$L$121,"&gt;"&amp;L117),"")</x:f>
        <x:v>84</x:v>
      </x:c>
      <x:c r="N117" s="47" t="str">
        <x:v>SUE + CAR3</x:v>
      </x:c>
      <x:c r="O117" s="52" t="n">
        <x:f>IFERROR(INDEX('Analyst Revisions'!$K$5:$K$121,MATCH(B117,'Analyst Revisions'!$B$5:$B$121,0)),"")</x:f>
        <x:v>2.782</x:v>
      </x:c>
      <x:c r="P117" s="47" t="n">
        <x:f>IF(ISNUMBER(O117),1+COUNTIF($O$5:$O$121,"&gt;"&amp;O117),"")</x:f>
        <x:v>92</x:v>
      </x:c>
      <x:c r="Q117" s="50" t="n">
        <x:f>IFERROR(INDEX('Analyst Revisions'!$G$5:$G$121,MATCH(B117,'Analyst Revisions'!$B$5:$B$121,0)),"")</x:f>
        <x:v>0.84854</x:v>
      </x:c>
      <x:c r="R117" s="50" t="n">
        <x:f>IFERROR(INDEX('Analyst Revisions'!$H$5:$H$121,MATCH(B117,'Analyst Revisions'!$B$5:$B$121,0)),"")</x:f>
        <x:v>0.8828</x:v>
      </x:c>
      <x:c r="S117" s="317" t="n">
        <x:f>IFERROR(INDEX('Analyst Revisions'!$I$5:$I$121,MATCH(B117,'Analyst Revisions'!$B$5:$B$121,0)),"")</x:f>
        <x:v>-0.03880833710919808</x:v>
      </x:c>
      <x:c r="T117" s="47" t="str">
        <x:f>IFERROR(INDEX('Analyst Revisions'!$L$5:$L$121,MATCH(B117,'Analyst Revisions'!$B$5:$B$121,0)),"")</x:f>
        <x:v>OK</x:v>
      </x:c>
      <x:c r="U117" s="52" t="n">
        <x:v>5.391109445277361</x:v>
      </x:c>
      <x:c r="V117" s="47" t="n">
        <x:f>IF(ISNUMBER(U117),1+COUNTIF($U$5:$U$121,"&gt;"&amp;U117),"")</x:f>
        <x:v>61</x:v>
      </x:c>
      <x:c r="W117" s="52" t="n">
        <x:v>3.3105172413793102</x:v>
      </x:c>
      <x:c r="X117" s="47" t="n">
        <x:f>IF(ISNUMBER(W117),1+COUNTIF($W$5:$W$121,"&gt;"&amp;W117),"")</x:f>
        <x:v>94</x:v>
      </x:c>
      <x:c r="Y117" s="52" t="n">
        <x:v>1.2327586206896552</x:v>
      </x:c>
      <x:c r="Z117" s="47" t="n">
        <x:f>IF(ISNUMBER(Y117),1+COUNTIF($Y$5:$Y$121,"&gt;"&amp;Y117),"")</x:f>
        <x:v>114</x:v>
      </x:c>
      <x:c r="AA117" s="47" t="str">
        <x:v>Utilities</x:v>
      </x:c>
      <x:c r="AB117" s="54" t="n">
        <x:v>46213</x:v>
      </x:c>
      <x:c r="AC117" s="54" t="n">
        <x:v>46112</x:v>
      </x:c>
      <x:c r="AD117" s="54" t="n">
        <x:v>46022</x:v>
      </x:c>
      <x:c r="AE117" s="47" t="str">
        <x:v>OK</x:v>
      </x:c>
    </x:row>
    <x:row r="118">
      <x:c r="A118" s="47" t="n">
        <x:f>IF(ISNUMBER(H118),1+COUNTIF($H$5:$H$121,"&gt;"&amp;H118),"")</x:f>
        <x:v>107</x:v>
      </x:c>
      <x:c r="B118" s="47" t="str">
        <x:v>AZO</x:v>
      </x:c>
      <x:c r="C118" s="47" t="str">
        <x:v>AutoZone Inc.</x:v>
      </x:c>
      <x:c r="D118" s="49" t="str">
        <x:v>Long</x:v>
      </x:c>
      <x:c r="E118" s="49" t="n">
        <x:v>0.003934</x:v>
      </x:c>
      <x:c r="F118" s="50" t="n">
        <x:v>0.19784165815018134</x:v>
      </x:c>
      <x:c r="G118" s="50" t="n">
        <x:v>0.022321904345368772</x:v>
      </x:c>
      <x:c r="H118" s="329" t="n">
        <x:f>IFERROR((IF(ISNUMBER(J118),J118*'Methodology'!$C$5,0)+IF(ISNUMBER(L118),L118*'Methodology'!$C$6,0)+IF(ISNUMBER(O118),O118*'Methodology'!$C$7,0)+IF(ISNUMBER(U118),U118*'Methodology'!$C$8,0)+IF(ISNUMBER(W118),W118*'Methodology'!$C$9,0)+IF(ISNUMBER(Y118),Y118*'Methodology'!$C$10,0))/(IF(ISNUMBER(J118),'Methodology'!$C$5,0)+IF(ISNUMBER(L118),'Methodology'!$C$6,0)+IF(ISNUMBER(O118),'Methodology'!$C$7,0)+IF(ISNUMBER(U118),'Methodology'!$C$8,0)+IF(ISNUMBER(W118),'Methodology'!$C$9,0)+IF(ISNUMBER(Y118),'Methodology'!$C$10,0)),"")</x:f>
        <x:v>3.697596020171732</x:v>
      </x:c>
      <x:c r="I118" s="47" t="n">
        <x:f>COUNT(J118,L118,O118,U118,W118,Y118)</x:f>
        <x:v>6</x:v>
      </x:c>
      <x:c r="J118" s="52" t="n">
        <x:v>1.1551724137931034</x:v>
      </x:c>
      <x:c r="K118" s="47" t="n">
        <x:f>IF(ISNUMBER(J118),1+COUNTIF($J$5:$J$121,"&gt;"&amp;J118),"")</x:f>
        <x:v>113</x:v>
      </x:c>
      <x:c r="L118" s="52" t="n">
        <x:v>4.10197628458498</x:v>
      </x:c>
      <x:c r="M118" s="47" t="n">
        <x:f>IF(ISNUMBER(L118),1+COUNTIF($L$5:$L$121,"&gt;"&amp;L118),"")</x:f>
        <x:v>87</x:v>
      </x:c>
      <x:c r="N118" s="47" t="str">
        <x:v>SUE + CAR3</x:v>
      </x:c>
      <x:c r="O118" s="52" t="n">
        <x:f>IFERROR(INDEX('Analyst Revisions'!$K$5:$K$121,MATCH(B118,'Analyst Revisions'!$B$5:$B$121,0)),"")</x:f>
        <x:v>5.806</x:v>
      </x:c>
      <x:c r="P118" s="47" t="n">
        <x:f>IF(ISNUMBER(O118),1+COUNTIF($O$5:$O$121,"&gt;"&amp;O118),"")</x:f>
        <x:v>53</x:v>
      </x:c>
      <x:c r="Q118" s="50" t="n">
        <x:f>IFERROR(INDEX('Analyst Revisions'!$G$5:$G$121,MATCH(B118,'Analyst Revisions'!$B$5:$B$121,0)),"")</x:f>
        <x:v>54.53667</x:v>
      </x:c>
      <x:c r="R118" s="50" t="n">
        <x:f>IFERROR(INDEX('Analyst Revisions'!$H$5:$H$121,MATCH(B118,'Analyst Revisions'!$B$5:$B$121,0)),"")</x:f>
        <x:v>54.61534</x:v>
      </x:c>
      <x:c r="S118" s="317" t="n">
        <x:f>IFERROR(INDEX('Analyst Revisions'!$I$5:$I$121,MATCH(B118,'Analyst Revisions'!$B$5:$B$121,0)),"")</x:f>
        <x:v>-0.0014404377964140195</x:v>
      </x:c>
      <x:c r="T118" s="47" t="str">
        <x:f>IFERROR(INDEX('Analyst Revisions'!$L$5:$L$121,MATCH(B118,'Analyst Revisions'!$B$5:$B$121,0)),"")</x:f>
        <x:v>OK</x:v>
      </x:c>
      <x:c r="U118" s="52" t="n">
        <x:v>4.2344002998500745</x:v>
      </x:c>
      <x:c r="V118" s="47" t="n">
        <x:f>IF(ISNUMBER(U118),1+COUNTIF($U$5:$U$121,"&gt;"&amp;U118),"")</x:f>
        <x:v>86</x:v>
      </x:c>
      <x:c r="W118" s="52" t="n">
        <x:v>2.5408620689655175</x:v>
      </x:c>
      <x:c r="X118" s="47" t="n">
        <x:f>IF(ISNUMBER(W118),1+COUNTIF($W$5:$W$121,"&gt;"&amp;W118),"")</x:f>
        <x:v>106</x:v>
      </x:c>
      <x:c r="Y118" s="52" t="n">
        <x:v>5.9655172413793105</x:v>
      </x:c>
      <x:c r="Z118" s="47" t="n">
        <x:f>IF(ISNUMBER(Y118),1+COUNTIF($Y$5:$Y$121,"&gt;"&amp;Y118),"")</x:f>
        <x:v>53</x:v>
      </x:c>
      <x:c r="AA118" s="47" t="str">
        <x:v>Consumer Discretionary</x:v>
      </x:c>
      <x:c r="AB118" s="54" t="n">
        <x:v>46213</x:v>
      </x:c>
      <x:c r="AC118" s="54" t="n">
        <x:v>46151</x:v>
      </x:c>
      <x:c r="AD118" s="54" t="n">
        <x:v>45899</x:v>
      </x:c>
      <x:c r="AE118" s="47" t="str">
        <x:v>OK</x:v>
      </x:c>
    </x:row>
    <x:row r="119">
      <x:c r="A119" s="47" t="n">
        <x:f>IF(ISNUMBER(H119),1+COUNTIF($H$5:$H$121,"&gt;"&amp;H119),"")</x:f>
        <x:v>117</x:v>
      </x:c>
      <x:c r="B119" s="47" t="str">
        <x:v>MTDR</x:v>
      </x:c>
      <x:c r="C119" s="47" t="str">
        <x:v>Matador Resources Co.</x:v>
      </x:c>
      <x:c r="D119" s="49" t="str">
        <x:v>Long</x:v>
      </x:c>
      <x:c r="E119" s="49" t="n">
        <x:v>0.003708</x:v>
      </x:c>
      <x:c r="F119" s="50" t="n">
        <x:v>0.16776063390899118</x:v>
      </x:c>
      <x:c r="G119" s="50" t="n">
        <x:v>-0.17671103983116512</x:v>
      </x:c>
      <x:c r="H119" s="329" t="n">
        <x:f>IFERROR((IF(ISNUMBER(J119),J119*'Methodology'!$C$5,0)+IF(ISNUMBER(L119),L119*'Methodology'!$C$6,0)+IF(ISNUMBER(O119),O119*'Methodology'!$C$7,0)+IF(ISNUMBER(U119),U119*'Methodology'!$C$8,0)+IF(ISNUMBER(W119),W119*'Methodology'!$C$9,0)+IF(ISNUMBER(Y119),Y119*'Methodology'!$C$10,0))/(IF(ISNUMBER(J119),'Methodology'!$C$5,0)+IF(ISNUMBER(L119),'Methodology'!$C$6,0)+IF(ISNUMBER(O119),'Methodology'!$C$7,0)+IF(ISNUMBER(U119),'Methodology'!$C$8,0)+IF(ISNUMBER(W119),'Methodology'!$C$9,0)+IF(ISNUMBER(Y119),'Methodology'!$C$10,0)),"")</x:f>
        <x:v>2.9725713506882925</x:v>
      </x:c>
      <x:c r="I119" s="47" t="n">
        <x:f>COUNT(J119,L119,O119,U119,W119,Y119)</x:f>
        <x:v>6</x:v>
      </x:c>
      <x:c r="J119" s="52" t="n">
        <x:v>3.6379310344827585</x:v>
      </x:c>
      <x:c r="K119" s="47" t="n">
        <x:f>IF(ISNUMBER(J119),1+COUNTIF($J$5:$J$121,"&gt;"&amp;J119),"")</x:f>
        <x:v>83</x:v>
      </x:c>
      <x:c r="L119" s="52" t="n">
        <x:v>1.1191699604743084</x:v>
      </x:c>
      <x:c r="M119" s="47" t="n">
        <x:f>IF(ISNUMBER(L119),1+COUNTIF($L$5:$L$121,"&gt;"&amp;L119),"")</x:f>
        <x:v>117</x:v>
      </x:c>
      <x:c r="N119" s="47" t="str">
        <x:v>SUE + CAR3</x:v>
      </x:c>
      <x:c r="O119" s="52" t="n">
        <x:f>IFERROR(INDEX('Analyst Revisions'!$K$5:$K$121,MATCH(B119,'Analyst Revisions'!$B$5:$B$121,0)),"")</x:f>
        <x:v>1.693</x:v>
      </x:c>
      <x:c r="P119" s="47" t="n">
        <x:f>IF(ISNUMBER(O119),1+COUNTIF($O$5:$O$121,"&gt;"&amp;O119),"")</x:f>
        <x:v>106</x:v>
      </x:c>
      <x:c r="Q119" s="50" t="n">
        <x:f>IFERROR(INDEX('Analyst Revisions'!$G$5:$G$121,MATCH(B119,'Analyst Revisions'!$B$5:$B$121,0)),"")</x:f>
        <x:v>1.62434</x:v>
      </x:c>
      <x:c r="R119" s="50" t="n">
        <x:f>IFERROR(INDEX('Analyst Revisions'!$H$5:$H$121,MATCH(B119,'Analyst Revisions'!$B$5:$B$121,0)),"")</x:f>
        <x:v>1.95213</x:v>
      </x:c>
      <x:c r="S119" s="317" t="n">
        <x:f>IFERROR(INDEX('Analyst Revisions'!$I$5:$I$121,MATCH(B119,'Analyst Revisions'!$B$5:$B$121,0)),"")</x:f>
        <x:v>-0.16791402211942855</x:v>
      </x:c>
      <x:c r="T119" s="47" t="str">
        <x:f>IFERROR(INDEX('Analyst Revisions'!$L$5:$L$121,MATCH(B119,'Analyst Revisions'!$B$5:$B$121,0)),"")</x:f>
        <x:v>OK</x:v>
      </x:c>
      <x:c r="U119" s="52" t="n">
        <x:v>6.583440779610195</x:v>
      </x:c>
      <x:c r="V119" s="47" t="n">
        <x:f>IF(ISNUMBER(U119),1+COUNTIF($U$5:$U$121,"&gt;"&amp;U119),"")</x:f>
        <x:v>35</x:v>
      </x:c>
      <x:c r="W119" s="52" t="n">
        <x:v>2.745689655172414</x:v>
      </x:c>
      <x:c r="X119" s="47" t="n">
        <x:f>IF(ISNUMBER(W119),1+COUNTIF($W$5:$W$121,"&gt;"&amp;W119),"")</x:f>
        <x:v>102</x:v>
      </x:c>
      <x:c r="Y119" s="52" t="n">
        <x:v>4.181034482758621</x:v>
      </x:c>
      <x:c r="Z119" s="47" t="n">
        <x:f>IF(ISNUMBER(Y119),1+COUNTIF($Y$5:$Y$121,"&gt;"&amp;Y119),"")</x:f>
        <x:v>76</x:v>
      </x:c>
      <x:c r="AA119" s="47" t="str">
        <x:v>Energy</x:v>
      </x:c>
      <x:c r="AB119" s="54" t="n">
        <x:v>46213</x:v>
      </x:c>
      <x:c r="AC119" s="54" t="n">
        <x:v>46112</x:v>
      </x:c>
      <x:c r="AD119" s="54" t="n">
        <x:v>46022</x:v>
      </x:c>
      <x:c r="AE119" s="47" t="str">
        <x:v>OK</x:v>
      </x:c>
    </x:row>
    <x:row r="120">
      <x:c r="A120" s="47" t="n">
        <x:f>IF(ISNUMBER(H120),1+COUNTIF($H$5:$H$121,"&gt;"&amp;H120),"")</x:f>
        <x:v>116</x:v>
      </x:c>
      <x:c r="B120" s="47" t="str">
        <x:v>VNOM</x:v>
      </x:c>
      <x:c r="C120" s="47" t="str">
        <x:v>Viper Energy Inc.</x:v>
      </x:c>
      <x:c r="D120" s="49" t="str">
        <x:v>Short</x:v>
      </x:c>
      <x:c r="E120" s="49" t="n">
        <x:v>-0.00318</x:v>
      </x:c>
      <x:c r="F120" s="50" t="n">
        <x:v>0.28369742322390556</x:v>
      </x:c>
      <x:c r="G120" s="50" t="n">
        <x:v>-0.059240328586682926</x:v>
      </x:c>
      <x:c r="H120" s="329" t="n">
        <x:f>IFERROR((IF(ISNUMBER(J120),J120*'Methodology'!$C$5,0)+IF(ISNUMBER(L120),L120*'Methodology'!$C$6,0)+IF(ISNUMBER(O120),O120*'Methodology'!$C$7,0)+IF(ISNUMBER(U120),U120*'Methodology'!$C$8,0)+IF(ISNUMBER(W120),W120*'Methodology'!$C$9,0)+IF(ISNUMBER(Y120),Y120*'Methodology'!$C$10,0))/(IF(ISNUMBER(J120),'Methodology'!$C$5,0)+IF(ISNUMBER(L120),'Methodology'!$C$6,0)+IF(ISNUMBER(O120),'Methodology'!$C$7,0)+IF(ISNUMBER(U120),'Methodology'!$C$8,0)+IF(ISNUMBER(W120),'Methodology'!$C$9,0)+IF(ISNUMBER(Y120),'Methodology'!$C$10,0)),"")</x:f>
        <x:v>3.2207961019490257</x:v>
      </x:c>
      <x:c r="I120" s="47" t="n">
        <x:f>COUNT(J120,L120,O120,U120,W120,Y120)</x:f>
        <x:v>6</x:v>
      </x:c>
      <x:c r="J120" s="52" t="n">
        <x:v>1.6982758620689655</x:v>
      </x:c>
      <x:c r="K120" s="47" t="n">
        <x:f>IF(ISNUMBER(J120),1+COUNTIF($J$5:$J$121,"&gt;"&amp;J120),"")</x:f>
        <x:v>108</x:v>
      </x:c>
      <x:c r="L120" s="52" t="n">
        <x:v>6.869565217391305</x:v>
      </x:c>
      <x:c r="M120" s="47" t="n">
        <x:f>IF(ISNUMBER(L120),1+COUNTIF($L$5:$L$121,"&gt;"&amp;L120),"")</x:f>
        <x:v>28</x:v>
      </x:c>
      <x:c r="N120" s="47" t="str">
        <x:v>CAR3 only</x:v>
      </x:c>
      <x:c r="O120" s="52" t="n">
        <x:f>IFERROR(INDEX('Analyst Revisions'!$K$5:$K$121,MATCH(B120,'Analyst Revisions'!$B$5:$B$121,0)),"")</x:f>
        <x:v>3.403</x:v>
      </x:c>
      <x:c r="P120" s="47" t="n">
        <x:f>IF(ISNUMBER(O120),1+COUNTIF($O$5:$O$121,"&gt;"&amp;O120),"")</x:f>
        <x:v>84</x:v>
      </x:c>
      <x:c r="Q120" s="50" t="n">
        <x:f>IFERROR(INDEX('Analyst Revisions'!$G$5:$G$121,MATCH(B120,'Analyst Revisions'!$B$5:$B$121,0)),"")</x:f>
        <x:v>0.65801</x:v>
      </x:c>
      <x:c r="R120" s="50" t="n">
        <x:f>IFERROR(INDEX('Analyst Revisions'!$H$5:$H$121,MATCH(B120,'Analyst Revisions'!$B$5:$B$121,0)),"")</x:f>
        <x:v>0.67297</x:v>
      </x:c>
      <x:c r="S120" s="317" t="n">
        <x:f>IFERROR(INDEX('Analyst Revisions'!$I$5:$I$121,MATCH(B120,'Analyst Revisions'!$B$5:$B$121,0)),"")</x:f>
        <x:v>-0.022229817079513166</x:v>
      </x:c>
      <x:c r="T120" s="47" t="str">
        <x:f>IFERROR(INDEX('Analyst Revisions'!$L$5:$L$121,MATCH(B120,'Analyst Revisions'!$B$5:$B$121,0)),"")</x:f>
        <x:v>OK</x:v>
      </x:c>
      <x:c r="U120" s="52" t="n">
        <x:v>2.6050224887556226</x:v>
      </x:c>
      <x:c r="V120" s="47" t="n">
        <x:f>IF(ISNUMBER(U120),1+COUNTIF($U$5:$U$121,"&gt;"&amp;U120),"")</x:f>
        <x:v>114</x:v>
      </x:c>
      <x:c r="W120" s="52" t="n">
        <x:v>1</x:v>
      </x:c>
      <x:c r="X120" s="47" t="n">
        <x:f>IF(ISNUMBER(W120),1+COUNTIF($W$5:$W$121,"&gt;"&amp;W120),"")</x:f>
        <x:v>117</x:v>
      </x:c>
      <x:c r="Y120" s="52" t="n">
        <x:v>1</x:v>
      </x:c>
      <x:c r="Z120" s="47" t="n">
        <x:f>IF(ISNUMBER(Y120),1+COUNTIF($Y$5:$Y$121,"&gt;"&amp;Y120),"")</x:f>
        <x:v>117</x:v>
      </x:c>
      <x:c r="AA120" s="47" t="str">
        <x:v>Energy</x:v>
      </x:c>
      <x:c r="AB120" s="54" t="n">
        <x:v>46213</x:v>
      </x:c>
      <x:c r="AC120" s="54" t="n">
        <x:v>46112</x:v>
      </x:c>
      <x:c r="AD120" s="54" t="n">
        <x:v>46022</x:v>
      </x:c>
      <x:c r="AE120" s="47" t="str">
        <x:v>OK</x:v>
      </x:c>
    </x:row>
    <x:row r="121">
      <x:c r="A121" s="47" t="n">
        <x:f>IF(ISNUMBER(H121),1+COUNTIF($H$5:$H$121,"&gt;"&amp;H121),"")</x:f>
        <x:v>102</x:v>
      </x:c>
      <x:c r="B121" s="47" t="str">
        <x:v>LNG</x:v>
      </x:c>
      <x:c r="C121" s="47" t="str">
        <x:v>Cheniere Energy Inc.</x:v>
      </x:c>
      <x:c r="D121" s="49" t="str">
        <x:v>Long</x:v>
      </x:c>
      <x:c r="E121" s="49" t="n">
        <x:v>0.004447</x:v>
      </x:c>
      <x:c r="F121" s="50" t="n">
        <x:v>-0.18835975579237182</x:v>
      </x:c>
      <x:c r="G121" s="50" t="n">
        <x:v>-0.22559445027185532</x:v>
      </x:c>
      <x:c r="H121" s="329" t="n">
        <x:f>IFERROR((IF(ISNUMBER(J121),J121*'Methodology'!$C$5,0)+IF(ISNUMBER(L121),L121*'Methodology'!$C$6,0)+IF(ISNUMBER(O121),O121*'Methodology'!$C$7,0)+IF(ISNUMBER(U121),U121*'Methodology'!$C$8,0)+IF(ISNUMBER(W121),W121*'Methodology'!$C$9,0)+IF(ISNUMBER(Y121),Y121*'Methodology'!$C$10,0))/(IF(ISNUMBER(J121),'Methodology'!$C$5,0)+IF(ISNUMBER(L121),'Methodology'!$C$6,0)+IF(ISNUMBER(O121),'Methodology'!$C$7,0)+IF(ISNUMBER(U121),'Methodology'!$C$8,0)+IF(ISNUMBER(W121),'Methodology'!$C$9,0)+IF(ISNUMBER(Y121),'Methodology'!$C$10,0)),"")</x:f>
        <x:v>4.103820362545999</x:v>
      </x:c>
      <x:c r="I121" s="47" t="n">
        <x:f>COUNT(J121,L121,O121,U121,W121,Y121)</x:f>
        <x:v>6</x:v>
      </x:c>
      <x:c r="J121" s="52" t="n">
        <x:v>1.7758620689655173</x:v>
      </x:c>
      <x:c r="K121" s="47" t="n">
        <x:f>IF(ISNUMBER(J121),1+COUNTIF($J$5:$J$121,"&gt;"&amp;J121),"")</x:f>
        <x:v>107</x:v>
      </x:c>
      <x:c r="L121" s="52" t="n">
        <x:v>1.316600790513834</x:v>
      </x:c>
      <x:c r="M121" s="47" t="n">
        <x:f>IF(ISNUMBER(L121),1+COUNTIF($L$5:$L$121,"&gt;"&amp;L121),"")</x:f>
        <x:v>116</x:v>
      </x:c>
      <x:c r="N121" s="47" t="str">
        <x:v>SUE + CAR3</x:v>
      </x:c>
      <x:c r="O121" s="52" t="n">
        <x:f>IFERROR(INDEX('Analyst Revisions'!$K$5:$K$121,MATCH(B121,'Analyst Revisions'!$B$5:$B$121,0)),"")</x:f>
        <x:v>10</x:v>
      </x:c>
      <x:c r="P121" s="47" t="n">
        <x:f>IF(ISNUMBER(O121),1+COUNTIF($O$5:$O$121,"&gt;"&amp;O121),"")</x:f>
        <x:v>1</x:v>
      </x:c>
      <x:c r="Q121" s="50" t="n">
        <x:f>IFERROR(INDEX('Analyst Revisions'!$G$5:$G$121,MATCH(B121,'Analyst Revisions'!$B$5:$B$121,0)),"")</x:f>
        <x:v>4.80154</x:v>
      </x:c>
      <x:c r="R121" s="50" t="n">
        <x:f>IFERROR(INDEX('Analyst Revisions'!$H$5:$H$121,MATCH(B121,'Analyst Revisions'!$B$5:$B$121,0)),"")</x:f>
        <x:v>3.76424</x:v>
      </x:c>
      <x:c r="S121" s="317" t="n">
        <x:f>IFERROR(INDEX('Analyst Revisions'!$I$5:$I$121,MATCH(B121,'Analyst Revisions'!$B$5:$B$121,0)),"")</x:f>
        <x:v>0.27556691390559584</x:v>
      </x:c>
      <x:c r="T121" s="47" t="str">
        <x:f>IFERROR(INDEX('Analyst Revisions'!$L$5:$L$121,MATCH(B121,'Analyst Revisions'!$B$5:$B$121,0)),"")</x:f>
        <x:v>OK</x:v>
      </x:c>
      <x:c r="U121" s="52" t="n">
        <x:v>3.600824587706147</x:v>
      </x:c>
      <x:c r="V121" s="47" t="n">
        <x:f>IF(ISNUMBER(U121),1+COUNTIF($U$5:$U$121,"&gt;"&amp;U121),"")</x:f>
        <x:v>96</x:v>
      </x:c>
      <x:c r="W121" s="52" t="n">
        <x:v>3.470344827586207</x:v>
      </x:c>
      <x:c r="X121" s="47" t="n">
        <x:f>IF(ISNUMBER(W121),1+COUNTIF($W$5:$W$121,"&gt;"&amp;W121),"")</x:f>
        <x:v>89</x:v>
      </x:c>
      <x:c r="Y121" s="52" t="n">
        <x:v>7.905172413793104</x:v>
      </x:c>
      <x:c r="Z121" s="47" t="n">
        <x:f>IF(ISNUMBER(Y121),1+COUNTIF($Y$5:$Y$121,"&gt;"&amp;Y121),"")</x:f>
        <x:v>28</x:v>
      </x:c>
      <x:c r="AA121" s="47" t="str">
        <x:v>Utilities</x:v>
      </x:c>
      <x:c r="AB121" s="54" t="n">
        <x:v>46213</x:v>
      </x:c>
      <x:c r="AC121" s="54" t="n">
        <x:v>46112</x:v>
      </x:c>
      <x:c r="AD121" s="54" t="n">
        <x:v>46022</x:v>
      </x:c>
      <x:c r="AE121" s="47" t="str">
        <x:v>OK</x:v>
      </x:c>
    </x:row>
  </x:sheetData>
  <x:mergeCells>
    <x:mergeCell ref="A1:AE1"/>
    <x:mergeCell ref="A2:AE2"/>
    <x:mergeCell ref="A3:AE3"/>
  </x:mergeCells>
  <x:conditionalFormatting sqref="J5:J12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L5:L121">
    <x:cfRule type="colorScale" priority="2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O5:O121">
    <x:cfRule type="colorScale" priority="3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U5:U121">
    <x:cfRule type="colorScale" priority="4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W5:W121">
    <x:cfRule type="colorScale" priority="5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Y5:Y121">
    <x:cfRule type="colorScale" priority="6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266becdc4114b75"/>
  </x:tableParts>
</x:worksheet>
</file>